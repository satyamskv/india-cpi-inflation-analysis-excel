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tables/table3.xml" ContentType="application/vnd.openxmlformats-officedocument.spreadsheetml.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7.xml" ContentType="application/vnd.openxmlformats-officedocument.drawingml.chartshapes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8.xml" ContentType="application/vnd.openxmlformats-officedocument.drawingml.chartshapes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1.xml" ContentType="application/vnd.openxmlformats-officedocument.drawing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S:\Coding Ninjas\Excel\A CPI Final Project\"/>
    </mc:Choice>
  </mc:AlternateContent>
  <xr:revisionPtr revIDLastSave="0" documentId="13_ncr:1_{FEBA2F7C-7313-4800-B9D5-CB819C9AA2B6}" xr6:coauthVersionLast="47" xr6:coauthVersionMax="47" xr10:uidLastSave="{00000000-0000-0000-0000-000000000000}"/>
  <bookViews>
    <workbookView xWindow="-108" yWindow="-108" windowWidth="23256" windowHeight="13176" tabRatio="999" xr2:uid="{9FEA66A9-5D69-4541-8B76-391B62385253}"/>
  </bookViews>
  <sheets>
    <sheet name="Readme" sheetId="18" r:id="rId1"/>
    <sheet name="Dashboard" sheetId="17" r:id="rId2"/>
    <sheet name="Q1 - CPI Contribution" sheetId="12" r:id="rId3"/>
    <sheet name="Q2 - YoY Inflation" sheetId="13" r:id="rId4"/>
    <sheet name="Q3 - Food Inflation" sheetId="14" r:id="rId5"/>
    <sheet name="Q4 - COVID Impact" sheetId="15" r:id="rId6"/>
    <sheet name="Q5 - Oil Impact" sheetId="16" r:id="rId7"/>
    <sheet name="Data_Dictionary" sheetId="2" r:id="rId8"/>
    <sheet name="Cleaned_Data" sheetId="3" r:id="rId9"/>
    <sheet name="Dashboard_Calculations" sheetId="19" r:id="rId10"/>
    <sheet name="Raw_Data" sheetId="20" r:id="rId11"/>
  </sheets>
  <definedNames>
    <definedName name="_xlnm._FilterDatabase" localSheetId="8" hidden="1">Cleaned_Data!$A$1:$AE$376</definedName>
    <definedName name="_xlnm._FilterDatabase" localSheetId="4" hidden="1">'Q3 - Food Inflation'!$B$82:$N$94</definedName>
  </definedNames>
  <calcPr calcId="191029"/>
  <pivotCaches>
    <pivotCache cacheId="0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9" i="19" l="1"/>
  <c r="G39" i="19" s="1"/>
  <c r="F35" i="19"/>
  <c r="G35" i="19" s="1"/>
  <c r="F34" i="19"/>
  <c r="G34" i="19" s="1"/>
  <c r="F31" i="19" l="1"/>
  <c r="F30" i="19"/>
  <c r="F29" i="19"/>
  <c r="F27" i="19"/>
  <c r="F26" i="19"/>
  <c r="F25" i="19"/>
  <c r="J83" i="14"/>
  <c r="M36" i="14"/>
  <c r="F20" i="19"/>
  <c r="G20" i="19" s="1"/>
  <c r="F22" i="19"/>
  <c r="G22" i="19" s="1"/>
  <c r="F21" i="19"/>
  <c r="G21" i="19" s="1"/>
  <c r="B12" i="19" l="1" a="1"/>
  <c r="B12" i="19" s="1"/>
  <c r="B11" i="19" a="1"/>
  <c r="B11" i="19" s="1"/>
  <c r="B10" i="19" a="1"/>
  <c r="B10" i="19" s="1"/>
  <c r="B9" i="19" a="1"/>
  <c r="B9" i="19" s="1"/>
  <c r="B8" i="19" a="1"/>
  <c r="B8" i="19" s="1"/>
  <c r="B7" i="19" a="1"/>
  <c r="B7" i="19" s="1"/>
  <c r="B6" i="19" a="1"/>
  <c r="B6" i="19" s="1"/>
  <c r="C6" i="19" s="1"/>
  <c r="B5" i="19" a="1"/>
  <c r="B5" i="19" s="1"/>
  <c r="R18" i="13" a="1"/>
  <c r="R18" i="13" s="1"/>
  <c r="R17" i="13" a="1"/>
  <c r="R17" i="13" s="1"/>
  <c r="C103" i="16"/>
  <c r="C104" i="16"/>
  <c r="C105" i="16"/>
  <c r="C106" i="16"/>
  <c r="C107" i="16"/>
  <c r="C108" i="16"/>
  <c r="C109" i="16"/>
  <c r="C110" i="16"/>
  <c r="C111" i="16"/>
  <c r="C112" i="16"/>
  <c r="C113" i="16"/>
  <c r="C114" i="16"/>
  <c r="C115" i="16"/>
  <c r="C116" i="16"/>
  <c r="C117" i="16"/>
  <c r="C118" i="16"/>
  <c r="C119" i="16"/>
  <c r="C120" i="16"/>
  <c r="C121" i="16"/>
  <c r="C122" i="16"/>
  <c r="C123" i="16"/>
  <c r="C124" i="16"/>
  <c r="C125" i="16"/>
  <c r="C126" i="16"/>
  <c r="C127" i="16"/>
  <c r="C128" i="16"/>
  <c r="C129" i="16"/>
  <c r="C130" i="16"/>
  <c r="C102" i="16"/>
  <c r="D69" i="16"/>
  <c r="D70" i="16"/>
  <c r="D71" i="16"/>
  <c r="D72" i="16"/>
  <c r="D73" i="16"/>
  <c r="D74" i="16"/>
  <c r="D75" i="16"/>
  <c r="D76" i="16"/>
  <c r="D77" i="16"/>
  <c r="D110" i="16" s="1"/>
  <c r="D78" i="16"/>
  <c r="D79" i="16"/>
  <c r="D80" i="16"/>
  <c r="D81" i="16"/>
  <c r="D82" i="16"/>
  <c r="D83" i="16"/>
  <c r="D84" i="16"/>
  <c r="D85" i="16"/>
  <c r="D118" i="16" s="1"/>
  <c r="D86" i="16"/>
  <c r="D87" i="16"/>
  <c r="D88" i="16"/>
  <c r="D89" i="16"/>
  <c r="D90" i="16"/>
  <c r="D91" i="16"/>
  <c r="D92" i="16"/>
  <c r="D93" i="16"/>
  <c r="D126" i="16" s="1"/>
  <c r="D94" i="16"/>
  <c r="D95" i="16"/>
  <c r="D96" i="16"/>
  <c r="D97" i="16"/>
  <c r="D130" i="16" s="1"/>
  <c r="D68" i="16"/>
  <c r="E68" i="16"/>
  <c r="F68" i="16"/>
  <c r="G68" i="16"/>
  <c r="H68" i="16"/>
  <c r="I68" i="16"/>
  <c r="J68" i="16"/>
  <c r="K68" i="16"/>
  <c r="L68" i="16"/>
  <c r="M68" i="16"/>
  <c r="N68" i="16"/>
  <c r="O68" i="16"/>
  <c r="P68" i="16"/>
  <c r="Q68" i="16"/>
  <c r="R68" i="16"/>
  <c r="S68" i="16"/>
  <c r="T68" i="16"/>
  <c r="U68" i="16"/>
  <c r="V68" i="16"/>
  <c r="W68" i="16"/>
  <c r="X68" i="16"/>
  <c r="Y68" i="16"/>
  <c r="Z68" i="16"/>
  <c r="AA68" i="16"/>
  <c r="AB68" i="16"/>
  <c r="AC68" i="16"/>
  <c r="AD68" i="16"/>
  <c r="B106" i="16"/>
  <c r="B107" i="16"/>
  <c r="B108" i="16"/>
  <c r="B109" i="16"/>
  <c r="B110" i="16"/>
  <c r="B111" i="16"/>
  <c r="B112" i="16"/>
  <c r="B113" i="16"/>
  <c r="B114" i="16"/>
  <c r="B115" i="16"/>
  <c r="B116" i="16"/>
  <c r="B117" i="16"/>
  <c r="B118" i="16"/>
  <c r="B119" i="16"/>
  <c r="B120" i="16"/>
  <c r="B121" i="16"/>
  <c r="B122" i="16"/>
  <c r="B123" i="16"/>
  <c r="B124" i="16"/>
  <c r="B125" i="16"/>
  <c r="B126" i="16"/>
  <c r="B127" i="16"/>
  <c r="B128" i="16"/>
  <c r="B129" i="16"/>
  <c r="B130" i="16"/>
  <c r="B103" i="16"/>
  <c r="B104" i="16"/>
  <c r="B105" i="16"/>
  <c r="B102" i="16"/>
  <c r="H70" i="16"/>
  <c r="I70" i="16"/>
  <c r="J70" i="16"/>
  <c r="K70" i="16"/>
  <c r="L70" i="16"/>
  <c r="M70" i="16"/>
  <c r="N70" i="16"/>
  <c r="O70" i="16"/>
  <c r="P70" i="16"/>
  <c r="Q70" i="16"/>
  <c r="R70" i="16"/>
  <c r="S70" i="16"/>
  <c r="T70" i="16"/>
  <c r="U70" i="16"/>
  <c r="V70" i="16"/>
  <c r="W70" i="16"/>
  <c r="X70" i="16"/>
  <c r="Y70" i="16"/>
  <c r="Z70" i="16"/>
  <c r="AA70" i="16"/>
  <c r="AB70" i="16"/>
  <c r="AC70" i="16"/>
  <c r="AD70" i="16"/>
  <c r="H71" i="16"/>
  <c r="I71" i="16"/>
  <c r="J71" i="16"/>
  <c r="K71" i="16"/>
  <c r="L71" i="16"/>
  <c r="M71" i="16"/>
  <c r="N71" i="16"/>
  <c r="N104" i="16" s="1"/>
  <c r="O71" i="16"/>
  <c r="O104" i="16" s="1"/>
  <c r="P71" i="16"/>
  <c r="Q71" i="16"/>
  <c r="R71" i="16"/>
  <c r="S71" i="16"/>
  <c r="T71" i="16"/>
  <c r="U71" i="16"/>
  <c r="V71" i="16"/>
  <c r="V104" i="16" s="1"/>
  <c r="W71" i="16"/>
  <c r="W104" i="16" s="1"/>
  <c r="X71" i="16"/>
  <c r="Y71" i="16"/>
  <c r="Z71" i="16"/>
  <c r="AA71" i="16"/>
  <c r="AB71" i="16"/>
  <c r="AC71" i="16"/>
  <c r="AD71" i="16"/>
  <c r="AD104" i="16" s="1"/>
  <c r="H72" i="16"/>
  <c r="H105" i="16" s="1"/>
  <c r="I72" i="16"/>
  <c r="J72" i="16"/>
  <c r="K72" i="16"/>
  <c r="L72" i="16"/>
  <c r="M72" i="16"/>
  <c r="N72" i="16"/>
  <c r="O72" i="16"/>
  <c r="O105" i="16" s="1"/>
  <c r="P72" i="16"/>
  <c r="P105" i="16" s="1"/>
  <c r="Q72" i="16"/>
  <c r="R72" i="16"/>
  <c r="S72" i="16"/>
  <c r="T72" i="16"/>
  <c r="U72" i="16"/>
  <c r="V72" i="16"/>
  <c r="W72" i="16"/>
  <c r="W105" i="16" s="1"/>
  <c r="X72" i="16"/>
  <c r="X105" i="16" s="1"/>
  <c r="Y72" i="16"/>
  <c r="Z72" i="16"/>
  <c r="AA72" i="16"/>
  <c r="AB72" i="16"/>
  <c r="AC72" i="16"/>
  <c r="AD72" i="16"/>
  <c r="H73" i="16"/>
  <c r="H106" i="16" s="1"/>
  <c r="I73" i="16"/>
  <c r="I106" i="16" s="1"/>
  <c r="J73" i="16"/>
  <c r="K73" i="16"/>
  <c r="L73" i="16"/>
  <c r="M73" i="16"/>
  <c r="N73" i="16"/>
  <c r="O73" i="16"/>
  <c r="P73" i="16"/>
  <c r="P106" i="16" s="1"/>
  <c r="Q73" i="16"/>
  <c r="Q106" i="16" s="1"/>
  <c r="R73" i="16"/>
  <c r="S73" i="16"/>
  <c r="T73" i="16"/>
  <c r="U73" i="16"/>
  <c r="V73" i="16"/>
  <c r="W73" i="16"/>
  <c r="X73" i="16"/>
  <c r="X106" i="16" s="1"/>
  <c r="Y73" i="16"/>
  <c r="Y106" i="16" s="1"/>
  <c r="Z73" i="16"/>
  <c r="AA73" i="16"/>
  <c r="AB73" i="16"/>
  <c r="AC73" i="16"/>
  <c r="AD73" i="16"/>
  <c r="H74" i="16"/>
  <c r="I74" i="16"/>
  <c r="I107" i="16" s="1"/>
  <c r="J74" i="16"/>
  <c r="J107" i="16" s="1"/>
  <c r="K74" i="16"/>
  <c r="L74" i="16"/>
  <c r="M74" i="16"/>
  <c r="N74" i="16"/>
  <c r="O74" i="16"/>
  <c r="P74" i="16"/>
  <c r="Q74" i="16"/>
  <c r="Q107" i="16" s="1"/>
  <c r="R74" i="16"/>
  <c r="R107" i="16" s="1"/>
  <c r="S74" i="16"/>
  <c r="T74" i="16"/>
  <c r="U74" i="16"/>
  <c r="V74" i="16"/>
  <c r="W74" i="16"/>
  <c r="X74" i="16"/>
  <c r="Y74" i="16"/>
  <c r="Y107" i="16" s="1"/>
  <c r="Z74" i="16"/>
  <c r="Z107" i="16" s="1"/>
  <c r="AA74" i="16"/>
  <c r="AB74" i="16"/>
  <c r="AC74" i="16"/>
  <c r="AD74" i="16"/>
  <c r="H75" i="16"/>
  <c r="I75" i="16"/>
  <c r="J75" i="16"/>
  <c r="J108" i="16" s="1"/>
  <c r="K75" i="16"/>
  <c r="L75" i="16"/>
  <c r="M75" i="16"/>
  <c r="N75" i="16"/>
  <c r="O75" i="16"/>
  <c r="P75" i="16"/>
  <c r="Q75" i="16"/>
  <c r="R75" i="16"/>
  <c r="R108" i="16" s="1"/>
  <c r="S75" i="16"/>
  <c r="T75" i="16"/>
  <c r="U75" i="16"/>
  <c r="V75" i="16"/>
  <c r="W75" i="16"/>
  <c r="X75" i="16"/>
  <c r="Y75" i="16"/>
  <c r="Z75" i="16"/>
  <c r="Z108" i="16" s="1"/>
  <c r="AA75" i="16"/>
  <c r="AB75" i="16"/>
  <c r="AC75" i="16"/>
  <c r="AD75" i="16"/>
  <c r="H76" i="16"/>
  <c r="I76" i="16"/>
  <c r="J76" i="16"/>
  <c r="K76" i="16"/>
  <c r="L76" i="16"/>
  <c r="M76" i="16"/>
  <c r="N76" i="16"/>
  <c r="O76" i="16"/>
  <c r="P76" i="16"/>
  <c r="Q76" i="16"/>
  <c r="R76" i="16"/>
  <c r="S76" i="16"/>
  <c r="T76" i="16"/>
  <c r="U76" i="16"/>
  <c r="V76" i="16"/>
  <c r="W76" i="16"/>
  <c r="X76" i="16"/>
  <c r="Y76" i="16"/>
  <c r="Z76" i="16"/>
  <c r="AA76" i="16"/>
  <c r="AB76" i="16"/>
  <c r="AC76" i="16"/>
  <c r="AD76" i="16"/>
  <c r="H77" i="16"/>
  <c r="I77" i="16"/>
  <c r="J77" i="16"/>
  <c r="K77" i="16"/>
  <c r="L77" i="16"/>
  <c r="M77" i="16"/>
  <c r="N77" i="16"/>
  <c r="O77" i="16"/>
  <c r="P77" i="16"/>
  <c r="Q77" i="16"/>
  <c r="R77" i="16"/>
  <c r="S77" i="16"/>
  <c r="T77" i="16"/>
  <c r="U77" i="16"/>
  <c r="V77" i="16"/>
  <c r="W77" i="16"/>
  <c r="X77" i="16"/>
  <c r="Y77" i="16"/>
  <c r="Z77" i="16"/>
  <c r="AA77" i="16"/>
  <c r="AB77" i="16"/>
  <c r="AC77" i="16"/>
  <c r="AD77" i="16"/>
  <c r="H78" i="16"/>
  <c r="I78" i="16"/>
  <c r="J78" i="16"/>
  <c r="K78" i="16"/>
  <c r="L78" i="16"/>
  <c r="M78" i="16"/>
  <c r="N78" i="16"/>
  <c r="O78" i="16"/>
  <c r="P78" i="16"/>
  <c r="Q78" i="16"/>
  <c r="R78" i="16"/>
  <c r="S78" i="16"/>
  <c r="T78" i="16"/>
  <c r="U78" i="16"/>
  <c r="V78" i="16"/>
  <c r="W78" i="16"/>
  <c r="X78" i="16"/>
  <c r="Y78" i="16"/>
  <c r="Z78" i="16"/>
  <c r="AA78" i="16"/>
  <c r="AB78" i="16"/>
  <c r="AC78" i="16"/>
  <c r="AD78" i="16"/>
  <c r="H79" i="16"/>
  <c r="I79" i="16"/>
  <c r="J79" i="16"/>
  <c r="K79" i="16"/>
  <c r="L79" i="16"/>
  <c r="M79" i="16"/>
  <c r="N79" i="16"/>
  <c r="O79" i="16"/>
  <c r="P79" i="16"/>
  <c r="Q79" i="16"/>
  <c r="R79" i="16"/>
  <c r="S79" i="16"/>
  <c r="T79" i="16"/>
  <c r="U79" i="16"/>
  <c r="V79" i="16"/>
  <c r="W79" i="16"/>
  <c r="X79" i="16"/>
  <c r="Y79" i="16"/>
  <c r="Z79" i="16"/>
  <c r="AA79" i="16"/>
  <c r="AB79" i="16"/>
  <c r="AC79" i="16"/>
  <c r="AD79" i="16"/>
  <c r="H80" i="16"/>
  <c r="I80" i="16"/>
  <c r="J80" i="16"/>
  <c r="K80" i="16"/>
  <c r="L80" i="16"/>
  <c r="M80" i="16"/>
  <c r="N80" i="16"/>
  <c r="O80" i="16"/>
  <c r="P80" i="16"/>
  <c r="Q80" i="16"/>
  <c r="R80" i="16"/>
  <c r="S80" i="16"/>
  <c r="T80" i="16"/>
  <c r="U80" i="16"/>
  <c r="V80" i="16"/>
  <c r="W80" i="16"/>
  <c r="X80" i="16"/>
  <c r="Y80" i="16"/>
  <c r="Z80" i="16"/>
  <c r="AA80" i="16"/>
  <c r="AB80" i="16"/>
  <c r="AC80" i="16"/>
  <c r="AD80" i="16"/>
  <c r="H81" i="16"/>
  <c r="I81" i="16"/>
  <c r="J81" i="16"/>
  <c r="K81" i="16"/>
  <c r="L81" i="16"/>
  <c r="M81" i="16"/>
  <c r="N81" i="16"/>
  <c r="O81" i="16"/>
  <c r="P81" i="16"/>
  <c r="Q81" i="16"/>
  <c r="R81" i="16"/>
  <c r="S81" i="16"/>
  <c r="T81" i="16"/>
  <c r="U81" i="16"/>
  <c r="V81" i="16"/>
  <c r="W81" i="16"/>
  <c r="X81" i="16"/>
  <c r="Y81" i="16"/>
  <c r="Z81" i="16"/>
  <c r="AA81" i="16"/>
  <c r="AB81" i="16"/>
  <c r="AC81" i="16"/>
  <c r="AD81" i="16"/>
  <c r="H82" i="16"/>
  <c r="I82" i="16"/>
  <c r="J82" i="16"/>
  <c r="K82" i="16"/>
  <c r="L82" i="16"/>
  <c r="M82" i="16"/>
  <c r="N82" i="16"/>
  <c r="O82" i="16"/>
  <c r="P82" i="16"/>
  <c r="Q82" i="16"/>
  <c r="R82" i="16"/>
  <c r="S82" i="16"/>
  <c r="T82" i="16"/>
  <c r="U82" i="16"/>
  <c r="V82" i="16"/>
  <c r="W82" i="16"/>
  <c r="X82" i="16"/>
  <c r="Y82" i="16"/>
  <c r="Z82" i="16"/>
  <c r="AA82" i="16"/>
  <c r="AB82" i="16"/>
  <c r="AC82" i="16"/>
  <c r="AD82" i="16"/>
  <c r="H83" i="16"/>
  <c r="I83" i="16"/>
  <c r="J83" i="16"/>
  <c r="K83" i="16"/>
  <c r="L83" i="16"/>
  <c r="M83" i="16"/>
  <c r="N83" i="16"/>
  <c r="O83" i="16"/>
  <c r="P83" i="16"/>
  <c r="Q83" i="16"/>
  <c r="R83" i="16"/>
  <c r="S83" i="16"/>
  <c r="T83" i="16"/>
  <c r="U83" i="16"/>
  <c r="V83" i="16"/>
  <c r="W83" i="16"/>
  <c r="X83" i="16"/>
  <c r="Y83" i="16"/>
  <c r="Z83" i="16"/>
  <c r="AA83" i="16"/>
  <c r="AB83" i="16"/>
  <c r="AC83" i="16"/>
  <c r="AD83" i="16"/>
  <c r="H84" i="16"/>
  <c r="I84" i="16"/>
  <c r="J84" i="16"/>
  <c r="K84" i="16"/>
  <c r="L84" i="16"/>
  <c r="M84" i="16"/>
  <c r="N84" i="16"/>
  <c r="O84" i="16"/>
  <c r="P84" i="16"/>
  <c r="Q84" i="16"/>
  <c r="R84" i="16"/>
  <c r="S84" i="16"/>
  <c r="T84" i="16"/>
  <c r="U84" i="16"/>
  <c r="V84" i="16"/>
  <c r="W84" i="16"/>
  <c r="X84" i="16"/>
  <c r="Y84" i="16"/>
  <c r="Z84" i="16"/>
  <c r="AA84" i="16"/>
  <c r="AB84" i="16"/>
  <c r="AC84" i="16"/>
  <c r="AD84" i="16"/>
  <c r="H85" i="16"/>
  <c r="I85" i="16"/>
  <c r="J85" i="16"/>
  <c r="K85" i="16"/>
  <c r="L85" i="16"/>
  <c r="M85" i="16"/>
  <c r="N85" i="16"/>
  <c r="O85" i="16"/>
  <c r="P85" i="16"/>
  <c r="Q85" i="16"/>
  <c r="R85" i="16"/>
  <c r="S85" i="16"/>
  <c r="T85" i="16"/>
  <c r="U85" i="16"/>
  <c r="V85" i="16"/>
  <c r="W85" i="16"/>
  <c r="X85" i="16"/>
  <c r="Y85" i="16"/>
  <c r="Z85" i="16"/>
  <c r="AA85" i="16"/>
  <c r="AB85" i="16"/>
  <c r="AC85" i="16"/>
  <c r="AD85" i="16"/>
  <c r="H86" i="16"/>
  <c r="I86" i="16"/>
  <c r="J86" i="16"/>
  <c r="K86" i="16"/>
  <c r="L86" i="16"/>
  <c r="M86" i="16"/>
  <c r="N86" i="16"/>
  <c r="O86" i="16"/>
  <c r="P86" i="16"/>
  <c r="Q86" i="16"/>
  <c r="R86" i="16"/>
  <c r="S86" i="16"/>
  <c r="T86" i="16"/>
  <c r="U86" i="16"/>
  <c r="V86" i="16"/>
  <c r="W86" i="16"/>
  <c r="X86" i="16"/>
  <c r="Y86" i="16"/>
  <c r="Z86" i="16"/>
  <c r="AA86" i="16"/>
  <c r="AB86" i="16"/>
  <c r="AC86" i="16"/>
  <c r="AD86" i="16"/>
  <c r="H87" i="16"/>
  <c r="I87" i="16"/>
  <c r="J87" i="16"/>
  <c r="K87" i="16"/>
  <c r="L87" i="16"/>
  <c r="M87" i="16"/>
  <c r="N87" i="16"/>
  <c r="O87" i="16"/>
  <c r="P87" i="16"/>
  <c r="Q87" i="16"/>
  <c r="R87" i="16"/>
  <c r="S87" i="16"/>
  <c r="T87" i="16"/>
  <c r="U87" i="16"/>
  <c r="V87" i="16"/>
  <c r="W87" i="16"/>
  <c r="X87" i="16"/>
  <c r="Y87" i="16"/>
  <c r="Z87" i="16"/>
  <c r="AA87" i="16"/>
  <c r="AB87" i="16"/>
  <c r="AC87" i="16"/>
  <c r="AD87" i="16"/>
  <c r="H88" i="16"/>
  <c r="I88" i="16"/>
  <c r="J88" i="16"/>
  <c r="K88" i="16"/>
  <c r="L88" i="16"/>
  <c r="M88" i="16"/>
  <c r="N88" i="16"/>
  <c r="O88" i="16"/>
  <c r="P88" i="16"/>
  <c r="Q88" i="16"/>
  <c r="R88" i="16"/>
  <c r="S88" i="16"/>
  <c r="T88" i="16"/>
  <c r="U88" i="16"/>
  <c r="V88" i="16"/>
  <c r="W88" i="16"/>
  <c r="X88" i="16"/>
  <c r="Y88" i="16"/>
  <c r="Z88" i="16"/>
  <c r="AA88" i="16"/>
  <c r="AB88" i="16"/>
  <c r="AC88" i="16"/>
  <c r="AD88" i="16"/>
  <c r="H89" i="16"/>
  <c r="I89" i="16"/>
  <c r="J89" i="16"/>
  <c r="K89" i="16"/>
  <c r="L89" i="16"/>
  <c r="M89" i="16"/>
  <c r="N89" i="16"/>
  <c r="O89" i="16"/>
  <c r="P89" i="16"/>
  <c r="Q89" i="16"/>
  <c r="R89" i="16"/>
  <c r="S89" i="16"/>
  <c r="T89" i="16"/>
  <c r="U89" i="16"/>
  <c r="V89" i="16"/>
  <c r="W89" i="16"/>
  <c r="X89" i="16"/>
  <c r="Y89" i="16"/>
  <c r="Z89" i="16"/>
  <c r="AA89" i="16"/>
  <c r="AB89" i="16"/>
  <c r="AC89" i="16"/>
  <c r="AD89" i="16"/>
  <c r="H90" i="16"/>
  <c r="I90" i="16"/>
  <c r="J90" i="16"/>
  <c r="K90" i="16"/>
  <c r="L90" i="16"/>
  <c r="M90" i="16"/>
  <c r="N90" i="16"/>
  <c r="O90" i="16"/>
  <c r="P90" i="16"/>
  <c r="Q90" i="16"/>
  <c r="R90" i="16"/>
  <c r="S90" i="16"/>
  <c r="T90" i="16"/>
  <c r="U90" i="16"/>
  <c r="V90" i="16"/>
  <c r="W90" i="16"/>
  <c r="X90" i="16"/>
  <c r="Y90" i="16"/>
  <c r="Z90" i="16"/>
  <c r="AA90" i="16"/>
  <c r="AB90" i="16"/>
  <c r="AC90" i="16"/>
  <c r="AD90" i="16"/>
  <c r="H91" i="16"/>
  <c r="I91" i="16"/>
  <c r="J91" i="16"/>
  <c r="K91" i="16"/>
  <c r="L91" i="16"/>
  <c r="M91" i="16"/>
  <c r="N91" i="16"/>
  <c r="O91" i="16"/>
  <c r="P91" i="16"/>
  <c r="Q91" i="16"/>
  <c r="R91" i="16"/>
  <c r="S91" i="16"/>
  <c r="T91" i="16"/>
  <c r="U91" i="16"/>
  <c r="V91" i="16"/>
  <c r="W91" i="16"/>
  <c r="X91" i="16"/>
  <c r="Y91" i="16"/>
  <c r="Z91" i="16"/>
  <c r="AA91" i="16"/>
  <c r="AB91" i="16"/>
  <c r="AC91" i="16"/>
  <c r="AD91" i="16"/>
  <c r="H92" i="16"/>
  <c r="I92" i="16"/>
  <c r="J92" i="16"/>
  <c r="K92" i="16"/>
  <c r="L92" i="16"/>
  <c r="M92" i="16"/>
  <c r="N92" i="16"/>
  <c r="O92" i="16"/>
  <c r="P92" i="16"/>
  <c r="Q92" i="16"/>
  <c r="R92" i="16"/>
  <c r="S92" i="16"/>
  <c r="T92" i="16"/>
  <c r="U92" i="16"/>
  <c r="V92" i="16"/>
  <c r="W92" i="16"/>
  <c r="X92" i="16"/>
  <c r="Y92" i="16"/>
  <c r="Z92" i="16"/>
  <c r="AA92" i="16"/>
  <c r="AB92" i="16"/>
  <c r="AC92" i="16"/>
  <c r="AD92" i="16"/>
  <c r="H93" i="16"/>
  <c r="I93" i="16"/>
  <c r="J93" i="16"/>
  <c r="K93" i="16"/>
  <c r="L93" i="16"/>
  <c r="M93" i="16"/>
  <c r="N93" i="16"/>
  <c r="O93" i="16"/>
  <c r="P93" i="16"/>
  <c r="Q93" i="16"/>
  <c r="R93" i="16"/>
  <c r="S93" i="16"/>
  <c r="T93" i="16"/>
  <c r="U93" i="16"/>
  <c r="V93" i="16"/>
  <c r="W93" i="16"/>
  <c r="X93" i="16"/>
  <c r="Y93" i="16"/>
  <c r="Z93" i="16"/>
  <c r="AA93" i="16"/>
  <c r="AB93" i="16"/>
  <c r="AC93" i="16"/>
  <c r="AD93" i="16"/>
  <c r="H94" i="16"/>
  <c r="I94" i="16"/>
  <c r="J94" i="16"/>
  <c r="K94" i="16"/>
  <c r="L94" i="16"/>
  <c r="M94" i="16"/>
  <c r="N94" i="16"/>
  <c r="O94" i="16"/>
  <c r="P94" i="16"/>
  <c r="Q94" i="16"/>
  <c r="R94" i="16"/>
  <c r="S94" i="16"/>
  <c r="T94" i="16"/>
  <c r="U94" i="16"/>
  <c r="V94" i="16"/>
  <c r="W94" i="16"/>
  <c r="X94" i="16"/>
  <c r="Y94" i="16"/>
  <c r="Z94" i="16"/>
  <c r="AA94" i="16"/>
  <c r="AB94" i="16"/>
  <c r="AC94" i="16"/>
  <c r="AD94" i="16"/>
  <c r="H95" i="16"/>
  <c r="I95" i="16"/>
  <c r="J95" i="16"/>
  <c r="K95" i="16"/>
  <c r="L95" i="16"/>
  <c r="M95" i="16"/>
  <c r="N95" i="16"/>
  <c r="O95" i="16"/>
  <c r="P95" i="16"/>
  <c r="Q95" i="16"/>
  <c r="R95" i="16"/>
  <c r="S95" i="16"/>
  <c r="T95" i="16"/>
  <c r="U95" i="16"/>
  <c r="V95" i="16"/>
  <c r="W95" i="16"/>
  <c r="X95" i="16"/>
  <c r="Y95" i="16"/>
  <c r="Z95" i="16"/>
  <c r="AA95" i="16"/>
  <c r="AB95" i="16"/>
  <c r="AC95" i="16"/>
  <c r="AD95" i="16"/>
  <c r="H96" i="16"/>
  <c r="I96" i="16"/>
  <c r="J96" i="16"/>
  <c r="K96" i="16"/>
  <c r="L96" i="16"/>
  <c r="M96" i="16"/>
  <c r="N96" i="16"/>
  <c r="O96" i="16"/>
  <c r="P96" i="16"/>
  <c r="Q96" i="16"/>
  <c r="R96" i="16"/>
  <c r="S96" i="16"/>
  <c r="T96" i="16"/>
  <c r="U96" i="16"/>
  <c r="V96" i="16"/>
  <c r="W96" i="16"/>
  <c r="X96" i="16"/>
  <c r="Y96" i="16"/>
  <c r="Z96" i="16"/>
  <c r="AA96" i="16"/>
  <c r="AB96" i="16"/>
  <c r="AC96" i="16"/>
  <c r="AD96" i="16"/>
  <c r="H97" i="16"/>
  <c r="I97" i="16"/>
  <c r="J97" i="16"/>
  <c r="K97" i="16"/>
  <c r="L97" i="16"/>
  <c r="M97" i="16"/>
  <c r="N97" i="16"/>
  <c r="O97" i="16"/>
  <c r="P97" i="16"/>
  <c r="Q97" i="16"/>
  <c r="Q130" i="16" s="1"/>
  <c r="R97" i="16"/>
  <c r="S97" i="16"/>
  <c r="T97" i="16"/>
  <c r="U97" i="16"/>
  <c r="V97" i="16"/>
  <c r="W97" i="16"/>
  <c r="X97" i="16"/>
  <c r="Y97" i="16"/>
  <c r="Y130" i="16" s="1"/>
  <c r="Z97" i="16"/>
  <c r="AA97" i="16"/>
  <c r="AB97" i="16"/>
  <c r="AC97" i="16"/>
  <c r="AD97" i="16"/>
  <c r="G70" i="16"/>
  <c r="G71" i="16"/>
  <c r="G72" i="16"/>
  <c r="G73" i="16"/>
  <c r="G74" i="16"/>
  <c r="G75" i="16"/>
  <c r="G76" i="16"/>
  <c r="G77" i="16"/>
  <c r="G78" i="16"/>
  <c r="G79" i="16"/>
  <c r="G80" i="16"/>
  <c r="G81" i="16"/>
  <c r="G82" i="16"/>
  <c r="G83" i="16"/>
  <c r="G84" i="16"/>
  <c r="G85" i="16"/>
  <c r="G86" i="16"/>
  <c r="G87" i="16"/>
  <c r="G88" i="16"/>
  <c r="G89" i="16"/>
  <c r="G90" i="16"/>
  <c r="G91" i="16"/>
  <c r="G92" i="16"/>
  <c r="G93" i="16"/>
  <c r="G94" i="16"/>
  <c r="G95" i="16"/>
  <c r="G96" i="16"/>
  <c r="G97" i="16"/>
  <c r="F70" i="16"/>
  <c r="F71" i="16"/>
  <c r="F72" i="16"/>
  <c r="F73" i="16"/>
  <c r="F74" i="16"/>
  <c r="F75" i="16"/>
  <c r="F76" i="16"/>
  <c r="F77" i="16"/>
  <c r="F78" i="16"/>
  <c r="F79" i="16"/>
  <c r="F80" i="16"/>
  <c r="F81" i="16"/>
  <c r="F82" i="16"/>
  <c r="F83" i="16"/>
  <c r="F84" i="16"/>
  <c r="F85" i="16"/>
  <c r="F86" i="16"/>
  <c r="F87" i="16"/>
  <c r="F88" i="16"/>
  <c r="F89" i="16"/>
  <c r="F90" i="16"/>
  <c r="F91" i="16"/>
  <c r="F92" i="16"/>
  <c r="F93" i="16"/>
  <c r="F94" i="16"/>
  <c r="F95" i="16"/>
  <c r="F96" i="16"/>
  <c r="F97" i="16"/>
  <c r="AD69" i="16"/>
  <c r="AD102" i="16" s="1"/>
  <c r="AC69" i="16"/>
  <c r="AC102" i="16" s="1"/>
  <c r="AB69" i="16"/>
  <c r="AB102" i="16" s="1"/>
  <c r="AA69" i="16"/>
  <c r="AA102" i="16" s="1"/>
  <c r="Z69" i="16"/>
  <c r="Z102" i="16" s="1"/>
  <c r="Y69" i="16"/>
  <c r="X69" i="16"/>
  <c r="X102" i="16" s="1"/>
  <c r="W69" i="16"/>
  <c r="W102" i="16" s="1"/>
  <c r="V69" i="16"/>
  <c r="V102" i="16" s="1"/>
  <c r="U69" i="16"/>
  <c r="U102" i="16" s="1"/>
  <c r="T69" i="16"/>
  <c r="T102" i="16" s="1"/>
  <c r="S69" i="16"/>
  <c r="S102" i="16" s="1"/>
  <c r="R69" i="16"/>
  <c r="R102" i="16" s="1"/>
  <c r="Q69" i="16"/>
  <c r="P69" i="16"/>
  <c r="P102" i="16" s="1"/>
  <c r="O69" i="16"/>
  <c r="O102" i="16" s="1"/>
  <c r="N69" i="16"/>
  <c r="N102" i="16" s="1"/>
  <c r="E69" i="16"/>
  <c r="E102" i="16" s="1"/>
  <c r="M69" i="16"/>
  <c r="M102" i="16" s="1"/>
  <c r="L69" i="16"/>
  <c r="L102" i="16" s="1"/>
  <c r="K69" i="16"/>
  <c r="K102" i="16" s="1"/>
  <c r="J69" i="16"/>
  <c r="J102" i="16" s="1"/>
  <c r="I69" i="16"/>
  <c r="H69" i="16"/>
  <c r="H102" i="16" s="1"/>
  <c r="G69" i="16"/>
  <c r="G102" i="16" s="1"/>
  <c r="F69" i="16"/>
  <c r="F102" i="16" s="1"/>
  <c r="E70" i="16"/>
  <c r="E71" i="16"/>
  <c r="E72" i="16"/>
  <c r="E73" i="16"/>
  <c r="E74" i="16"/>
  <c r="E75" i="16"/>
  <c r="E76" i="16"/>
  <c r="E77" i="16"/>
  <c r="E78" i="16"/>
  <c r="E79" i="16"/>
  <c r="E80" i="16"/>
  <c r="E81" i="16"/>
  <c r="E82" i="16"/>
  <c r="E83" i="16"/>
  <c r="E84" i="16"/>
  <c r="E85" i="16"/>
  <c r="E86" i="16"/>
  <c r="E87" i="16"/>
  <c r="E88" i="16"/>
  <c r="E89" i="16"/>
  <c r="E90" i="16"/>
  <c r="E91" i="16"/>
  <c r="E92" i="16"/>
  <c r="E93" i="16"/>
  <c r="E94" i="16"/>
  <c r="E95" i="16"/>
  <c r="E96" i="16"/>
  <c r="E97" i="16"/>
  <c r="Q128" i="15"/>
  <c r="P128" i="15"/>
  <c r="O128" i="15"/>
  <c r="N128" i="15"/>
  <c r="M128" i="15"/>
  <c r="L128" i="15"/>
  <c r="K128" i="15"/>
  <c r="J128" i="15"/>
  <c r="I128" i="15"/>
  <c r="H128" i="15"/>
  <c r="G128" i="15"/>
  <c r="F128" i="15"/>
  <c r="E128" i="15"/>
  <c r="D128" i="15"/>
  <c r="C128" i="15"/>
  <c r="Q130" i="15"/>
  <c r="Q131" i="15"/>
  <c r="Q141" i="15" s="1"/>
  <c r="Q132" i="15"/>
  <c r="Q133" i="15"/>
  <c r="Q134" i="15"/>
  <c r="Q144" i="15" s="1"/>
  <c r="Q135" i="15"/>
  <c r="Q129" i="15"/>
  <c r="P130" i="15"/>
  <c r="P131" i="15"/>
  <c r="P132" i="15"/>
  <c r="P133" i="15"/>
  <c r="P134" i="15"/>
  <c r="P144" i="15" s="1"/>
  <c r="P135" i="15"/>
  <c r="P129" i="15"/>
  <c r="O130" i="15"/>
  <c r="O131" i="15"/>
  <c r="O132" i="15"/>
  <c r="O133" i="15"/>
  <c r="O134" i="15"/>
  <c r="O135" i="15"/>
  <c r="O145" i="15" s="1"/>
  <c r="O129" i="15"/>
  <c r="O139" i="15" s="1"/>
  <c r="M130" i="15"/>
  <c r="M131" i="15"/>
  <c r="M141" i="15" s="1"/>
  <c r="M132" i="15"/>
  <c r="M133" i="15"/>
  <c r="M134" i="15"/>
  <c r="M135" i="15"/>
  <c r="M129" i="15"/>
  <c r="L130" i="15"/>
  <c r="L140" i="15" s="1"/>
  <c r="L131" i="15"/>
  <c r="L132" i="15"/>
  <c r="L142" i="15" s="1"/>
  <c r="L133" i="15"/>
  <c r="L134" i="15"/>
  <c r="L135" i="15"/>
  <c r="L129" i="15"/>
  <c r="K130" i="15"/>
  <c r="K131" i="15"/>
  <c r="K132" i="15"/>
  <c r="K133" i="15"/>
  <c r="K143" i="15" s="1"/>
  <c r="K134" i="15"/>
  <c r="K135" i="15"/>
  <c r="K129" i="15"/>
  <c r="K139" i="15" s="1"/>
  <c r="J130" i="15"/>
  <c r="J131" i="15"/>
  <c r="J141" i="15" s="1"/>
  <c r="J132" i="15"/>
  <c r="J133" i="15"/>
  <c r="J134" i="15"/>
  <c r="J144" i="15" s="1"/>
  <c r="J135" i="15"/>
  <c r="J129" i="15"/>
  <c r="J139" i="15" s="1"/>
  <c r="H130" i="15"/>
  <c r="H131" i="15"/>
  <c r="H132" i="15"/>
  <c r="H142" i="15" s="1"/>
  <c r="H133" i="15"/>
  <c r="H134" i="15"/>
  <c r="H135" i="15"/>
  <c r="H145" i="15" s="1"/>
  <c r="H129" i="15"/>
  <c r="H139" i="15" s="1"/>
  <c r="G130" i="15"/>
  <c r="G131" i="15"/>
  <c r="G132" i="15"/>
  <c r="G133" i="15"/>
  <c r="G143" i="15" s="1"/>
  <c r="G134" i="15"/>
  <c r="G135" i="15"/>
  <c r="G129" i="15"/>
  <c r="G139" i="15" s="1"/>
  <c r="F130" i="15"/>
  <c r="F131" i="15"/>
  <c r="F132" i="15"/>
  <c r="F133" i="15"/>
  <c r="F134" i="15"/>
  <c r="F144" i="15" s="1"/>
  <c r="F135" i="15"/>
  <c r="F129" i="15"/>
  <c r="E130" i="15"/>
  <c r="E131" i="15"/>
  <c r="E132" i="15"/>
  <c r="E133" i="15"/>
  <c r="E134" i="15"/>
  <c r="E135" i="15"/>
  <c r="E145" i="15" s="1"/>
  <c r="E129" i="15"/>
  <c r="E139" i="15" s="1"/>
  <c r="C130" i="15"/>
  <c r="C131" i="15"/>
  <c r="C132" i="15"/>
  <c r="C133" i="15"/>
  <c r="C134" i="15"/>
  <c r="C135" i="15"/>
  <c r="C129" i="15"/>
  <c r="N130" i="15"/>
  <c r="N140" i="15" s="1"/>
  <c r="N131" i="15"/>
  <c r="N132" i="15"/>
  <c r="N133" i="15"/>
  <c r="N134" i="15"/>
  <c r="N135" i="15"/>
  <c r="N129" i="15"/>
  <c r="I130" i="15"/>
  <c r="I131" i="15"/>
  <c r="I132" i="15"/>
  <c r="I133" i="15"/>
  <c r="I134" i="15"/>
  <c r="I135" i="15"/>
  <c r="I129" i="15"/>
  <c r="I139" i="15" s="1"/>
  <c r="D130" i="15"/>
  <c r="D131" i="15"/>
  <c r="D132" i="15"/>
  <c r="D133" i="15"/>
  <c r="D134" i="15"/>
  <c r="D135" i="15"/>
  <c r="D129" i="15"/>
  <c r="D139" i="15" s="1"/>
  <c r="L92" i="14" a="1"/>
  <c r="L92" i="14" s="1"/>
  <c r="L91" i="14" a="1"/>
  <c r="L91" i="14" s="1"/>
  <c r="L85" i="14" a="1"/>
  <c r="L85" i="14" s="1"/>
  <c r="L94" i="14" a="1"/>
  <c r="L94" i="14" s="1"/>
  <c r="L89" i="14" a="1"/>
  <c r="L89" i="14" s="1"/>
  <c r="L93" i="14" a="1"/>
  <c r="L93" i="14" s="1"/>
  <c r="L86" i="14" a="1"/>
  <c r="L86" i="14" s="1"/>
  <c r="L90" i="14" a="1"/>
  <c r="L90" i="14" s="1"/>
  <c r="L83" i="14" a="1"/>
  <c r="L83" i="14" s="1"/>
  <c r="L88" i="14" a="1"/>
  <c r="L88" i="14" s="1"/>
  <c r="L87" i="14" a="1"/>
  <c r="L87" i="14" s="1"/>
  <c r="L84" i="14" a="1"/>
  <c r="L84" i="14" s="1"/>
  <c r="K92" i="14" a="1"/>
  <c r="K92" i="14" s="1"/>
  <c r="K91" i="14" a="1"/>
  <c r="K91" i="14" s="1"/>
  <c r="K85" i="14" a="1"/>
  <c r="K85" i="14" s="1"/>
  <c r="K94" i="14" a="1"/>
  <c r="K94" i="14" s="1"/>
  <c r="K89" i="14" a="1"/>
  <c r="K89" i="14" s="1"/>
  <c r="K93" i="14" a="1"/>
  <c r="K93" i="14" s="1"/>
  <c r="K86" i="14" a="1"/>
  <c r="K86" i="14" s="1"/>
  <c r="K90" i="14" a="1"/>
  <c r="K90" i="14" s="1"/>
  <c r="K83" i="14" a="1"/>
  <c r="K83" i="14" s="1"/>
  <c r="K88" i="14" a="1"/>
  <c r="K88" i="14" s="1"/>
  <c r="K87" i="14" a="1"/>
  <c r="K87" i="14" s="1"/>
  <c r="K84" i="14" a="1"/>
  <c r="K84" i="14" s="1"/>
  <c r="H92" i="14" a="1"/>
  <c r="H92" i="14" s="1"/>
  <c r="H91" i="14" a="1"/>
  <c r="H91" i="14" s="1"/>
  <c r="H85" i="14" a="1"/>
  <c r="H85" i="14" s="1"/>
  <c r="H94" i="14" a="1"/>
  <c r="H94" i="14" s="1"/>
  <c r="H89" i="14" a="1"/>
  <c r="H89" i="14" s="1"/>
  <c r="H93" i="14" a="1"/>
  <c r="H93" i="14" s="1"/>
  <c r="H86" i="14" a="1"/>
  <c r="H86" i="14" s="1"/>
  <c r="H90" i="14" a="1"/>
  <c r="H90" i="14" s="1"/>
  <c r="H83" i="14" a="1"/>
  <c r="H83" i="14" s="1"/>
  <c r="H88" i="14" a="1"/>
  <c r="H88" i="14" s="1"/>
  <c r="H87" i="14" a="1"/>
  <c r="H87" i="14" s="1"/>
  <c r="H84" i="14" a="1"/>
  <c r="H84" i="14" s="1"/>
  <c r="G92" i="14" a="1"/>
  <c r="G92" i="14" s="1"/>
  <c r="G91" i="14" a="1"/>
  <c r="G91" i="14" s="1"/>
  <c r="G85" i="14" a="1"/>
  <c r="G85" i="14" s="1"/>
  <c r="G94" i="14" a="1"/>
  <c r="G94" i="14" s="1"/>
  <c r="G89" i="14" a="1"/>
  <c r="G89" i="14" s="1"/>
  <c r="G93" i="14" a="1"/>
  <c r="G93" i="14" s="1"/>
  <c r="G86" i="14" a="1"/>
  <c r="G86" i="14" s="1"/>
  <c r="G90" i="14" a="1"/>
  <c r="G90" i="14" s="1"/>
  <c r="G83" i="14" a="1"/>
  <c r="G83" i="14" s="1"/>
  <c r="G88" i="14" a="1"/>
  <c r="G88" i="14" s="1"/>
  <c r="G87" i="14" a="1"/>
  <c r="G87" i="14" s="1"/>
  <c r="G84" i="14" a="1"/>
  <c r="G84" i="14" s="1"/>
  <c r="D92" i="14" a="1"/>
  <c r="D92" i="14" s="1"/>
  <c r="D91" i="14" a="1"/>
  <c r="D91" i="14" s="1"/>
  <c r="D85" i="14" a="1"/>
  <c r="D85" i="14" s="1"/>
  <c r="D94" i="14" a="1"/>
  <c r="D94" i="14" s="1"/>
  <c r="D89" i="14" a="1"/>
  <c r="D89" i="14" s="1"/>
  <c r="D93" i="14" a="1"/>
  <c r="D93" i="14" s="1"/>
  <c r="D86" i="14" a="1"/>
  <c r="D86" i="14" s="1"/>
  <c r="D90" i="14" a="1"/>
  <c r="D90" i="14" s="1"/>
  <c r="D83" i="14" a="1"/>
  <c r="D83" i="14" s="1"/>
  <c r="D88" i="14" a="1"/>
  <c r="D88" i="14" s="1"/>
  <c r="D87" i="14" a="1"/>
  <c r="D87" i="14" s="1"/>
  <c r="D84" i="14" a="1"/>
  <c r="D84" i="14" s="1"/>
  <c r="C92" i="14" a="1"/>
  <c r="C92" i="14" s="1"/>
  <c r="C91" i="14" a="1"/>
  <c r="C91" i="14" s="1"/>
  <c r="C85" i="14" a="1"/>
  <c r="C85" i="14" s="1"/>
  <c r="C94" i="14" a="1"/>
  <c r="C94" i="14" s="1"/>
  <c r="C89" i="14" a="1"/>
  <c r="C89" i="14" s="1"/>
  <c r="F89" i="14" s="1"/>
  <c r="C93" i="14" a="1"/>
  <c r="C93" i="14" s="1"/>
  <c r="C86" i="14" a="1"/>
  <c r="C86" i="14" s="1"/>
  <c r="C90" i="14" a="1"/>
  <c r="C90" i="14" s="1"/>
  <c r="C83" i="14" a="1"/>
  <c r="C83" i="14" s="1"/>
  <c r="C88" i="14" a="1"/>
  <c r="C88" i="14" s="1"/>
  <c r="C87" i="14" a="1"/>
  <c r="C87" i="14" s="1"/>
  <c r="C84" i="14" a="1"/>
  <c r="C84" i="14" s="1"/>
  <c r="P34" i="14"/>
  <c r="P35" i="14"/>
  <c r="P36" i="14"/>
  <c r="P37" i="14"/>
  <c r="P38" i="14"/>
  <c r="P39" i="14"/>
  <c r="P40" i="14"/>
  <c r="P41" i="14"/>
  <c r="P42" i="14"/>
  <c r="Q42" i="14" s="1"/>
  <c r="P43" i="14"/>
  <c r="P44" i="14"/>
  <c r="P45" i="14"/>
  <c r="N34" i="14"/>
  <c r="N35" i="14"/>
  <c r="N36" i="14"/>
  <c r="N37" i="14"/>
  <c r="N38" i="14"/>
  <c r="O38" i="14" s="1"/>
  <c r="N39" i="14"/>
  <c r="N40" i="14"/>
  <c r="N41" i="14"/>
  <c r="N42" i="14"/>
  <c r="N43" i="14"/>
  <c r="N44" i="14"/>
  <c r="N45" i="14"/>
  <c r="N33" i="14"/>
  <c r="P33" i="14"/>
  <c r="L34" i="14"/>
  <c r="L35" i="14"/>
  <c r="L36" i="14"/>
  <c r="L37" i="14"/>
  <c r="L38" i="14"/>
  <c r="L39" i="14"/>
  <c r="L40" i="14"/>
  <c r="M40" i="14" s="1"/>
  <c r="L41" i="14"/>
  <c r="M41" i="14" s="1"/>
  <c r="L42" i="14"/>
  <c r="L43" i="14"/>
  <c r="L44" i="14"/>
  <c r="L45" i="14"/>
  <c r="L33" i="14"/>
  <c r="R19" i="13" a="1"/>
  <c r="R19" i="13" s="1"/>
  <c r="R20" i="13" a="1"/>
  <c r="R20" i="13" s="1"/>
  <c r="S20" i="13" s="1"/>
  <c r="R21" i="13" a="1"/>
  <c r="R21" i="13" s="1"/>
  <c r="S21" i="13" s="1"/>
  <c r="R22" i="13" a="1"/>
  <c r="R22" i="13" s="1"/>
  <c r="R23" i="13" a="1"/>
  <c r="R23" i="13" s="1"/>
  <c r="R24" i="13" a="1"/>
  <c r="R24" i="13" s="1"/>
  <c r="F49" i="12" a="1"/>
  <c r="F49" i="12" s="1"/>
  <c r="F50" i="12" a="1"/>
  <c r="F50" i="12" s="1"/>
  <c r="F51" i="12" a="1"/>
  <c r="F51" i="12" s="1"/>
  <c r="F52" i="12" a="1"/>
  <c r="F52" i="12" s="1"/>
  <c r="F53" i="12" a="1"/>
  <c r="F53" i="12" s="1"/>
  <c r="F54" i="12" a="1"/>
  <c r="F54" i="12" s="1"/>
  <c r="F55" i="12" a="1"/>
  <c r="F55" i="12" s="1"/>
  <c r="F56" i="12" a="1"/>
  <c r="F56" i="12" s="1"/>
  <c r="F57" i="12" a="1"/>
  <c r="F57" i="12" s="1"/>
  <c r="F58" i="12" a="1"/>
  <c r="F58" i="12" s="1"/>
  <c r="F59" i="12" a="1"/>
  <c r="F59" i="12" s="1"/>
  <c r="F60" i="12" a="1"/>
  <c r="F60" i="12" s="1"/>
  <c r="F61" i="12" a="1"/>
  <c r="F61" i="12" s="1"/>
  <c r="F62" i="12" a="1"/>
  <c r="F62" i="12" s="1"/>
  <c r="F63" i="12" a="1"/>
  <c r="F63" i="12" s="1"/>
  <c r="F64" i="12" a="1"/>
  <c r="F64" i="12" s="1"/>
  <c r="F65" i="12" a="1"/>
  <c r="F65" i="12" s="1"/>
  <c r="F66" i="12" a="1"/>
  <c r="F66" i="12" s="1"/>
  <c r="F67" i="12" a="1"/>
  <c r="F67" i="12" s="1"/>
  <c r="F68" i="12" a="1"/>
  <c r="F68" i="12" s="1"/>
  <c r="F69" i="12" a="1"/>
  <c r="F69" i="12" s="1"/>
  <c r="F70" i="12" a="1"/>
  <c r="F70" i="12" s="1"/>
  <c r="F71" i="12" a="1"/>
  <c r="F71" i="12" s="1"/>
  <c r="F48" i="12" a="1"/>
  <c r="F48" i="12" s="1"/>
  <c r="E49" i="12" a="1"/>
  <c r="E49" i="12" s="1"/>
  <c r="E50" i="12" a="1"/>
  <c r="E50" i="12" s="1"/>
  <c r="E51" i="12" a="1"/>
  <c r="E51" i="12" s="1"/>
  <c r="E52" i="12" a="1"/>
  <c r="E52" i="12" s="1"/>
  <c r="E53" i="12" a="1"/>
  <c r="E53" i="12" s="1"/>
  <c r="E54" i="12" a="1"/>
  <c r="E54" i="12" s="1"/>
  <c r="E55" i="12" a="1"/>
  <c r="E55" i="12" s="1"/>
  <c r="E56" i="12" a="1"/>
  <c r="E56" i="12" s="1"/>
  <c r="E57" i="12" a="1"/>
  <c r="E57" i="12" s="1"/>
  <c r="E58" i="12" a="1"/>
  <c r="E58" i="12" s="1"/>
  <c r="E59" i="12" a="1"/>
  <c r="E59" i="12" s="1"/>
  <c r="E60" i="12" a="1"/>
  <c r="E60" i="12" s="1"/>
  <c r="E61" i="12" a="1"/>
  <c r="E61" i="12" s="1"/>
  <c r="E62" i="12" a="1"/>
  <c r="E62" i="12" s="1"/>
  <c r="E63" i="12" a="1"/>
  <c r="E63" i="12" s="1"/>
  <c r="E64" i="12" a="1"/>
  <c r="E64" i="12" s="1"/>
  <c r="E65" i="12" a="1"/>
  <c r="E65" i="12" s="1"/>
  <c r="E66" i="12" a="1"/>
  <c r="E66" i="12" s="1"/>
  <c r="E67" i="12" a="1"/>
  <c r="E67" i="12" s="1"/>
  <c r="E68" i="12" a="1"/>
  <c r="E68" i="12" s="1"/>
  <c r="E69" i="12" a="1"/>
  <c r="E69" i="12" s="1"/>
  <c r="E70" i="12" a="1"/>
  <c r="E70" i="12" s="1"/>
  <c r="E71" i="12" a="1"/>
  <c r="E71" i="12" s="1"/>
  <c r="E48" i="12" a="1"/>
  <c r="E48" i="12" s="1"/>
  <c r="D50" i="12" a="1"/>
  <c r="D50" i="12" s="1"/>
  <c r="D51" i="12" a="1"/>
  <c r="D51" i="12" s="1"/>
  <c r="D52" i="12" a="1"/>
  <c r="D52" i="12" s="1"/>
  <c r="D53" i="12" a="1"/>
  <c r="D53" i="12" s="1"/>
  <c r="D54" i="12" a="1"/>
  <c r="D54" i="12" s="1"/>
  <c r="D55" i="12" a="1"/>
  <c r="D55" i="12" s="1"/>
  <c r="D56" i="12" a="1"/>
  <c r="D56" i="12" s="1"/>
  <c r="D57" i="12" a="1"/>
  <c r="D57" i="12" s="1"/>
  <c r="D58" i="12" a="1"/>
  <c r="D58" i="12" s="1"/>
  <c r="D59" i="12" a="1"/>
  <c r="D59" i="12" s="1"/>
  <c r="D60" i="12" a="1"/>
  <c r="D60" i="12" s="1"/>
  <c r="D61" i="12" a="1"/>
  <c r="D61" i="12" s="1"/>
  <c r="D62" i="12" a="1"/>
  <c r="D62" i="12" s="1"/>
  <c r="D63" i="12" a="1"/>
  <c r="D63" i="12" s="1"/>
  <c r="D64" i="12" a="1"/>
  <c r="D64" i="12" s="1"/>
  <c r="D65" i="12" a="1"/>
  <c r="D65" i="12" s="1"/>
  <c r="D66" i="12" a="1"/>
  <c r="D66" i="12" s="1"/>
  <c r="D67" i="12" a="1"/>
  <c r="D67" i="12" s="1"/>
  <c r="D68" i="12" a="1"/>
  <c r="D68" i="12" s="1"/>
  <c r="D69" i="12" a="1"/>
  <c r="D69" i="12" s="1"/>
  <c r="D70" i="12" a="1"/>
  <c r="D70" i="12" s="1"/>
  <c r="D71" i="12" a="1"/>
  <c r="D71" i="12" s="1"/>
  <c r="D49" i="12" a="1"/>
  <c r="D49" i="12" s="1"/>
  <c r="D48" i="12" a="1"/>
  <c r="D48" i="12" s="1"/>
  <c r="C10" i="19" l="1"/>
  <c r="C7" i="19"/>
  <c r="AD120" i="16"/>
  <c r="T118" i="16"/>
  <c r="I130" i="16"/>
  <c r="X129" i="16"/>
  <c r="P129" i="16"/>
  <c r="H129" i="16"/>
  <c r="W128" i="16"/>
  <c r="O128" i="16"/>
  <c r="AD127" i="16"/>
  <c r="V127" i="16"/>
  <c r="N127" i="16"/>
  <c r="AC126" i="16"/>
  <c r="U126" i="16"/>
  <c r="M126" i="16"/>
  <c r="AB125" i="16"/>
  <c r="T125" i="16"/>
  <c r="L125" i="16"/>
  <c r="AA124" i="16"/>
  <c r="S124" i="16"/>
  <c r="K124" i="16"/>
  <c r="Z123" i="16"/>
  <c r="R123" i="16"/>
  <c r="J123" i="16"/>
  <c r="Y122" i="16"/>
  <c r="Q122" i="16"/>
  <c r="I122" i="16"/>
  <c r="X121" i="16"/>
  <c r="P121" i="16"/>
  <c r="H121" i="16"/>
  <c r="W120" i="16"/>
  <c r="O120" i="16"/>
  <c r="AD119" i="16"/>
  <c r="V119" i="16"/>
  <c r="N119" i="16"/>
  <c r="AC118" i="16"/>
  <c r="U118" i="16"/>
  <c r="M118" i="16"/>
  <c r="AB117" i="16"/>
  <c r="T117" i="16"/>
  <c r="L117" i="16"/>
  <c r="AA116" i="16"/>
  <c r="S116" i="16"/>
  <c r="K116" i="16"/>
  <c r="Z115" i="16"/>
  <c r="R115" i="16"/>
  <c r="J115" i="16"/>
  <c r="Y114" i="16"/>
  <c r="Q114" i="16"/>
  <c r="I114" i="16"/>
  <c r="X113" i="16"/>
  <c r="P113" i="16"/>
  <c r="W112" i="16"/>
  <c r="O112" i="16"/>
  <c r="AD111" i="16"/>
  <c r="V111" i="16"/>
  <c r="N111" i="16"/>
  <c r="AC110" i="16"/>
  <c r="U110" i="16"/>
  <c r="M110" i="16"/>
  <c r="AB109" i="16"/>
  <c r="T109" i="16"/>
  <c r="L109" i="16"/>
  <c r="AA108" i="16"/>
  <c r="S108" i="16"/>
  <c r="K108" i="16"/>
  <c r="X130" i="16"/>
  <c r="P130" i="16"/>
  <c r="H130" i="16"/>
  <c r="W129" i="16"/>
  <c r="O129" i="16"/>
  <c r="AD128" i="16"/>
  <c r="V128" i="16"/>
  <c r="N128" i="16"/>
  <c r="AB126" i="16"/>
  <c r="AA125" i="16"/>
  <c r="R124" i="16"/>
  <c r="Q123" i="16"/>
  <c r="H122" i="16"/>
  <c r="N126" i="16"/>
  <c r="U107" i="16"/>
  <c r="AA105" i="16"/>
  <c r="S105" i="16"/>
  <c r="K105" i="16"/>
  <c r="J117" i="16"/>
  <c r="Y116" i="16"/>
  <c r="Q116" i="16"/>
  <c r="I116" i="16"/>
  <c r="X115" i="16"/>
  <c r="P115" i="16"/>
  <c r="H115" i="16"/>
  <c r="W114" i="16"/>
  <c r="O114" i="16"/>
  <c r="AD113" i="16"/>
  <c r="V113" i="16"/>
  <c r="N113" i="16"/>
  <c r="AC112" i="16"/>
  <c r="U112" i="16"/>
  <c r="M112" i="16"/>
  <c r="AB111" i="16"/>
  <c r="T111" i="16"/>
  <c r="L111" i="16"/>
  <c r="AA110" i="16"/>
  <c r="S110" i="16"/>
  <c r="K110" i="16"/>
  <c r="Z109" i="16"/>
  <c r="R109" i="16"/>
  <c r="J109" i="16"/>
  <c r="Y108" i="16"/>
  <c r="Q108" i="16"/>
  <c r="I108" i="16"/>
  <c r="X107" i="16"/>
  <c r="P107" i="16"/>
  <c r="H107" i="16"/>
  <c r="W106" i="16"/>
  <c r="O106" i="16"/>
  <c r="AD105" i="16"/>
  <c r="V105" i="16"/>
  <c r="N105" i="16"/>
  <c r="AC104" i="16"/>
  <c r="U104" i="16"/>
  <c r="M104" i="16"/>
  <c r="I102" i="16"/>
  <c r="Q102" i="16"/>
  <c r="Y102" i="16"/>
  <c r="D129" i="16"/>
  <c r="D121" i="16"/>
  <c r="D113" i="16"/>
  <c r="J116" i="16"/>
  <c r="W130" i="16"/>
  <c r="O130" i="16"/>
  <c r="AD129" i="16"/>
  <c r="V129" i="16"/>
  <c r="N129" i="16"/>
  <c r="AC128" i="16"/>
  <c r="U128" i="16"/>
  <c r="M128" i="16"/>
  <c r="AB127" i="16"/>
  <c r="T127" i="16"/>
  <c r="L127" i="16"/>
  <c r="AA126" i="16"/>
  <c r="S126" i="16"/>
  <c r="K126" i="16"/>
  <c r="Z125" i="16"/>
  <c r="R125" i="16"/>
  <c r="J125" i="16"/>
  <c r="Y124" i="16"/>
  <c r="Q124" i="16"/>
  <c r="I124" i="16"/>
  <c r="X123" i="16"/>
  <c r="P123" i="16"/>
  <c r="H123" i="16"/>
  <c r="W122" i="16"/>
  <c r="O122" i="16"/>
  <c r="AD121" i="16"/>
  <c r="V121" i="16"/>
  <c r="N121" i="16"/>
  <c r="AC120" i="16"/>
  <c r="U120" i="16"/>
  <c r="M120" i="16"/>
  <c r="AB119" i="16"/>
  <c r="T119" i="16"/>
  <c r="L119" i="16"/>
  <c r="AA118" i="16"/>
  <c r="S118" i="16"/>
  <c r="K118" i="16"/>
  <c r="Z117" i="16"/>
  <c r="R117" i="16"/>
  <c r="G118" i="16"/>
  <c r="S127" i="16"/>
  <c r="I125" i="16"/>
  <c r="E106" i="16"/>
  <c r="F128" i="16"/>
  <c r="AB130" i="16"/>
  <c r="T130" i="16"/>
  <c r="L130" i="16"/>
  <c r="AA129" i="16"/>
  <c r="S129" i="16"/>
  <c r="K129" i="16"/>
  <c r="Z128" i="16"/>
  <c r="R128" i="16"/>
  <c r="J128" i="16"/>
  <c r="W125" i="16"/>
  <c r="V124" i="16"/>
  <c r="M123" i="16"/>
  <c r="Y119" i="16"/>
  <c r="O117" i="16"/>
  <c r="E103" i="16"/>
  <c r="F125" i="16"/>
  <c r="F117" i="16"/>
  <c r="F109" i="16"/>
  <c r="G129" i="16"/>
  <c r="G121" i="16"/>
  <c r="G113" i="16"/>
  <c r="G105" i="16"/>
  <c r="H113" i="16"/>
  <c r="D141" i="15"/>
  <c r="C139" i="15"/>
  <c r="M139" i="15"/>
  <c r="L139" i="15"/>
  <c r="I145" i="15"/>
  <c r="N144" i="15"/>
  <c r="C143" i="15"/>
  <c r="E142" i="15"/>
  <c r="F141" i="15"/>
  <c r="K145" i="15"/>
  <c r="L144" i="15"/>
  <c r="M143" i="15"/>
  <c r="O142" i="15"/>
  <c r="P141" i="15"/>
  <c r="I140" i="15"/>
  <c r="K140" i="15"/>
  <c r="N139" i="15"/>
  <c r="C145" i="15"/>
  <c r="E144" i="15"/>
  <c r="F143" i="15"/>
  <c r="G142" i="15"/>
  <c r="H141" i="15"/>
  <c r="M145" i="15"/>
  <c r="O144" i="15"/>
  <c r="P143" i="15"/>
  <c r="D145" i="15"/>
  <c r="I144" i="15"/>
  <c r="N143" i="15"/>
  <c r="C142" i="15"/>
  <c r="E141" i="15"/>
  <c r="J145" i="15"/>
  <c r="K144" i="15"/>
  <c r="L143" i="15"/>
  <c r="M142" i="15"/>
  <c r="O141" i="15"/>
  <c r="Q139" i="15"/>
  <c r="F139" i="15"/>
  <c r="P139" i="15"/>
  <c r="D142" i="15"/>
  <c r="I141" i="15"/>
  <c r="F145" i="15"/>
  <c r="G144" i="15"/>
  <c r="H143" i="15"/>
  <c r="J142" i="15"/>
  <c r="K141" i="15"/>
  <c r="P145" i="15"/>
  <c r="Q143" i="15"/>
  <c r="D140" i="15"/>
  <c r="J140" i="15"/>
  <c r="Q142" i="15"/>
  <c r="N145" i="15"/>
  <c r="C144" i="15"/>
  <c r="E143" i="15"/>
  <c r="F142" i="15"/>
  <c r="G141" i="15"/>
  <c r="H140" i="15"/>
  <c r="L145" i="15"/>
  <c r="M144" i="15"/>
  <c r="O143" i="15"/>
  <c r="P142" i="15"/>
  <c r="G140" i="15"/>
  <c r="Q140" i="15"/>
  <c r="F140" i="15"/>
  <c r="P140" i="15"/>
  <c r="D144" i="15"/>
  <c r="I143" i="15"/>
  <c r="N142" i="15"/>
  <c r="C141" i="15"/>
  <c r="E140" i="15"/>
  <c r="O140" i="15"/>
  <c r="D143" i="15"/>
  <c r="I142" i="15"/>
  <c r="N141" i="15"/>
  <c r="C140" i="15"/>
  <c r="G145" i="15"/>
  <c r="H144" i="15"/>
  <c r="J143" i="15"/>
  <c r="K142" i="15"/>
  <c r="L141" i="15"/>
  <c r="M140" i="15"/>
  <c r="Q145" i="15"/>
  <c r="M92" i="14"/>
  <c r="O39" i="14"/>
  <c r="Q43" i="14"/>
  <c r="Q35" i="14"/>
  <c r="M39" i="14"/>
  <c r="O45" i="14"/>
  <c r="O37" i="14"/>
  <c r="Q41" i="14"/>
  <c r="N87" i="14"/>
  <c r="M38" i="14"/>
  <c r="O44" i="14"/>
  <c r="O36" i="14"/>
  <c r="Q40" i="14"/>
  <c r="M43" i="14"/>
  <c r="M35" i="14"/>
  <c r="O41" i="14"/>
  <c r="Q45" i="14"/>
  <c r="Q37" i="14"/>
  <c r="F88" i="14"/>
  <c r="J88" i="14"/>
  <c r="J91" i="14"/>
  <c r="N88" i="14"/>
  <c r="F83" i="14"/>
  <c r="F92" i="14"/>
  <c r="J92" i="14"/>
  <c r="I90" i="14"/>
  <c r="E87" i="14"/>
  <c r="E85" i="14"/>
  <c r="E88" i="14"/>
  <c r="F87" i="14"/>
  <c r="F85" i="14"/>
  <c r="J87" i="14"/>
  <c r="J85" i="14"/>
  <c r="N85" i="14"/>
  <c r="N91" i="14"/>
  <c r="N83" i="14"/>
  <c r="N92" i="14"/>
  <c r="M90" i="14"/>
  <c r="F86" i="14"/>
  <c r="I86" i="14"/>
  <c r="M86" i="14"/>
  <c r="M93" i="14"/>
  <c r="F93" i="14"/>
  <c r="I89" i="14"/>
  <c r="M89" i="14"/>
  <c r="E91" i="14"/>
  <c r="I93" i="14"/>
  <c r="F90" i="14"/>
  <c r="F84" i="14"/>
  <c r="F94" i="14"/>
  <c r="J84" i="14"/>
  <c r="J94" i="14"/>
  <c r="N84" i="14"/>
  <c r="N94" i="14"/>
  <c r="C11" i="19"/>
  <c r="C12" i="19"/>
  <c r="C8" i="19"/>
  <c r="F6" i="19" s="1"/>
  <c r="G6" i="19" s="1"/>
  <c r="C9" i="19"/>
  <c r="S18" i="13"/>
  <c r="S19" i="13"/>
  <c r="S22" i="13"/>
  <c r="S24" i="13"/>
  <c r="S23" i="13"/>
  <c r="Y110" i="16"/>
  <c r="AA104" i="16"/>
  <c r="K104" i="16"/>
  <c r="D125" i="16"/>
  <c r="E129" i="16"/>
  <c r="E121" i="16"/>
  <c r="E113" i="16"/>
  <c r="E105" i="16"/>
  <c r="F127" i="16"/>
  <c r="F119" i="16"/>
  <c r="F111" i="16"/>
  <c r="G123" i="16"/>
  <c r="G115" i="16"/>
  <c r="G107" i="16"/>
  <c r="D107" i="16"/>
  <c r="E125" i="16"/>
  <c r="E117" i="16"/>
  <c r="G127" i="16"/>
  <c r="E126" i="16"/>
  <c r="E109" i="16"/>
  <c r="F123" i="16"/>
  <c r="F115" i="16"/>
  <c r="F107" i="16"/>
  <c r="E123" i="16"/>
  <c r="E115" i="16"/>
  <c r="E107" i="16"/>
  <c r="E120" i="16"/>
  <c r="E112" i="16"/>
  <c r="E127" i="16"/>
  <c r="E119" i="16"/>
  <c r="E111" i="16"/>
  <c r="G119" i="16"/>
  <c r="G111" i="16"/>
  <c r="D127" i="16"/>
  <c r="D119" i="16"/>
  <c r="D111" i="16"/>
  <c r="D103" i="16"/>
  <c r="F129" i="16"/>
  <c r="F121" i="16"/>
  <c r="F113" i="16"/>
  <c r="F105" i="16"/>
  <c r="G125" i="16"/>
  <c r="G117" i="16"/>
  <c r="G109" i="16"/>
  <c r="AC130" i="16"/>
  <c r="U130" i="16"/>
  <c r="M130" i="16"/>
  <c r="AB129" i="16"/>
  <c r="T129" i="16"/>
  <c r="L129" i="16"/>
  <c r="AA128" i="16"/>
  <c r="S128" i="16"/>
  <c r="K128" i="16"/>
  <c r="Z127" i="16"/>
  <c r="R127" i="16"/>
  <c r="J127" i="16"/>
  <c r="Y126" i="16"/>
  <c r="Q126" i="16"/>
  <c r="I126" i="16"/>
  <c r="X125" i="16"/>
  <c r="P125" i="16"/>
  <c r="H125" i="16"/>
  <c r="W124" i="16"/>
  <c r="O124" i="16"/>
  <c r="AD123" i="16"/>
  <c r="V123" i="16"/>
  <c r="N123" i="16"/>
  <c r="AC122" i="16"/>
  <c r="U122" i="16"/>
  <c r="M122" i="16"/>
  <c r="AB121" i="16"/>
  <c r="T121" i="16"/>
  <c r="L121" i="16"/>
  <c r="AA120" i="16"/>
  <c r="S120" i="16"/>
  <c r="K120" i="16"/>
  <c r="Z119" i="16"/>
  <c r="R119" i="16"/>
  <c r="J119" i="16"/>
  <c r="Y118" i="16"/>
  <c r="Q118" i="16"/>
  <c r="I118" i="16"/>
  <c r="X117" i="16"/>
  <c r="P117" i="16"/>
  <c r="H117" i="16"/>
  <c r="W116" i="16"/>
  <c r="O116" i="16"/>
  <c r="AD115" i="16"/>
  <c r="V115" i="16"/>
  <c r="N115" i="16"/>
  <c r="AC114" i="16"/>
  <c r="U114" i="16"/>
  <c r="M114" i="16"/>
  <c r="AB113" i="16"/>
  <c r="T113" i="16"/>
  <c r="L113" i="16"/>
  <c r="AA112" i="16"/>
  <c r="S112" i="16"/>
  <c r="K112" i="16"/>
  <c r="Z111" i="16"/>
  <c r="R111" i="16"/>
  <c r="J111" i="16"/>
  <c r="Q110" i="16"/>
  <c r="I110" i="16"/>
  <c r="X109" i="16"/>
  <c r="P109" i="16"/>
  <c r="H109" i="16"/>
  <c r="W108" i="16"/>
  <c r="O108" i="16"/>
  <c r="AD107" i="16"/>
  <c r="V107" i="16"/>
  <c r="N107" i="16"/>
  <c r="AC106" i="16"/>
  <c r="U106" i="16"/>
  <c r="M106" i="16"/>
  <c r="AB105" i="16"/>
  <c r="T105" i="16"/>
  <c r="L105" i="16"/>
  <c r="S104" i="16"/>
  <c r="D117" i="16"/>
  <c r="D109" i="16"/>
  <c r="AA130" i="16"/>
  <c r="S130" i="16"/>
  <c r="K130" i="16"/>
  <c r="Z129" i="16"/>
  <c r="R129" i="16"/>
  <c r="J129" i="16"/>
  <c r="Y128" i="16"/>
  <c r="Q128" i="16"/>
  <c r="I128" i="16"/>
  <c r="X127" i="16"/>
  <c r="P127" i="16"/>
  <c r="H127" i="16"/>
  <c r="W126" i="16"/>
  <c r="O126" i="16"/>
  <c r="AD125" i="16"/>
  <c r="V125" i="16"/>
  <c r="N125" i="16"/>
  <c r="AC124" i="16"/>
  <c r="U124" i="16"/>
  <c r="M124" i="16"/>
  <c r="AB123" i="16"/>
  <c r="T123" i="16"/>
  <c r="L123" i="16"/>
  <c r="AA122" i="16"/>
  <c r="S122" i="16"/>
  <c r="K122" i="16"/>
  <c r="Z121" i="16"/>
  <c r="R121" i="16"/>
  <c r="J121" i="16"/>
  <c r="Y120" i="16"/>
  <c r="Q120" i="16"/>
  <c r="I120" i="16"/>
  <c r="X119" i="16"/>
  <c r="P119" i="16"/>
  <c r="H119" i="16"/>
  <c r="W118" i="16"/>
  <c r="O118" i="16"/>
  <c r="AD117" i="16"/>
  <c r="V117" i="16"/>
  <c r="N117" i="16"/>
  <c r="AC116" i="16"/>
  <c r="U116" i="16"/>
  <c r="M116" i="16"/>
  <c r="AB115" i="16"/>
  <c r="T115" i="16"/>
  <c r="L115" i="16"/>
  <c r="AA114" i="16"/>
  <c r="S114" i="16"/>
  <c r="K114" i="16"/>
  <c r="Z113" i="16"/>
  <c r="R113" i="16"/>
  <c r="J113" i="16"/>
  <c r="Y112" i="16"/>
  <c r="Q112" i="16"/>
  <c r="I112" i="16"/>
  <c r="X111" i="16"/>
  <c r="P111" i="16"/>
  <c r="H111" i="16"/>
  <c r="W110" i="16"/>
  <c r="O110" i="16"/>
  <c r="AD109" i="16"/>
  <c r="V109" i="16"/>
  <c r="N109" i="16"/>
  <c r="AC108" i="16"/>
  <c r="U108" i="16"/>
  <c r="M108" i="16"/>
  <c r="AB107" i="16"/>
  <c r="T107" i="16"/>
  <c r="L107" i="16"/>
  <c r="AA106" i="16"/>
  <c r="S106" i="16"/>
  <c r="K106" i="16"/>
  <c r="Z105" i="16"/>
  <c r="R105" i="16"/>
  <c r="J105" i="16"/>
  <c r="Y104" i="16"/>
  <c r="Q104" i="16"/>
  <c r="I104" i="16"/>
  <c r="D123" i="16"/>
  <c r="D115" i="16"/>
  <c r="G114" i="16"/>
  <c r="E128" i="16"/>
  <c r="E104" i="16"/>
  <c r="F126" i="16"/>
  <c r="F118" i="16"/>
  <c r="F110" i="16"/>
  <c r="G130" i="16"/>
  <c r="G122" i="16"/>
  <c r="G106" i="16"/>
  <c r="Z130" i="16"/>
  <c r="R130" i="16"/>
  <c r="J130" i="16"/>
  <c r="Y129" i="16"/>
  <c r="Q129" i="16"/>
  <c r="I129" i="16"/>
  <c r="X128" i="16"/>
  <c r="P128" i="16"/>
  <c r="H128" i="16"/>
  <c r="W127" i="16"/>
  <c r="O127" i="16"/>
  <c r="AD126" i="16"/>
  <c r="V126" i="16"/>
  <c r="AC125" i="16"/>
  <c r="U125" i="16"/>
  <c r="M125" i="16"/>
  <c r="AB124" i="16"/>
  <c r="T124" i="16"/>
  <c r="L124" i="16"/>
  <c r="AA123" i="16"/>
  <c r="S123" i="16"/>
  <c r="K123" i="16"/>
  <c r="Z122" i="16"/>
  <c r="R122" i="16"/>
  <c r="J122" i="16"/>
  <c r="Y121" i="16"/>
  <c r="Q121" i="16"/>
  <c r="I121" i="16"/>
  <c r="X120" i="16"/>
  <c r="P120" i="16"/>
  <c r="H120" i="16"/>
  <c r="W119" i="16"/>
  <c r="O119" i="16"/>
  <c r="AD118" i="16"/>
  <c r="V118" i="16"/>
  <c r="N118" i="16"/>
  <c r="AC117" i="16"/>
  <c r="U117" i="16"/>
  <c r="M117" i="16"/>
  <c r="AB116" i="16"/>
  <c r="T116" i="16"/>
  <c r="L116" i="16"/>
  <c r="AA115" i="16"/>
  <c r="S115" i="16"/>
  <c r="K115" i="16"/>
  <c r="Z114" i="16"/>
  <c r="R114" i="16"/>
  <c r="J114" i="16"/>
  <c r="Y113" i="16"/>
  <c r="Q113" i="16"/>
  <c r="I113" i="16"/>
  <c r="X112" i="16"/>
  <c r="P112" i="16"/>
  <c r="H112" i="16"/>
  <c r="W111" i="16"/>
  <c r="O111" i="16"/>
  <c r="AD103" i="16"/>
  <c r="V103" i="16"/>
  <c r="N103" i="16"/>
  <c r="E118" i="16"/>
  <c r="E110" i="16"/>
  <c r="F124" i="16"/>
  <c r="F116" i="16"/>
  <c r="F108" i="16"/>
  <c r="G128" i="16"/>
  <c r="G120" i="16"/>
  <c r="G112" i="16"/>
  <c r="G104" i="16"/>
  <c r="AC127" i="16"/>
  <c r="U127" i="16"/>
  <c r="M127" i="16"/>
  <c r="T126" i="16"/>
  <c r="L126" i="16"/>
  <c r="S125" i="16"/>
  <c r="K125" i="16"/>
  <c r="Z124" i="16"/>
  <c r="J124" i="16"/>
  <c r="Y123" i="16"/>
  <c r="I123" i="16"/>
  <c r="X122" i="16"/>
  <c r="P122" i="16"/>
  <c r="W121" i="16"/>
  <c r="O121" i="16"/>
  <c r="V120" i="16"/>
  <c r="N120" i="16"/>
  <c r="AC119" i="16"/>
  <c r="U119" i="16"/>
  <c r="M119" i="16"/>
  <c r="AB118" i="16"/>
  <c r="L118" i="16"/>
  <c r="AA117" i="16"/>
  <c r="S117" i="16"/>
  <c r="K117" i="16"/>
  <c r="Z116" i="16"/>
  <c r="R116" i="16"/>
  <c r="Y115" i="16"/>
  <c r="Q115" i="16"/>
  <c r="I115" i="16"/>
  <c r="X114" i="16"/>
  <c r="P114" i="16"/>
  <c r="H114" i="16"/>
  <c r="W113" i="16"/>
  <c r="O113" i="16"/>
  <c r="AD112" i="16"/>
  <c r="V112" i="16"/>
  <c r="N112" i="16"/>
  <c r="AC111" i="16"/>
  <c r="U111" i="16"/>
  <c r="M111" i="16"/>
  <c r="AB110" i="16"/>
  <c r="T110" i="16"/>
  <c r="L110" i="16"/>
  <c r="AA109" i="16"/>
  <c r="S109" i="16"/>
  <c r="K109" i="16"/>
  <c r="G103" i="16"/>
  <c r="AB103" i="16"/>
  <c r="T103" i="16"/>
  <c r="L103" i="16"/>
  <c r="E124" i="16"/>
  <c r="E116" i="16"/>
  <c r="E108" i="16"/>
  <c r="F130" i="16"/>
  <c r="F122" i="16"/>
  <c r="F114" i="16"/>
  <c r="F106" i="16"/>
  <c r="G126" i="16"/>
  <c r="G110" i="16"/>
  <c r="AD130" i="16"/>
  <c r="V130" i="16"/>
  <c r="N130" i="16"/>
  <c r="AC129" i="16"/>
  <c r="U129" i="16"/>
  <c r="M129" i="16"/>
  <c r="AB128" i="16"/>
  <c r="T128" i="16"/>
  <c r="L128" i="16"/>
  <c r="AA127" i="16"/>
  <c r="K127" i="16"/>
  <c r="Z126" i="16"/>
  <c r="R126" i="16"/>
  <c r="J126" i="16"/>
  <c r="Y125" i="16"/>
  <c r="Q125" i="16"/>
  <c r="X124" i="16"/>
  <c r="P124" i="16"/>
  <c r="H124" i="16"/>
  <c r="W123" i="16"/>
  <c r="O123" i="16"/>
  <c r="AD122" i="16"/>
  <c r="V122" i="16"/>
  <c r="N122" i="16"/>
  <c r="AC121" i="16"/>
  <c r="U121" i="16"/>
  <c r="M121" i="16"/>
  <c r="AB120" i="16"/>
  <c r="T120" i="16"/>
  <c r="L120" i="16"/>
  <c r="AA119" i="16"/>
  <c r="S119" i="16"/>
  <c r="K119" i="16"/>
  <c r="Z118" i="16"/>
  <c r="R118" i="16"/>
  <c r="J118" i="16"/>
  <c r="Y117" i="16"/>
  <c r="Q117" i="16"/>
  <c r="I117" i="16"/>
  <c r="X116" i="16"/>
  <c r="P116" i="16"/>
  <c r="H116" i="16"/>
  <c r="W115" i="16"/>
  <c r="O115" i="16"/>
  <c r="AD114" i="16"/>
  <c r="V114" i="16"/>
  <c r="N114" i="16"/>
  <c r="AC113" i="16"/>
  <c r="U113" i="16"/>
  <c r="M113" i="16"/>
  <c r="AB112" i="16"/>
  <c r="T112" i="16"/>
  <c r="L112" i="16"/>
  <c r="AA111" i="16"/>
  <c r="S111" i="16"/>
  <c r="K111" i="16"/>
  <c r="D102" i="16"/>
  <c r="D124" i="16"/>
  <c r="E130" i="16"/>
  <c r="E122" i="16"/>
  <c r="E114" i="16"/>
  <c r="F120" i="16"/>
  <c r="F112" i="16"/>
  <c r="F104" i="16"/>
  <c r="G124" i="16"/>
  <c r="G116" i="16"/>
  <c r="G108" i="16"/>
  <c r="Y127" i="16"/>
  <c r="Q127" i="16"/>
  <c r="I127" i="16"/>
  <c r="X126" i="16"/>
  <c r="P126" i="16"/>
  <c r="H126" i="16"/>
  <c r="O125" i="16"/>
  <c r="AD124" i="16"/>
  <c r="N124" i="16"/>
  <c r="AC123" i="16"/>
  <c r="U123" i="16"/>
  <c r="AB122" i="16"/>
  <c r="T122" i="16"/>
  <c r="L122" i="16"/>
  <c r="AA121" i="16"/>
  <c r="S121" i="16"/>
  <c r="K121" i="16"/>
  <c r="Z120" i="16"/>
  <c r="R120" i="16"/>
  <c r="J120" i="16"/>
  <c r="Q119" i="16"/>
  <c r="I119" i="16"/>
  <c r="X118" i="16"/>
  <c r="P118" i="16"/>
  <c r="H118" i="16"/>
  <c r="W117" i="16"/>
  <c r="AD116" i="16"/>
  <c r="V116" i="16"/>
  <c r="N116" i="16"/>
  <c r="AC115" i="16"/>
  <c r="U115" i="16"/>
  <c r="M115" i="16"/>
  <c r="AB114" i="16"/>
  <c r="T114" i="16"/>
  <c r="L114" i="16"/>
  <c r="AA113" i="16"/>
  <c r="S113" i="16"/>
  <c r="K113" i="16"/>
  <c r="Z112" i="16"/>
  <c r="R112" i="16"/>
  <c r="J112" i="16"/>
  <c r="Y111" i="16"/>
  <c r="Q111" i="16"/>
  <c r="I111" i="16"/>
  <c r="X110" i="16"/>
  <c r="P110" i="16"/>
  <c r="H110" i="16"/>
  <c r="W109" i="16"/>
  <c r="O109" i="16"/>
  <c r="AD108" i="16"/>
  <c r="V108" i="16"/>
  <c r="N108" i="16"/>
  <c r="AC107" i="16"/>
  <c r="M107" i="16"/>
  <c r="Y103" i="16"/>
  <c r="Q103" i="16"/>
  <c r="F103" i="16"/>
  <c r="X103" i="16"/>
  <c r="P103" i="16"/>
  <c r="H103" i="16"/>
  <c r="AB106" i="16"/>
  <c r="T106" i="16"/>
  <c r="L106" i="16"/>
  <c r="Z104" i="16"/>
  <c r="R104" i="16"/>
  <c r="J104" i="16"/>
  <c r="I103" i="16"/>
  <c r="D116" i="16"/>
  <c r="D108" i="16"/>
  <c r="AD110" i="16"/>
  <c r="V110" i="16"/>
  <c r="N110" i="16"/>
  <c r="AC109" i="16"/>
  <c r="U109" i="16"/>
  <c r="M109" i="16"/>
  <c r="AB108" i="16"/>
  <c r="T108" i="16"/>
  <c r="L108" i="16"/>
  <c r="AA107" i="16"/>
  <c r="S107" i="16"/>
  <c r="K107" i="16"/>
  <c r="Z106" i="16"/>
  <c r="R106" i="16"/>
  <c r="J106" i="16"/>
  <c r="Y105" i="16"/>
  <c r="Q105" i="16"/>
  <c r="I105" i="16"/>
  <c r="X104" i="16"/>
  <c r="P104" i="16"/>
  <c r="H104" i="16"/>
  <c r="W103" i="16"/>
  <c r="O103" i="16"/>
  <c r="D122" i="16"/>
  <c r="D114" i="16"/>
  <c r="D106" i="16"/>
  <c r="D105" i="16"/>
  <c r="AC103" i="16"/>
  <c r="U103" i="16"/>
  <c r="M103" i="16"/>
  <c r="D128" i="16"/>
  <c r="D120" i="16"/>
  <c r="D112" i="16"/>
  <c r="D104" i="16"/>
  <c r="Z110" i="16"/>
  <c r="R110" i="16"/>
  <c r="J110" i="16"/>
  <c r="Y109" i="16"/>
  <c r="Q109" i="16"/>
  <c r="I109" i="16"/>
  <c r="X108" i="16"/>
  <c r="P108" i="16"/>
  <c r="H108" i="16"/>
  <c r="W107" i="16"/>
  <c r="O107" i="16"/>
  <c r="AD106" i="16"/>
  <c r="V106" i="16"/>
  <c r="N106" i="16"/>
  <c r="AC105" i="16"/>
  <c r="U105" i="16"/>
  <c r="M105" i="16"/>
  <c r="AB104" i="16"/>
  <c r="T104" i="16"/>
  <c r="L104" i="16"/>
  <c r="AA103" i="16"/>
  <c r="S103" i="16"/>
  <c r="K103" i="16"/>
  <c r="Z103" i="16"/>
  <c r="R103" i="16"/>
  <c r="J103" i="16"/>
  <c r="I84" i="14"/>
  <c r="I94" i="14"/>
  <c r="J90" i="14"/>
  <c r="M84" i="14"/>
  <c r="M94" i="14"/>
  <c r="N90" i="14"/>
  <c r="I87" i="14"/>
  <c r="I85" i="14"/>
  <c r="J86" i="14"/>
  <c r="M87" i="14"/>
  <c r="M85" i="14"/>
  <c r="N86" i="14"/>
  <c r="I88" i="14"/>
  <c r="I91" i="14"/>
  <c r="J93" i="14"/>
  <c r="M88" i="14"/>
  <c r="M91" i="14"/>
  <c r="N93" i="14"/>
  <c r="I83" i="14"/>
  <c r="I92" i="14"/>
  <c r="J89" i="14"/>
  <c r="M83" i="14"/>
  <c r="N89" i="14"/>
  <c r="E84" i="14"/>
  <c r="E86" i="14"/>
  <c r="F91" i="14"/>
  <c r="E93" i="14"/>
  <c r="E89" i="14"/>
  <c r="E94" i="14"/>
  <c r="E83" i="14"/>
  <c r="E92" i="14"/>
  <c r="E90" i="14"/>
  <c r="M45" i="14"/>
  <c r="M37" i="14"/>
  <c r="O43" i="14"/>
  <c r="O35" i="14"/>
  <c r="Q39" i="14"/>
  <c r="M44" i="14"/>
  <c r="O42" i="14"/>
  <c r="O34" i="14"/>
  <c r="Q38" i="14"/>
  <c r="M42" i="14"/>
  <c r="M34" i="14"/>
  <c r="O40" i="14"/>
  <c r="Q44" i="14"/>
  <c r="Q36" i="14"/>
  <c r="Q34" i="14"/>
  <c r="B7" i="2"/>
  <c r="B6" i="2"/>
  <c r="B5" i="2"/>
  <c r="B4" i="2"/>
  <c r="B3" i="2"/>
  <c r="B9" i="2" s="1"/>
  <c r="F5" i="19" l="1"/>
  <c r="G5" i="19" s="1"/>
  <c r="F7" i="19"/>
  <c r="C47" i="16"/>
  <c r="D47" i="16" s="1"/>
  <c r="C57" i="16"/>
  <c r="D57" i="16" s="1"/>
  <c r="C60" i="16"/>
  <c r="D60" i="16" s="1"/>
  <c r="C49" i="16"/>
  <c r="D49" i="16" s="1"/>
  <c r="C44" i="16"/>
  <c r="D44" i="16" s="1"/>
  <c r="C59" i="16"/>
  <c r="D59" i="16" s="1"/>
  <c r="C42" i="16"/>
  <c r="D42" i="16" s="1"/>
  <c r="C38" i="16"/>
  <c r="D38" i="16" s="1"/>
  <c r="C62" i="16"/>
  <c r="D62" i="16" s="1"/>
  <c r="C52" i="16"/>
  <c r="D52" i="16" s="1"/>
  <c r="C43" i="16"/>
  <c r="D43" i="16" s="1"/>
  <c r="C41" i="16"/>
  <c r="D41" i="16" s="1"/>
  <c r="C58" i="16"/>
  <c r="D58" i="16" s="1"/>
  <c r="C55" i="16"/>
  <c r="D55" i="16" s="1"/>
  <c r="C50" i="16"/>
  <c r="D50" i="16" s="1"/>
  <c r="C54" i="16"/>
  <c r="D54" i="16" s="1"/>
  <c r="C45" i="16"/>
  <c r="D45" i="16" s="1"/>
  <c r="C46" i="16"/>
  <c r="D46" i="16" s="1"/>
  <c r="C53" i="16"/>
  <c r="D53" i="16" s="1"/>
  <c r="C37" i="16"/>
  <c r="D37" i="16" s="1"/>
  <c r="C51" i="16"/>
  <c r="D51" i="16" s="1"/>
  <c r="C56" i="16"/>
  <c r="D56" i="16" s="1"/>
  <c r="C48" i="16"/>
  <c r="D48" i="16" s="1"/>
  <c r="C61" i="16"/>
  <c r="D61" i="16" s="1"/>
  <c r="C63" i="16"/>
  <c r="D63" i="16" s="1"/>
  <c r="C40" i="16"/>
  <c r="D40" i="16" s="1"/>
  <c r="C39" i="16"/>
  <c r="D39" i="16" s="1"/>
  <c r="F17" i="19"/>
  <c r="G17" i="19" s="1"/>
  <c r="F16" i="19"/>
  <c r="G16" i="19" s="1"/>
  <c r="F18" i="19"/>
  <c r="G18" i="19" s="1"/>
  <c r="B8" i="2"/>
  <c r="B10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<sst xmlns="http://schemas.openxmlformats.org/spreadsheetml/2006/main" count="2301" uniqueCount="273">
  <si>
    <t>Sector</t>
  </si>
  <si>
    <t>Year</t>
  </si>
  <si>
    <t>Month</t>
  </si>
  <si>
    <t>Cereals and products</t>
  </si>
  <si>
    <t>Meat and fish</t>
  </si>
  <si>
    <t>Egg</t>
  </si>
  <si>
    <t>Milk and products</t>
  </si>
  <si>
    <t>Oils and fats</t>
  </si>
  <si>
    <t>Fruits</t>
  </si>
  <si>
    <t>Vegetables</t>
  </si>
  <si>
    <t>Pulses and products</t>
  </si>
  <si>
    <t>Sugar and Confectionery</t>
  </si>
  <si>
    <t>Spices</t>
  </si>
  <si>
    <t>Non-alcoholic beverages</t>
  </si>
  <si>
    <t>Prepared meals, snacks, sweets etc.</t>
  </si>
  <si>
    <t>Food and beverages</t>
  </si>
  <si>
    <t>Pan, tobacco and intoxicants</t>
  </si>
  <si>
    <t>Clothing</t>
  </si>
  <si>
    <t>Footwear</t>
  </si>
  <si>
    <t>Clothing and footwear</t>
  </si>
  <si>
    <t>Housing</t>
  </si>
  <si>
    <t>Fuel and light</t>
  </si>
  <si>
    <t>Household goods and services</t>
  </si>
  <si>
    <t>Health</t>
  </si>
  <si>
    <t>Transport and communication</t>
  </si>
  <si>
    <t>Recreation and amusement</t>
  </si>
  <si>
    <t>Education</t>
  </si>
  <si>
    <t>Personal care and effects</t>
  </si>
  <si>
    <t>Miscellaneous</t>
  </si>
  <si>
    <t>General index</t>
  </si>
  <si>
    <t>Rural</t>
  </si>
  <si>
    <t>January</t>
  </si>
  <si>
    <t>NA</t>
  </si>
  <si>
    <t>Urban</t>
  </si>
  <si>
    <t>Rural+Urban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</si>
  <si>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</si>
  <si>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</si>
  <si>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</si>
  <si>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</si>
  <si>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</si>
  <si>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</si>
  <si>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</si>
  <si>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</si>
  <si>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</si>
  <si>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 xml:space="preserve">November </t>
  </si>
  <si>
    <t>November</t>
  </si>
  <si>
    <t>December</t>
  </si>
  <si>
    <t>Marcrh</t>
  </si>
  <si>
    <t>-</t>
  </si>
  <si>
    <t>Column Names</t>
  </si>
  <si>
    <t>Remark</t>
  </si>
  <si>
    <t>Data Cleaning</t>
  </si>
  <si>
    <t>Status</t>
  </si>
  <si>
    <t>Consumer sector for which the CPI is reported: Rural, Urban, or Rural + Urban (Combined).</t>
  </si>
  <si>
    <t>Calendar year corresponding to the CPI observation. Dataset covers 2013 to 2023.</t>
  </si>
  <si>
    <t>Month corresponding to the CPI observation. Dataset covers January 2013 to May 2023.</t>
  </si>
  <si>
    <t>CPI index for the cereals and cereal-product category.</t>
  </si>
  <si>
    <t>CPI index for the meat and fish category.</t>
  </si>
  <si>
    <t>CPI index for the egg category.</t>
  </si>
  <si>
    <t>CPI index for milk and milk-product category.</t>
  </si>
  <si>
    <t>CPI index for the oils and fats category.</t>
  </si>
  <si>
    <t>CPI index for the fruits category.</t>
  </si>
  <si>
    <t>CPI index for the vegetables category.</t>
  </si>
  <si>
    <t>CPI index for the pulses and pulse-product category.</t>
  </si>
  <si>
    <t>CPI index for the sugar and confectionery category.</t>
  </si>
  <si>
    <t>CPI index for the spices category.</t>
  </si>
  <si>
    <t>CPI index for the non-alcoholic beverages category.</t>
  </si>
  <si>
    <t>CPI index for prepared meals, snacks, sweets and related food items.</t>
  </si>
  <si>
    <t>CPI index representing the broader Food and Beverages category.</t>
  </si>
  <si>
    <t>CPI index for pan, tobacco and intoxicants.</t>
  </si>
  <si>
    <t>CPI index for the clothing category.</t>
  </si>
  <si>
    <t>CPI index for the footwear category.</t>
  </si>
  <si>
    <t>CPI index representing the broader Clothing and Footwear category.</t>
  </si>
  <si>
    <t>CPI index for the housing category; availability varies by sector and should be interpreted according to the CPI methodology.</t>
  </si>
  <si>
    <t>CPI index for the fuel and light category, representing household fuel and lighting-related expenditure.</t>
  </si>
  <si>
    <t>CPI index for household goods and household-related services.</t>
  </si>
  <si>
    <t>CPI index for the health category, covering healthcare-related goods and services.</t>
  </si>
  <si>
    <t>CPI index representing the broader Transport and Communication category.</t>
  </si>
  <si>
    <t>CPI index for recreation and amusement-related expenditure.</t>
  </si>
  <si>
    <t>CPI index for the education category.</t>
  </si>
  <si>
    <t>CPI index for personal care products/services and personal effects.</t>
  </si>
  <si>
    <t>CPI index representing the miscellaneous category of consumer expenditure.</t>
  </si>
  <si>
    <t>Overall CPI index representing the combined movement of prices across the CPI basket for the respective sector and period.</t>
  </si>
  <si>
    <t>Not Required</t>
  </si>
  <si>
    <t>Clean</t>
  </si>
  <si>
    <t>Cleaned</t>
  </si>
  <si>
    <t>Marcrh → March; trimmed November</t>
  </si>
  <si>
    <t>Date</t>
  </si>
  <si>
    <t>Metric</t>
  </si>
  <si>
    <t>Value</t>
  </si>
  <si>
    <t>Total Rows</t>
  </si>
  <si>
    <t>Total Columns</t>
  </si>
  <si>
    <t>Date Start</t>
  </si>
  <si>
    <t>Date End</t>
  </si>
  <si>
    <t>Number of Sectors</t>
  </si>
  <si>
    <t>Expected Rows</t>
  </si>
  <si>
    <t>Actual Rows</t>
  </si>
  <si>
    <t>Coverage Status</t>
  </si>
  <si>
    <t>Category</t>
  </si>
  <si>
    <t>Rural + Urban</t>
  </si>
  <si>
    <t>Null values are present</t>
  </si>
  <si>
    <t>Null values are present (Housing rural data completely unavailable)</t>
  </si>
  <si>
    <t>Cleaned (Housing rural data was never recorded in dataset)</t>
  </si>
  <si>
    <t>*All missing data are imported from offical government MoSPI site</t>
  </si>
  <si>
    <t>General Index (All Groups)</t>
  </si>
  <si>
    <t>Data from Ministry of Statistics and Programme Implementation official website (April 2019)</t>
  </si>
  <si>
    <t>Description</t>
  </si>
  <si>
    <t>Rural Apr-2020</t>
  </si>
  <si>
    <t>Rural May-2020</t>
  </si>
  <si>
    <t>Urban Apr-2020</t>
  </si>
  <si>
    <t>Urban May-2020</t>
  </si>
  <si>
    <t>Combined Apr-2020</t>
  </si>
  <si>
    <t>Combined May-2020</t>
  </si>
  <si>
    <t>Data sources from official website of MoSPI (File Link: https://www.mospi.gov.in/sites/default/files/press_release/CPI%20Technical%20Note%20on%20Imputation.pdf) Referance: The data was not recorded due to lockdown therefore government published a pdf note with explanation and data</t>
  </si>
  <si>
    <t>Data Coverage</t>
  </si>
  <si>
    <t>Food</t>
  </si>
  <si>
    <t>Grand Total</t>
  </si>
  <si>
    <t>May 2023 Rural</t>
  </si>
  <si>
    <t>May 2023 Urban</t>
  </si>
  <si>
    <t>May 2023 Rural+Urban</t>
  </si>
  <si>
    <r>
      <t>Apparel</t>
    </r>
    <r>
      <rPr>
        <sz val="10"/>
        <color rgb="FF141414"/>
        <rFont val="Arial"/>
        <family val="2"/>
      </rPr>
      <t> </t>
    </r>
  </si>
  <si>
    <t>Apparel </t>
  </si>
  <si>
    <t>Of May 2023 Rural</t>
  </si>
  <si>
    <t>of May 2023 Urban</t>
  </si>
  <si>
    <t>of May 2023 Rural+Urban</t>
  </si>
  <si>
    <t>CPI Index</t>
  </si>
  <si>
    <t>Inflation</t>
  </si>
  <si>
    <t>Food Categories</t>
  </si>
  <si>
    <t>Change Percentage</t>
  </si>
  <si>
    <t>Absolute Change Rural</t>
  </si>
  <si>
    <t>Absolute Change Urban</t>
  </si>
  <si>
    <t>Absolute Change Rural+Urban</t>
  </si>
  <si>
    <t>Health (R)</t>
  </si>
  <si>
    <t>Food (R)</t>
  </si>
  <si>
    <t>Fuel and light (R)</t>
  </si>
  <si>
    <t>Transport and communication (R)</t>
  </si>
  <si>
    <t>General index (R)</t>
  </si>
  <si>
    <t>Health (U)</t>
  </si>
  <si>
    <t>Food (U)</t>
  </si>
  <si>
    <t>Fuel and light (U)</t>
  </si>
  <si>
    <t>Transport and communication (U)</t>
  </si>
  <si>
    <t>General index (U)</t>
  </si>
  <si>
    <t>Health (R+U)</t>
  </si>
  <si>
    <t>Food (R+U)</t>
  </si>
  <si>
    <t>Fuel and light (R+U)</t>
  </si>
  <si>
    <t>Transport and communication (R+U)</t>
  </si>
  <si>
    <t>General index (R+U)</t>
  </si>
  <si>
    <t>Health Inflation (R)</t>
  </si>
  <si>
    <t>Food Inflation (R)</t>
  </si>
  <si>
    <t>Fuel and light Inflation (R)</t>
  </si>
  <si>
    <t>Transport and communication Inflation (R)</t>
  </si>
  <si>
    <t>General index Inflation (R)</t>
  </si>
  <si>
    <t>Health Inflation (U)</t>
  </si>
  <si>
    <t>Food Inflation (U)</t>
  </si>
  <si>
    <t>Fuel and light Inflation (U)</t>
  </si>
  <si>
    <t>Transport and communication Inflation (U)</t>
  </si>
  <si>
    <t>General index Inflation (U)</t>
  </si>
  <si>
    <t>Health Inflation (R+U)</t>
  </si>
  <si>
    <t>Food Inflation (R+U)</t>
  </si>
  <si>
    <t>Fuel and light Inflation (R+U)</t>
  </si>
  <si>
    <t>Transport and communication Inflation (R+U)</t>
  </si>
  <si>
    <t>General index Inflation (R+U)</t>
  </si>
  <si>
    <t>Oil Price</t>
  </si>
  <si>
    <t>Oil Price change</t>
  </si>
  <si>
    <t>Cereals and products inflation</t>
  </si>
  <si>
    <t>Meat and fish inflation</t>
  </si>
  <si>
    <t>Egg inflation</t>
  </si>
  <si>
    <t>Milk and products inflation</t>
  </si>
  <si>
    <t>Oils and fats inflation</t>
  </si>
  <si>
    <t>Fruits inflation</t>
  </si>
  <si>
    <t>Vegetables inflation</t>
  </si>
  <si>
    <t>Pulses and products inflation</t>
  </si>
  <si>
    <t>Sugar and Confectionery inflation</t>
  </si>
  <si>
    <t>Spices inflation</t>
  </si>
  <si>
    <t>Non-alcoholic beverages inflation</t>
  </si>
  <si>
    <t>Prepared meals, snacks, sweets etc. inflation</t>
  </si>
  <si>
    <t>Food and beverages inflation</t>
  </si>
  <si>
    <t>Pan, tobacco and intoxicants inflation</t>
  </si>
  <si>
    <t>Clothing inflation</t>
  </si>
  <si>
    <t>Footwear inflation</t>
  </si>
  <si>
    <t>Clothing and footwear inflation</t>
  </si>
  <si>
    <t>Housing inflation</t>
  </si>
  <si>
    <t>Fuel and light inflation</t>
  </si>
  <si>
    <t>Household goods and services inflation</t>
  </si>
  <si>
    <t>Health inflation</t>
  </si>
  <si>
    <t>Transport and communication inflation</t>
  </si>
  <si>
    <t>Recreation and amusement inflation</t>
  </si>
  <si>
    <t>Education inflation</t>
  </si>
  <si>
    <t>Personal care and effects inflation</t>
  </si>
  <si>
    <t>Miscellaneous inflation</t>
  </si>
  <si>
    <t>General index inflation</t>
  </si>
  <si>
    <t>Categories</t>
  </si>
  <si>
    <t>CPI Category</t>
  </si>
  <si>
    <t>Correlation with Imported Crude Oil</t>
  </si>
  <si>
    <t>e</t>
  </si>
  <si>
    <t>Broader Category</t>
  </si>
  <si>
    <t>Highest Yoy Inflation</t>
  </si>
  <si>
    <t>Lowest Yoy Infaltion</t>
  </si>
  <si>
    <t>Average Yoy Inflation</t>
  </si>
  <si>
    <t>Q3</t>
  </si>
  <si>
    <t>Rural Highest Inflation</t>
  </si>
  <si>
    <t>Urban highest inflation</t>
  </si>
  <si>
    <t>Rural+Urban highest infaltion</t>
  </si>
  <si>
    <t>Inflation (R)</t>
  </si>
  <si>
    <t>Inflation (U)</t>
  </si>
  <si>
    <t>Inflation (R+U)</t>
  </si>
  <si>
    <t>Rural lowest Inflation</t>
  </si>
  <si>
    <t>Urban lowest inflation</t>
  </si>
  <si>
    <t>Rural+Urban lowest infaltion</t>
  </si>
  <si>
    <t>Q4</t>
  </si>
  <si>
    <t>Average Inflation Rural before covid (2017 to 2019)</t>
  </si>
  <si>
    <t>Average Inflation Urban before covid (2017 to 2019)</t>
  </si>
  <si>
    <t>Average Inflation Rural+Urban before covid (2017 to 2019)</t>
  </si>
  <si>
    <t>Average Inflation Rural after covid (2020 to 2023)</t>
  </si>
  <si>
    <t>Average Inflation Urban after covid (2020 to 2023)</t>
  </si>
  <si>
    <t>Average Inflation Rural+Urban after covid (2020 to 2023)</t>
  </si>
  <si>
    <t>Correlation</t>
  </si>
  <si>
    <t>v</t>
  </si>
  <si>
    <t>Q5</t>
  </si>
  <si>
    <t>Highest positive correlation</t>
  </si>
  <si>
    <t>Highest negetive correlation</t>
  </si>
  <si>
    <t>Dashboard</t>
  </si>
  <si>
    <t>Top Contributing category (Rural+Urban)</t>
  </si>
  <si>
    <t>Helper calculations used to populate KPI cards, shapes and summary elements in the Dashboard. Source data is linked to the analysis/cleaned data sheets.</t>
  </si>
  <si>
    <t>January 2013 to May 2023</t>
  </si>
  <si>
    <t>Sectors</t>
  </si>
  <si>
    <t>INDIA CPI INFLATION ANALYSIS</t>
  </si>
  <si>
    <t>1. PROJECT OVERVIEW</t>
  </si>
  <si>
    <t>2. DATA SOURCE &amp; COVERAGE</t>
  </si>
  <si>
    <t>Data source</t>
  </si>
  <si>
    <t>CPI data coverage</t>
  </si>
  <si>
    <t>Rural | Urban | Rural + Urban (Combined)</t>
  </si>
  <si>
    <t>3. WORKBOOK STRUCTURE</t>
  </si>
  <si>
    <t>Executive summary of the five case-study questions with navigation to detailed analysis.</t>
  </si>
  <si>
    <t>Q1 - CPI Contribution</t>
  </si>
  <si>
    <t>Latest-month broader-category contribution analysis for Rural, Urban and Rural + Urban.</t>
  </si>
  <si>
    <t>Q2 - YoY Inflation</t>
  </si>
  <si>
    <t>May-to-May YoY CPI inflation trend from 2017 to 2023 and peak-year research.</t>
  </si>
  <si>
    <t>Q3 - Food Inflation</t>
  </si>
  <si>
    <t>12-month Food-bucket MoM trend, high/low months and food sub-category index changes.</t>
  </si>
  <si>
    <t>Q4 - COVID Impact</t>
  </si>
  <si>
    <t>March 2017–March 2023 comparison around the March 2020 COVID-19 onset.</t>
  </si>
  <si>
    <t>Q5 - Oil Impact</t>
  </si>
  <si>
    <t>Monthly imported crude oil changes vs CPI category inflation and Pearson correlation.</t>
  </si>
  <si>
    <t>Data_Dictionary</t>
  </si>
  <si>
    <t>Definitions, field descriptions, cleaning/validation notes and derived metrics.</t>
  </si>
  <si>
    <t>Cleaned_Data</t>
  </si>
  <si>
    <t>Analysis-ready CPI table after structural cleaning/standardization.</t>
  </si>
  <si>
    <t>Dashboard_Calculations</t>
  </si>
  <si>
    <t>Helper calculations used to populate dashboard cards, shapes and summary values.</t>
  </si>
  <si>
    <t>Raw_Data</t>
  </si>
  <si>
    <t>Original source dataset retained as the source/reference layer.</t>
  </si>
  <si>
    <t>4. CORE ANALYTICAL METHODS</t>
  </si>
  <si>
    <t>Method</t>
  </si>
  <si>
    <t>Definition / Use</t>
  </si>
  <si>
    <t>MoM inflation</t>
  </si>
  <si>
    <t>[(Current CPI Index − Previous Month CPI Index) / Previous Month CPI Index] × 100</t>
  </si>
  <si>
    <t>YoY inflation</t>
  </si>
  <si>
    <t>[(Current CPI Index − Same Month Previous Year CPI Index) / Same Month Previous Year CPI Index] × 100</t>
  </si>
  <si>
    <t>CPI contribution</t>
  </si>
  <si>
    <t>Broader-category CPI index ÷ total analyzed broader-category index × 100; each sector totals 100%.</t>
  </si>
  <si>
    <t>Q3 Food bucket</t>
  </si>
  <si>
    <t>Simple average of the 12 specified Food sub-category CPI indices, consistent with the case-study equal-weight assumption.</t>
  </si>
  <si>
    <t>Q5 correlation</t>
  </si>
  <si>
    <t>Pearson correlation using Excel CORREL() between imported crude oil MoM changes and CPI category MoM changes.</t>
  </si>
  <si>
    <t>Correlation interpretation</t>
  </si>
  <si>
    <t>Correlation describes association; it does not by itself establish causation.</t>
  </si>
  <si>
    <t>5. KEY ASSUMPTIONS &amp; SCOPE</t>
  </si>
  <si>
    <t>This workbook analyzes India's Consumer Price Index (CPI) data to identify category contribution, year-over-year inflation trends, food inflation dynamics, the impact of COVID-19, and the relationship between imported crude oil price movements and CPI category inflation. The workbook is structured as a case-study analysis with an executive Dashboard, five question-specific analysis sheets and supporting calculations.</t>
  </si>
  <si>
    <t>EXCEL DATA ANALYTICS CASE STUDY | CODING NINJAS</t>
  </si>
  <si>
    <t>Government Of India, Ministry of Statistics and Programme Implementation</t>
  </si>
  <si>
    <t>• Equal weights across categories are used where specified by the case study.
• Broader categories are created by grouping related CPI sub-categories for analytical purposes.
• March 2020 is treated as the COVID-19 onset for Q4.
• Dec-2020 is used as the base month for the Jan-2021 imported-oil MoM calculation in Q5.
• Q2 uses a May-to-May YoY comparison, consistent with the instruction that any month may be used as the start of the year.
• Q3 'absolute change' refers to the change in CPI index points between Jun-2022 and May-2023, not a percentage contribution to inflation.</t>
  </si>
  <si>
    <t>*Raw_Data is protected to prevent accidental modification of the original dataset. Password: SATYAM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</si>
</sst>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m/yyyy"/>
    <numFmt numFmtId="165" formatCode="0.0"/>
    <numFmt numFmtId="166" formatCode="#,##0.0"/>
    <numFmt numFmtId="167" formatCode="mmmm/yyyy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141414"/>
      <name val="Arial"/>
      <family val="2"/>
    </font>
    <font>
      <b/>
      <sz val="10"/>
      <color rgb="FF141414"/>
      <name val="Calibri"/>
      <family val="2"/>
      <scheme val="minor"/>
    </font>
    <font>
      <i/>
      <sz val="10"/>
      <color rgb="FF141414"/>
      <name val="Arial"/>
      <family val="2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8"/>
      <color theme="0"/>
      <name val="Calibri"/>
      <family val="2"/>
      <scheme val="minor"/>
    </font>
    <font>
      <sz val="28"/>
      <color theme="0"/>
      <name val="Calibri"/>
      <family val="2"/>
      <scheme val="minor"/>
    </font>
    <font>
      <b/>
      <i/>
      <sz val="11"/>
      <color theme="5" tint="-0.24997711111789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4" tint="0.39997558519241921"/>
      </left>
      <right/>
      <top/>
      <bottom/>
      <diagonal/>
    </border>
    <border>
      <left/>
      <right style="thin">
        <color theme="4" tint="0.39997558519241921"/>
      </right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108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0" fontId="0" fillId="0" borderId="1" xfId="0" applyBorder="1"/>
    <xf numFmtId="2" fontId="0" fillId="0" borderId="1" xfId="0" applyNumberFormat="1" applyBorder="1" applyAlignment="1">
      <alignment horizontal="right" vertical="center" wrapText="1"/>
    </xf>
    <xf numFmtId="2" fontId="1" fillId="0" borderId="1" xfId="0" applyNumberFormat="1" applyFont="1" applyBorder="1" applyAlignment="1">
      <alignment horizontal="right" vertical="center" wrapText="1"/>
    </xf>
    <xf numFmtId="2" fontId="0" fillId="0" borderId="0" xfId="0" applyNumberFormat="1" applyAlignment="1">
      <alignment horizontal="right" vertical="center" wrapText="1"/>
    </xf>
    <xf numFmtId="165" fontId="0" fillId="0" borderId="0" xfId="0" applyNumberFormat="1"/>
    <xf numFmtId="0" fontId="3" fillId="0" borderId="1" xfId="0" applyFont="1" applyBorder="1"/>
    <xf numFmtId="0" fontId="0" fillId="0" borderId="1" xfId="0" applyBorder="1" applyAlignment="1">
      <alignment horizontal="left"/>
    </xf>
    <xf numFmtId="10" fontId="0" fillId="0" borderId="1" xfId="0" applyNumberFormat="1" applyBorder="1"/>
    <xf numFmtId="0" fontId="6" fillId="0" borderId="0" xfId="0" applyFont="1"/>
    <xf numFmtId="10" fontId="0" fillId="0" borderId="0" xfId="1" applyNumberFormat="1" applyFont="1"/>
    <xf numFmtId="0" fontId="0" fillId="0" borderId="0" xfId="0" applyAlignment="1">
      <alignment vertical="center" wrapText="1"/>
    </xf>
    <xf numFmtId="2" fontId="0" fillId="0" borderId="0" xfId="0" applyNumberFormat="1" applyAlignment="1">
      <alignment vertical="center" wrapText="1"/>
    </xf>
    <xf numFmtId="10" fontId="0" fillId="0" borderId="0" xfId="1" applyNumberFormat="1" applyFont="1" applyAlignment="1">
      <alignment vertical="center" wrapText="1"/>
    </xf>
    <xf numFmtId="0" fontId="8" fillId="0" borderId="0" xfId="0" applyFont="1"/>
    <xf numFmtId="4" fontId="0" fillId="0" borderId="1" xfId="0" applyNumberFormat="1" applyBorder="1" applyAlignment="1">
      <alignment horizontal="right" vertical="center"/>
    </xf>
    <xf numFmtId="166" fontId="0" fillId="0" borderId="1" xfId="0" applyNumberFormat="1" applyBorder="1" applyAlignment="1">
      <alignment horizontal="right" vertical="center"/>
    </xf>
    <xf numFmtId="164" fontId="0" fillId="0" borderId="1" xfId="0" applyNumberFormat="1" applyBorder="1"/>
    <xf numFmtId="10" fontId="0" fillId="0" borderId="1" xfId="1" applyNumberFormat="1" applyFont="1" applyBorder="1"/>
    <xf numFmtId="0" fontId="1" fillId="0" borderId="3" xfId="0" applyFont="1" applyBorder="1"/>
    <xf numFmtId="0" fontId="1" fillId="0" borderId="9" xfId="0" applyFont="1" applyBorder="1"/>
    <xf numFmtId="1" fontId="0" fillId="0" borderId="1" xfId="0" applyNumberFormat="1" applyBorder="1"/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10" fontId="0" fillId="2" borderId="1" xfId="0" applyNumberFormat="1" applyFill="1" applyBorder="1"/>
    <xf numFmtId="10" fontId="0" fillId="0" borderId="0" xfId="0" applyNumberFormat="1"/>
    <xf numFmtId="167" fontId="0" fillId="0" borderId="0" xfId="0" applyNumberFormat="1"/>
    <xf numFmtId="0" fontId="10" fillId="0" borderId="11" xfId="0" applyFont="1" applyBorder="1"/>
    <xf numFmtId="0" fontId="10" fillId="0" borderId="12" xfId="0" applyFont="1" applyBorder="1"/>
    <xf numFmtId="0" fontId="10" fillId="0" borderId="10" xfId="0" applyFont="1" applyBorder="1"/>
    <xf numFmtId="164" fontId="11" fillId="0" borderId="4" xfId="0" applyNumberFormat="1" applyFont="1" applyBorder="1"/>
    <xf numFmtId="2" fontId="11" fillId="0" borderId="1" xfId="0" applyNumberFormat="1" applyFont="1" applyBorder="1"/>
    <xf numFmtId="0" fontId="11" fillId="0" borderId="2" xfId="0" applyFont="1" applyBorder="1"/>
    <xf numFmtId="10" fontId="11" fillId="0" borderId="1" xfId="1" applyNumberFormat="1" applyFont="1" applyFill="1" applyBorder="1"/>
    <xf numFmtId="10" fontId="11" fillId="0" borderId="2" xfId="1" applyNumberFormat="1" applyFont="1" applyFill="1" applyBorder="1"/>
    <xf numFmtId="164" fontId="11" fillId="0" borderId="5" xfId="0" applyNumberFormat="1" applyFont="1" applyBorder="1"/>
    <xf numFmtId="2" fontId="11" fillId="0" borderId="13" xfId="0" applyNumberFormat="1" applyFont="1" applyBorder="1"/>
    <xf numFmtId="10" fontId="11" fillId="0" borderId="13" xfId="1" applyNumberFormat="1" applyFont="1" applyFill="1" applyBorder="1"/>
    <xf numFmtId="10" fontId="11" fillId="0" borderId="6" xfId="1" applyNumberFormat="1" applyFont="1" applyFill="1" applyBorder="1"/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10" fontId="5" fillId="3" borderId="1" xfId="1" applyNumberFormat="1" applyFont="1" applyFill="1" applyBorder="1" applyAlignment="1" applyProtection="1">
      <alignment wrapText="1"/>
    </xf>
    <xf numFmtId="0" fontId="0" fillId="3" borderId="1" xfId="0" applyFill="1" applyBorder="1" applyAlignment="1">
      <alignment wrapText="1"/>
    </xf>
    <xf numFmtId="10" fontId="0" fillId="3" borderId="1" xfId="1" applyNumberFormat="1" applyFont="1" applyFill="1" applyBorder="1" applyAlignment="1" applyProtection="1">
      <alignment wrapText="1"/>
    </xf>
    <xf numFmtId="0" fontId="1" fillId="3" borderId="1" xfId="0" applyFont="1" applyFill="1" applyBorder="1"/>
    <xf numFmtId="17" fontId="1" fillId="3" borderId="1" xfId="0" applyNumberFormat="1" applyFont="1" applyFill="1" applyBorder="1"/>
    <xf numFmtId="0" fontId="7" fillId="3" borderId="0" xfId="0" applyFont="1" applyFill="1"/>
    <xf numFmtId="0" fontId="0" fillId="0" borderId="14" xfId="0" applyBorder="1"/>
    <xf numFmtId="2" fontId="0" fillId="0" borderId="0" xfId="0" applyNumberFormat="1"/>
    <xf numFmtId="2" fontId="0" fillId="0" borderId="1" xfId="0" applyNumberFormat="1" applyBorder="1"/>
    <xf numFmtId="0" fontId="9" fillId="4" borderId="7" xfId="0" applyFont="1" applyFill="1" applyBorder="1"/>
    <xf numFmtId="0" fontId="9" fillId="4" borderId="0" xfId="0" applyFont="1" applyFill="1"/>
    <xf numFmtId="0" fontId="9" fillId="4" borderId="8" xfId="0" applyFont="1" applyFill="1" applyBorder="1"/>
    <xf numFmtId="0" fontId="0" fillId="0" borderId="6" xfId="0" applyBorder="1"/>
    <xf numFmtId="0" fontId="0" fillId="0" borderId="5" xfId="0" applyBorder="1"/>
    <xf numFmtId="0" fontId="0" fillId="0" borderId="4" xfId="0" applyBorder="1"/>
    <xf numFmtId="0" fontId="3" fillId="0" borderId="2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0" xfId="0" applyFont="1" applyBorder="1"/>
    <xf numFmtId="0" fontId="0" fillId="0" borderId="13" xfId="0" applyBorder="1"/>
    <xf numFmtId="0" fontId="3" fillId="0" borderId="13" xfId="0" applyFont="1" applyBorder="1"/>
    <xf numFmtId="0" fontId="3" fillId="0" borderId="6" xfId="0" applyFont="1" applyBorder="1"/>
    <xf numFmtId="0" fontId="0" fillId="0" borderId="4" xfId="0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2" fontId="0" fillId="0" borderId="2" xfId="0" applyNumberFormat="1" applyBorder="1" applyAlignment="1">
      <alignment horizontal="right" vertical="center" wrapText="1"/>
    </xf>
    <xf numFmtId="2" fontId="1" fillId="0" borderId="2" xfId="0" applyNumberFormat="1" applyFont="1" applyBorder="1" applyAlignment="1">
      <alignment horizontal="right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2" fontId="1" fillId="0" borderId="13" xfId="0" applyNumberFormat="1" applyFont="1" applyBorder="1" applyAlignment="1">
      <alignment horizontal="right" vertical="center" wrapText="1"/>
    </xf>
    <xf numFmtId="2" fontId="1" fillId="0" borderId="6" xfId="0" applyNumberFormat="1" applyFont="1" applyBorder="1" applyAlignment="1">
      <alignment horizontal="right" vertical="center" wrapText="1"/>
    </xf>
    <xf numFmtId="0" fontId="1" fillId="0" borderId="12" xfId="0" applyFont="1" applyBorder="1" applyAlignment="1">
      <alignment horizontal="right" vertical="center" wrapText="1"/>
    </xf>
    <xf numFmtId="0" fontId="1" fillId="0" borderId="10" xfId="0" applyFont="1" applyBorder="1" applyAlignment="1">
      <alignment horizontal="right" vertical="center" wrapText="1"/>
    </xf>
    <xf numFmtId="0" fontId="0" fillId="0" borderId="2" xfId="0" applyBorder="1"/>
    <xf numFmtId="0" fontId="1" fillId="0" borderId="11" xfId="0" applyFont="1" applyBorder="1"/>
    <xf numFmtId="0" fontId="1" fillId="0" borderId="12" xfId="0" applyFont="1" applyBorder="1"/>
    <xf numFmtId="0" fontId="1" fillId="0" borderId="10" xfId="0" applyFont="1" applyBorder="1"/>
    <xf numFmtId="165" fontId="0" fillId="0" borderId="13" xfId="0" applyNumberFormat="1" applyBorder="1"/>
    <xf numFmtId="0" fontId="0" fillId="0" borderId="2" xfId="0" applyBorder="1" applyAlignment="1">
      <alignment horizontal="right" vertical="center" wrapText="1"/>
    </xf>
    <xf numFmtId="164" fontId="0" fillId="0" borderId="2" xfId="0" applyNumberFormat="1" applyBorder="1" applyAlignment="1">
      <alignment horizontal="right"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horizontal="right" vertical="center" wrapText="1"/>
    </xf>
    <xf numFmtId="0" fontId="0" fillId="3" borderId="1" xfId="0" applyFill="1" applyBorder="1" applyAlignment="1">
      <alignment horizontal="left"/>
    </xf>
    <xf numFmtId="0" fontId="13" fillId="6" borderId="0" xfId="0" applyFont="1" applyFill="1" applyAlignment="1">
      <alignment horizontal="center" vertical="center"/>
    </xf>
    <xf numFmtId="0" fontId="14" fillId="6" borderId="0" xfId="0" applyFont="1" applyFill="1" applyAlignment="1">
      <alignment horizontal="center" vertical="center"/>
    </xf>
    <xf numFmtId="0" fontId="15" fillId="3" borderId="0" xfId="0" applyFont="1" applyFill="1" applyAlignment="1">
      <alignment horizontal="center"/>
    </xf>
    <xf numFmtId="0" fontId="9" fillId="7" borderId="0" xfId="0" applyFont="1" applyFill="1" applyAlignment="1">
      <alignment horizontal="left"/>
    </xf>
    <xf numFmtId="0" fontId="12" fillId="7" borderId="0" xfId="0" applyFont="1" applyFill="1" applyAlignment="1">
      <alignment horizontal="left"/>
    </xf>
    <xf numFmtId="0" fontId="0" fillId="3" borderId="0" xfId="0" applyFill="1" applyAlignment="1">
      <alignment horizontal="left" vertical="center" wrapText="1"/>
    </xf>
    <xf numFmtId="0" fontId="0" fillId="3" borderId="0" xfId="0" applyFill="1" applyAlignment="1">
      <alignment horizontal="left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/>
    </xf>
    <xf numFmtId="0" fontId="1" fillId="5" borderId="0" xfId="0" applyFont="1" applyFill="1" applyAlignment="1">
      <alignment horizontal="left"/>
    </xf>
    <xf numFmtId="0" fontId="0" fillId="5" borderId="0" xfId="0" applyFill="1" applyAlignment="1">
      <alignment horizontal="left"/>
    </xf>
    <xf numFmtId="0" fontId="1" fillId="5" borderId="6" xfId="0" applyFont="1" applyFill="1" applyBorder="1" applyAlignment="1">
      <alignment horizontal="center" vertical="center" wrapText="1"/>
    </xf>
    <xf numFmtId="0" fontId="1" fillId="5" borderId="15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10" xfId="0" applyFont="1" applyFill="1" applyBorder="1" applyAlignment="1">
      <alignment horizontal="center" vertical="center" wrapText="1"/>
    </xf>
    <xf numFmtId="0" fontId="1" fillId="5" borderId="14" xfId="0" applyFont="1" applyFill="1" applyBorder="1" applyAlignment="1">
      <alignment horizontal="center" vertical="center" wrapText="1"/>
    </xf>
    <xf numFmtId="0" fontId="1" fillId="5" borderId="1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left" vertical="center" wrapText="1"/>
    </xf>
  </cellXfs>
  <cellStyles count="2">
    <cellStyle name="Normal" xfId="0" builtinId="0"/>
    <cellStyle name="Percent" xfId="1" builtinId="5"/>
  </cellStyles>
  <dxfs count="191"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numFmt numFmtId="164" formatCode="mmm/yyyy"/>
    </dxf>
    <dxf>
      <numFmt numFmtId="164" formatCode="m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2" formatCode="0.00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m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theme="4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mmm/yyyy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64" formatCode="m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2" formatCode="0.00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2" formatCode="0.00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2" formatCode="0.00"/>
      <alignment horizontal="general" vertical="center" textRotation="0" wrapText="1" indent="0" justifyLastLine="0" shrinkToFit="0" readingOrder="0"/>
    </dxf>
    <dxf>
      <numFmt numFmtId="2" formatCode="0.00"/>
      <alignment horizontal="general" vertical="center" textRotation="0" wrapText="1" indent="0" justifyLastLine="0" shrinkToFit="0" readingOrder="0"/>
    </dxf>
    <dxf>
      <numFmt numFmtId="164" formatCode="mmm/yyyy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mmm/yyyy"/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numFmt numFmtId="164" formatCode="m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ill>
        <patternFill>
          <bgColor theme="5" tint="-0.499984740745262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0.39997558519241921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alignment horizontal="left"/>
    </dxf>
    <dxf>
      <alignment horizont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FFE1E1"/>
      <color rgb="FFFF5D5D"/>
      <color rgb="FFFBE1FB"/>
      <color rgb="FFFAD6FA"/>
      <color rgb="FFF3CDF0"/>
      <color rgb="FFFFD1D1"/>
      <color rgb="FF9C202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[CPI Final project.xlsx]Q1 - CPI Contribution!PivotTable3</c:name>
    <c:fmtId val="6"/>
  </c:pivotSource>
  <c:chart>
    <c:autoTitleDeleted val="1"/>
    <c:pivotFmts>
      <c:pivotFmt>
        <c:idx val="0"/>
        <c:spPr>
          <a:solidFill>
            <a:srgbClr val="FF0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F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0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B0F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FF0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00B0F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8521008773463488"/>
          <c:y val="8.357966837674842E-2"/>
          <c:w val="0.76950138835634319"/>
          <c:h val="0.8403295129097626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'Q1 - CPI Contribution'!$C$23</c:f>
              <c:strCache>
                <c:ptCount val="1"/>
                <c:pt idx="0">
                  <c:v>Of May 2023 Rural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'Q1 - CPI Contribution'!$B$24:$B$36</c:f>
              <c:strCache>
                <c:ptCount val="12"/>
                <c:pt idx="0">
                  <c:v>Food</c:v>
                </c:pt>
                <c:pt idx="1">
                  <c:v>Apparel </c:v>
                </c:pt>
                <c:pt idx="2">
                  <c:v>Pan, tobacco and intoxicants</c:v>
                </c:pt>
                <c:pt idx="3">
                  <c:v>Health</c:v>
                </c:pt>
                <c:pt idx="4">
                  <c:v>Personal care and effects</c:v>
                </c:pt>
                <c:pt idx="5">
                  <c:v>Fuel and light</c:v>
                </c:pt>
                <c:pt idx="6">
                  <c:v>Education</c:v>
                </c:pt>
                <c:pt idx="7">
                  <c:v>Household goods and services</c:v>
                </c:pt>
                <c:pt idx="8">
                  <c:v>Miscellaneous</c:v>
                </c:pt>
                <c:pt idx="9">
                  <c:v>Recreation and amusement</c:v>
                </c:pt>
                <c:pt idx="10">
                  <c:v>Transport and communication</c:v>
                </c:pt>
                <c:pt idx="11">
                  <c:v>Housing</c:v>
                </c:pt>
              </c:strCache>
            </c:strRef>
          </c:cat>
          <c:val>
            <c:numRef>
              <c:f>'Q1 - CPI Contribution'!$C$24:$C$36</c:f>
              <c:numCache>
                <c:formatCode>0.00%</c:formatCode>
                <c:ptCount val="12"/>
                <c:pt idx="0">
                  <c:v>0.51169151820294334</c:v>
                </c:pt>
                <c:pt idx="1">
                  <c:v>9.1765104570100661E-2</c:v>
                </c:pt>
                <c:pt idx="2">
                  <c:v>4.8387877614252499E-2</c:v>
                </c:pt>
                <c:pt idx="3">
                  <c:v>4.5458946553059626E-2</c:v>
                </c:pt>
                <c:pt idx="4">
                  <c:v>4.4756971340046456E-2</c:v>
                </c:pt>
                <c:pt idx="5">
                  <c:v>4.4176026336173492E-2</c:v>
                </c:pt>
                <c:pt idx="6">
                  <c:v>4.3643493415956608E-2</c:v>
                </c:pt>
                <c:pt idx="7">
                  <c:v>4.3522463206816409E-2</c:v>
                </c:pt>
                <c:pt idx="8">
                  <c:v>4.3449845081332282E-2</c:v>
                </c:pt>
                <c:pt idx="9">
                  <c:v>4.2070100697133989E-2</c:v>
                </c:pt>
                <c:pt idx="10">
                  <c:v>4.1077652982184333E-2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12-4C63-BFA4-2D06979AF7D5}"/>
            </c:ext>
          </c:extLst>
        </c:ser>
        <c:ser>
          <c:idx val="1"/>
          <c:order val="1"/>
          <c:tx>
            <c:strRef>
              <c:f>'Q1 - CPI Contribution'!$D$23</c:f>
              <c:strCache>
                <c:ptCount val="1"/>
                <c:pt idx="0">
                  <c:v>of May 2023 Urban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'Q1 - CPI Contribution'!$B$24:$B$36</c:f>
              <c:strCache>
                <c:ptCount val="12"/>
                <c:pt idx="0">
                  <c:v>Food</c:v>
                </c:pt>
                <c:pt idx="1">
                  <c:v>Apparel </c:v>
                </c:pt>
                <c:pt idx="2">
                  <c:v>Pan, tobacco and intoxicants</c:v>
                </c:pt>
                <c:pt idx="3">
                  <c:v>Health</c:v>
                </c:pt>
                <c:pt idx="4">
                  <c:v>Personal care and effects</c:v>
                </c:pt>
                <c:pt idx="5">
                  <c:v>Fuel and light</c:v>
                </c:pt>
                <c:pt idx="6">
                  <c:v>Education</c:v>
                </c:pt>
                <c:pt idx="7">
                  <c:v>Household goods and services</c:v>
                </c:pt>
                <c:pt idx="8">
                  <c:v>Miscellaneous</c:v>
                </c:pt>
                <c:pt idx="9">
                  <c:v>Recreation and amusement</c:v>
                </c:pt>
                <c:pt idx="10">
                  <c:v>Transport and communication</c:v>
                </c:pt>
                <c:pt idx="11">
                  <c:v>Housing</c:v>
                </c:pt>
              </c:strCache>
            </c:strRef>
          </c:cat>
          <c:val>
            <c:numRef>
              <c:f>'Q1 - CPI Contribution'!$D$24:$D$36</c:f>
              <c:numCache>
                <c:formatCode>0.00%</c:formatCode>
                <c:ptCount val="12"/>
                <c:pt idx="0">
                  <c:v>0.50298001636087419</c:v>
                </c:pt>
                <c:pt idx="1">
                  <c:v>8.166413462662149E-2</c:v>
                </c:pt>
                <c:pt idx="2">
                  <c:v>4.7727007128666593E-2</c:v>
                </c:pt>
                <c:pt idx="3">
                  <c:v>4.2585018113824945E-2</c:v>
                </c:pt>
                <c:pt idx="4">
                  <c:v>4.3379689143391381E-2</c:v>
                </c:pt>
                <c:pt idx="5">
                  <c:v>4.2865490241907223E-2</c:v>
                </c:pt>
                <c:pt idx="6">
                  <c:v>4.0855439990650944E-2</c:v>
                </c:pt>
                <c:pt idx="7">
                  <c:v>3.9756924155662038E-2</c:v>
                </c:pt>
                <c:pt idx="8">
                  <c:v>4.0107514315764876E-2</c:v>
                </c:pt>
                <c:pt idx="9">
                  <c:v>3.9546570059600335E-2</c:v>
                </c:pt>
                <c:pt idx="10">
                  <c:v>3.748977445366368E-2</c:v>
                </c:pt>
                <c:pt idx="11">
                  <c:v>4.1042421409372448E-2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12-4C63-BFA4-2D06979AF7D5}"/>
            </c:ext>
          </c:extLst>
        </c:ser>
        <c:ser>
          <c:idx val="2"/>
          <c:order val="2"/>
          <c:tx>
            <c:strRef>
              <c:f>'Q1 - CPI Contribution'!$E$23</c:f>
              <c:strCache>
                <c:ptCount val="1"/>
                <c:pt idx="0">
                  <c:v>of May 2023 Rural+Urban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'Q1 - CPI Contribution'!$B$24:$B$36</c:f>
              <c:strCache>
                <c:ptCount val="12"/>
                <c:pt idx="0">
                  <c:v>Food</c:v>
                </c:pt>
                <c:pt idx="1">
                  <c:v>Apparel </c:v>
                </c:pt>
                <c:pt idx="2">
                  <c:v>Pan, tobacco and intoxicants</c:v>
                </c:pt>
                <c:pt idx="3">
                  <c:v>Health</c:v>
                </c:pt>
                <c:pt idx="4">
                  <c:v>Personal care and effects</c:v>
                </c:pt>
                <c:pt idx="5">
                  <c:v>Fuel and light</c:v>
                </c:pt>
                <c:pt idx="6">
                  <c:v>Education</c:v>
                </c:pt>
                <c:pt idx="7">
                  <c:v>Household goods and services</c:v>
                </c:pt>
                <c:pt idx="8">
                  <c:v>Miscellaneous</c:v>
                </c:pt>
                <c:pt idx="9">
                  <c:v>Recreation and amusement</c:v>
                </c:pt>
                <c:pt idx="10">
                  <c:v>Transport and communication</c:v>
                </c:pt>
                <c:pt idx="11">
                  <c:v>Housing</c:v>
                </c:pt>
              </c:strCache>
            </c:strRef>
          </c:cat>
          <c:val>
            <c:numRef>
              <c:f>'Q1 - CPI Contribution'!$E$24:$E$36</c:f>
              <c:numCache>
                <c:formatCode>0.00%</c:formatCode>
                <c:ptCount val="12"/>
                <c:pt idx="0">
                  <c:v>0.49609475181273471</c:v>
                </c:pt>
                <c:pt idx="1">
                  <c:v>8.5565736401576095E-2</c:v>
                </c:pt>
                <c:pt idx="2">
                  <c:v>4.6862978247184731E-2</c:v>
                </c:pt>
                <c:pt idx="3">
                  <c:v>4.3295796320906486E-2</c:v>
                </c:pt>
                <c:pt idx="4">
                  <c:v>4.3179221748152294E-2</c:v>
                </c:pt>
                <c:pt idx="5">
                  <c:v>4.2619663798932186E-2</c:v>
                </c:pt>
                <c:pt idx="6">
                  <c:v>4.1290713669534407E-2</c:v>
                </c:pt>
                <c:pt idx="7">
                  <c:v>4.0847730293068478E-2</c:v>
                </c:pt>
                <c:pt idx="8">
                  <c:v>4.096430486582267E-2</c:v>
                </c:pt>
                <c:pt idx="9">
                  <c:v>3.9915133711034952E-2</c:v>
                </c:pt>
                <c:pt idx="10">
                  <c:v>3.8422979179781311E-2</c:v>
                </c:pt>
                <c:pt idx="11">
                  <c:v>4.0940989951271829E-2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312-4C63-BFA4-2D06979AF7D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570590048"/>
        <c:axId val="2028774480"/>
      </c:barChart>
      <c:catAx>
        <c:axId val="15705900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8774480"/>
        <c:crosses val="autoZero"/>
        <c:auto val="1"/>
        <c:lblAlgn val="ctr"/>
        <c:lblOffset val="100"/>
        <c:noMultiLvlLbl val="0"/>
      </c:catAx>
      <c:valAx>
        <c:axId val="2028774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590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'Q2 - YoY Inflation'!$S$16</c:f>
              <c:strCache>
                <c:ptCount val="1"/>
                <c:pt idx="0">
                  <c:v>Inflation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'Q2 - YoY Inflation'!$Q$17:$Q$24</c:f>
              <c:numCache>
                <c:formatCode>mmm/yyyy</c:formatCode>
                <c:ptCount val="8"/>
                <c:pt idx="0">
                  <c:v>42491</c:v>
                </c:pt>
                <c:pt idx="1">
                  <c:v>42856</c:v>
                </c:pt>
                <c:pt idx="2">
                  <c:v>43221</c:v>
                </c:pt>
                <c:pt idx="3">
                  <c:v>43586</c:v>
                </c:pt>
                <c:pt idx="4">
                  <c:v>43952</c:v>
                </c:pt>
                <c:pt idx="5">
                  <c:v>44317</c:v>
                </c:pt>
                <c:pt idx="6">
                  <c:v>44682</c:v>
                </c:pt>
                <c:pt idx="7">
                  <c:v>45047</c:v>
                </c:pt>
              </c:numCache>
            </c:numRef>
          </c:cat>
          <c:val>
            <c:numRef>
              <c:f>'Q2 - YoY Inflation'!$S$17:$S$24</c:f>
              <c:numCache>
                <c:formatCode>0.00%</c:formatCode>
                <c:ptCount val="8"/>
                <c:pt idx="1">
                  <c:v>2.1772939346811911E-2</c:v>
                </c:pt>
                <c:pt idx="2">
                  <c:v>4.8706240487062444E-2</c:v>
                </c:pt>
                <c:pt idx="3">
                  <c:v>3.0478955007256808E-2</c:v>
                </c:pt>
                <c:pt idx="4">
                  <c:v>6.267605633802821E-2</c:v>
                </c:pt>
                <c:pt idx="5">
                  <c:v>6.2955599734923789E-2</c:v>
                </c:pt>
                <c:pt idx="6">
                  <c:v>7.0448877805486171E-2</c:v>
                </c:pt>
                <c:pt idx="7">
                  <c:v>4.3098427489807842E-2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C7-48C7-BB6D-4DBDDCFE05F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021653840"/>
        <c:axId val="191452657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'Q2 - YoY Inflation'!$R$16</c15:sqref>
                        </c15:formulaRef>
                      </c:ext>
                    </c:extLst>
                    <c:strCache>
                      <c:ptCount val="1"/>
                      <c:pt idx="0">
                        <c:v>CPI Index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'Q2 - YoY Inflation'!$Q$17:$Q$24</c15:sqref>
                        </c15:formulaRef>
                      </c:ext>
                    </c:extLst>
                    <c:numCache>
                      <c:formatCode>mmm/yyyy</c:formatCode>
                      <c:ptCount val="8"/>
                      <c:pt idx="0">
                        <c:v>42491</c:v>
                      </c:pt>
                      <c:pt idx="1">
                        <c:v>42856</c:v>
                      </c:pt>
                      <c:pt idx="2">
                        <c:v>43221</c:v>
                      </c:pt>
                      <c:pt idx="3">
                        <c:v>43586</c:v>
                      </c:pt>
                      <c:pt idx="4">
                        <c:v>43952</c:v>
                      </c:pt>
                      <c:pt idx="5">
                        <c:v>44317</c:v>
                      </c:pt>
                      <c:pt idx="6">
                        <c:v>44682</c:v>
                      </c:pt>
                      <c:pt idx="7">
                        <c:v>45047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'Q2 - YoY Inflation'!$R$17:$R$24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128.6</c:v>
                      </c:pt>
                      <c:pt idx="1">
                        <c:v>131.4</c:v>
                      </c:pt>
                      <c:pt idx="2">
                        <c:v>137.80000000000001</c:v>
                      </c:pt>
                      <c:pt idx="3">
                        <c:v>142</c:v>
                      </c:pt>
                      <c:pt idx="4">
                        <c:v>150.9</c:v>
                      </c:pt>
                      <c:pt idx="5">
                        <c:v>160.4</c:v>
                      </c:pt>
                      <c:pt idx="6">
                        <c:v>171.7</c:v>
                      </c:pt>
                      <c:pt idx="7">
                        <c:v>179.1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A5C7-48C7-BB6D-4DBDDCFE05F8}"/>
                  </c:ext>
                </c:extLst>
              </c15:ser>
            </c15:filteredLineSeries>
          </c:ext>
        </c:extLst>
      </c:lineChart>
      <c:catAx>
        <c:axId val="2021653840"/>
        <c:scaling>
          <c:orientation val="minMax"/>
        </c:scaling>
        <c:delete val="0"/>
        <c:axPos val="b"/>
        <c:numFmt formatCode="mmm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4526576"/>
        <c:crosses val="autoZero"/>
        <c:auto val="0"/>
        <c:lblAlgn val="ctr"/>
        <c:lblOffset val="100"/>
        <c:noMultiLvlLbl val="0"/>
      </c:catAx>
      <c:valAx>
        <c:axId val="1914526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653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2">
        <a:lumMod val="20000"/>
        <a:lumOff val="8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v>Rural Inflation</c:v>
          </c:tx>
          <c:spPr>
            <a:ln w="28575" cap="rnd">
              <a:solidFill>
                <a:srgbClr val="FF0000">
                  <a:alpha val="94000"/>
                </a:srgb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'Q3 - Food Inflation'!$K$33:$K$45</c:f>
              <c:numCache>
                <c:formatCode>mmm/yyyy</c:formatCode>
                <c:ptCount val="13"/>
                <c:pt idx="0">
                  <c:v>44682</c:v>
                </c:pt>
                <c:pt idx="1">
                  <c:v>44713</c:v>
                </c:pt>
                <c:pt idx="2">
                  <c:v>44743</c:v>
                </c:pt>
                <c:pt idx="3">
                  <c:v>44774</c:v>
                </c:pt>
                <c:pt idx="4">
                  <c:v>44805</c:v>
                </c:pt>
                <c:pt idx="5">
                  <c:v>44835</c:v>
                </c:pt>
                <c:pt idx="6">
                  <c:v>44866</c:v>
                </c:pt>
                <c:pt idx="7">
                  <c:v>44896</c:v>
                </c:pt>
                <c:pt idx="8">
                  <c:v>44927</c:v>
                </c:pt>
                <c:pt idx="9">
                  <c:v>44958</c:v>
                </c:pt>
                <c:pt idx="10">
                  <c:v>44986</c:v>
                </c:pt>
                <c:pt idx="11">
                  <c:v>45017</c:v>
                </c:pt>
                <c:pt idx="12">
                  <c:v>45047</c:v>
                </c:pt>
              </c:numCache>
            </c:numRef>
          </c:cat>
          <c:val>
            <c:numRef>
              <c:f>'Q3 - Food Inflation'!$M$33:$M$45</c:f>
              <c:numCache>
                <c:formatCode>0.00%</c:formatCode>
                <c:ptCount val="13"/>
                <c:pt idx="1">
                  <c:v>9.6789883268482372E-3</c:v>
                </c:pt>
                <c:pt idx="2">
                  <c:v>1.9750469675803373E-3</c:v>
                </c:pt>
                <c:pt idx="3">
                  <c:v>9.1346153846136346E-4</c:v>
                </c:pt>
                <c:pt idx="4">
                  <c:v>4.995436860560273E-3</c:v>
                </c:pt>
                <c:pt idx="5">
                  <c:v>7.0735554174830755E-3</c:v>
                </c:pt>
                <c:pt idx="6">
                  <c:v>1.8983436951258946E-3</c:v>
                </c:pt>
                <c:pt idx="7">
                  <c:v>-3.9789683103594641E-3</c:v>
                </c:pt>
                <c:pt idx="8">
                  <c:v>2.6156845959958409E-3</c:v>
                </c:pt>
                <c:pt idx="9">
                  <c:v>-8.206052556683727E-3</c:v>
                </c:pt>
                <c:pt idx="10">
                  <c:v>4.782629489705396E-5</c:v>
                </c:pt>
                <c:pt idx="11">
                  <c:v>3.6824485891916873E-3</c:v>
                </c:pt>
                <c:pt idx="12">
                  <c:v>7.2425787392199183E-3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05-4122-A8FC-3BE76FEB39A8}"/>
            </c:ext>
          </c:extLst>
        </c:ser>
        <c:ser>
          <c:idx val="3"/>
          <c:order val="3"/>
          <c:tx>
            <c:v>Urban Inflation</c:v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'Q3 - Food Inflation'!$K$33:$K$45</c:f>
              <c:numCache>
                <c:formatCode>mmm/yyyy</c:formatCode>
                <c:ptCount val="13"/>
                <c:pt idx="0">
                  <c:v>44682</c:v>
                </c:pt>
                <c:pt idx="1">
                  <c:v>44713</c:v>
                </c:pt>
                <c:pt idx="2">
                  <c:v>44743</c:v>
                </c:pt>
                <c:pt idx="3">
                  <c:v>44774</c:v>
                </c:pt>
                <c:pt idx="4">
                  <c:v>44805</c:v>
                </c:pt>
                <c:pt idx="5">
                  <c:v>44835</c:v>
                </c:pt>
                <c:pt idx="6">
                  <c:v>44866</c:v>
                </c:pt>
                <c:pt idx="7">
                  <c:v>44896</c:v>
                </c:pt>
                <c:pt idx="8">
                  <c:v>44927</c:v>
                </c:pt>
                <c:pt idx="9">
                  <c:v>44958</c:v>
                </c:pt>
                <c:pt idx="10">
                  <c:v>44986</c:v>
                </c:pt>
                <c:pt idx="11">
                  <c:v>45017</c:v>
                </c:pt>
                <c:pt idx="12">
                  <c:v>45047</c:v>
                </c:pt>
              </c:numCache>
            </c:numRef>
          </c:cat>
          <c:val>
            <c:numRef>
              <c:f>'Q3 - Food Inflation'!$O$33:$O$45</c:f>
              <c:numCache>
                <c:formatCode>0.00%</c:formatCode>
                <c:ptCount val="13"/>
                <c:pt idx="1">
                  <c:v>1.1272605171007545E-2</c:v>
                </c:pt>
                <c:pt idx="2">
                  <c:v>1.8973531922968003E-3</c:v>
                </c:pt>
                <c:pt idx="3">
                  <c:v>5.2078401666509936E-4</c:v>
                </c:pt>
                <c:pt idx="4">
                  <c:v>5.3470874934935667E-3</c:v>
                </c:pt>
                <c:pt idx="5">
                  <c:v>6.777746399322322E-3</c:v>
                </c:pt>
                <c:pt idx="6">
                  <c:v>-2.7582982702197712E-3</c:v>
                </c:pt>
                <c:pt idx="7">
                  <c:v>-7.4539402747176436E-3</c:v>
                </c:pt>
                <c:pt idx="8">
                  <c:v>6.3763461175140208E-3</c:v>
                </c:pt>
                <c:pt idx="9">
                  <c:v>-3.8485004927959754E-3</c:v>
                </c:pt>
                <c:pt idx="10">
                  <c:v>4.7114252061205678E-5</c:v>
                </c:pt>
                <c:pt idx="11">
                  <c:v>6.1245642137003932E-3</c:v>
                </c:pt>
                <c:pt idx="12">
                  <c:v>7.6793407005055943E-3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05-4122-A8FC-3BE76FEB39A8}"/>
            </c:ext>
          </c:extLst>
        </c:ser>
        <c:ser>
          <c:idx val="5"/>
          <c:order val="5"/>
          <c:tx>
            <c:v>Rural+Urban Inflation</c:v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'Q3 - Food Inflation'!$K$33:$K$45</c:f>
              <c:numCache>
                <c:formatCode>mmm/yyyy</c:formatCode>
                <c:ptCount val="13"/>
                <c:pt idx="0">
                  <c:v>44682</c:v>
                </c:pt>
                <c:pt idx="1">
                  <c:v>44713</c:v>
                </c:pt>
                <c:pt idx="2">
                  <c:v>44743</c:v>
                </c:pt>
                <c:pt idx="3">
                  <c:v>44774</c:v>
                </c:pt>
                <c:pt idx="4">
                  <c:v>44805</c:v>
                </c:pt>
                <c:pt idx="5">
                  <c:v>44835</c:v>
                </c:pt>
                <c:pt idx="6">
                  <c:v>44866</c:v>
                </c:pt>
                <c:pt idx="7">
                  <c:v>44896</c:v>
                </c:pt>
                <c:pt idx="8">
                  <c:v>44927</c:v>
                </c:pt>
                <c:pt idx="9">
                  <c:v>44958</c:v>
                </c:pt>
                <c:pt idx="10">
                  <c:v>44986</c:v>
                </c:pt>
                <c:pt idx="11">
                  <c:v>45017</c:v>
                </c:pt>
                <c:pt idx="12">
                  <c:v>45047</c:v>
                </c:pt>
              </c:numCache>
            </c:numRef>
          </c:cat>
          <c:val>
            <c:numRef>
              <c:f>'Q3 - Food Inflation'!$Q$33:$Q$45</c:f>
              <c:numCache>
                <c:formatCode>0.00%</c:formatCode>
                <c:ptCount val="13"/>
                <c:pt idx="1">
                  <c:v>1.0360185902401063E-2</c:v>
                </c:pt>
                <c:pt idx="2">
                  <c:v>2.0603737422137912E-3</c:v>
                </c:pt>
                <c:pt idx="3">
                  <c:v>7.6507435566389756E-4</c:v>
                </c:pt>
                <c:pt idx="4">
                  <c:v>4.8736203354197202E-3</c:v>
                </c:pt>
                <c:pt idx="5">
                  <c:v>6.9421330417005203E-3</c:v>
                </c:pt>
                <c:pt idx="6">
                  <c:v>3.7776833356925599E-4</c:v>
                </c:pt>
                <c:pt idx="7">
                  <c:v>-5.1923530800093874E-3</c:v>
                </c:pt>
                <c:pt idx="8">
                  <c:v>4.0332147093713466E-3</c:v>
                </c:pt>
                <c:pt idx="9">
                  <c:v>-6.5689981096409816E-3</c:v>
                </c:pt>
                <c:pt idx="10">
                  <c:v>4.7571476142861456E-5</c:v>
                </c:pt>
                <c:pt idx="11">
                  <c:v>4.5190752544955618E-3</c:v>
                </c:pt>
                <c:pt idx="12">
                  <c:v>7.6241890420040825E-3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305-4122-A8FC-3BE76FEB3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3148416"/>
        <c:axId val="167905044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'Q3 - Food Inflation'!$L$32</c15:sqref>
                        </c15:formulaRef>
                      </c:ext>
                    </c:extLst>
                    <c:strCache>
                      <c:ptCount val="1"/>
                      <c:pt idx="0">
                        <c:v>Rural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'Q3 - Food Inflation'!$K$33:$K$45</c15:sqref>
                        </c15:formulaRef>
                      </c:ext>
                    </c:extLst>
                    <c:numCache>
                      <c:formatCode>mmm/yyyy</c:formatCode>
                      <c:ptCount val="13"/>
                      <c:pt idx="0">
                        <c:v>44682</c:v>
                      </c:pt>
                      <c:pt idx="1">
                        <c:v>44713</c:v>
                      </c:pt>
                      <c:pt idx="2">
                        <c:v>44743</c:v>
                      </c:pt>
                      <c:pt idx="3">
                        <c:v>44774</c:v>
                      </c:pt>
                      <c:pt idx="4">
                        <c:v>44805</c:v>
                      </c:pt>
                      <c:pt idx="5">
                        <c:v>44835</c:v>
                      </c:pt>
                      <c:pt idx="6">
                        <c:v>44866</c:v>
                      </c:pt>
                      <c:pt idx="7">
                        <c:v>44896</c:v>
                      </c:pt>
                      <c:pt idx="8">
                        <c:v>44927</c:v>
                      </c:pt>
                      <c:pt idx="9">
                        <c:v>44958</c:v>
                      </c:pt>
                      <c:pt idx="10">
                        <c:v>44986</c:v>
                      </c:pt>
                      <c:pt idx="11">
                        <c:v>45017</c:v>
                      </c:pt>
                      <c:pt idx="12">
                        <c:v>45047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'Q3 - Food Inflation'!$L$33:$L$45</c15:sqref>
                        </c15:formulaRef>
                      </c:ext>
                    </c:extLst>
                    <c:numCache>
                      <c:formatCode>0.00</c:formatCode>
                      <c:ptCount val="13"/>
                      <c:pt idx="0">
                        <c:v>171.33333333333334</c:v>
                      </c:pt>
                      <c:pt idx="1">
                        <c:v>172.99166666666667</c:v>
                      </c:pt>
                      <c:pt idx="2">
                        <c:v>173.33333333333334</c:v>
                      </c:pt>
                      <c:pt idx="3">
                        <c:v>173.49166666666665</c:v>
                      </c:pt>
                      <c:pt idx="4">
                        <c:v>174.35833333333335</c:v>
                      </c:pt>
                      <c:pt idx="5">
                        <c:v>175.59166666666667</c:v>
                      </c:pt>
                      <c:pt idx="6">
                        <c:v>175.92499999999998</c:v>
                      </c:pt>
                      <c:pt idx="7">
                        <c:v>175.22499999999999</c:v>
                      </c:pt>
                      <c:pt idx="8">
                        <c:v>175.68333333333337</c:v>
                      </c:pt>
                      <c:pt idx="9">
                        <c:v>174.24166666666665</c:v>
                      </c:pt>
                      <c:pt idx="10">
                        <c:v>174.25</c:v>
                      </c:pt>
                      <c:pt idx="11">
                        <c:v>174.89166666666665</c:v>
                      </c:pt>
                      <c:pt idx="12">
                        <c:v>176.15833333333339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2305-4122-A8FC-3BE76FEB39A8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'Q3 - Food Inflation'!$N$32</c15:sqref>
                        </c15:formulaRef>
                      </c:ext>
                    </c:extLst>
                    <c:strCache>
                      <c:ptCount val="1"/>
                      <c:pt idx="0">
                        <c:v>Urban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'Q3 - Food Inflation'!$K$33:$K$45</c15:sqref>
                        </c15:formulaRef>
                      </c:ext>
                    </c:extLst>
                    <c:numCache>
                      <c:formatCode>mmm/yyyy</c:formatCode>
                      <c:ptCount val="13"/>
                      <c:pt idx="0">
                        <c:v>44682</c:v>
                      </c:pt>
                      <c:pt idx="1">
                        <c:v>44713</c:v>
                      </c:pt>
                      <c:pt idx="2">
                        <c:v>44743</c:v>
                      </c:pt>
                      <c:pt idx="3">
                        <c:v>44774</c:v>
                      </c:pt>
                      <c:pt idx="4">
                        <c:v>44805</c:v>
                      </c:pt>
                      <c:pt idx="5">
                        <c:v>44835</c:v>
                      </c:pt>
                      <c:pt idx="6">
                        <c:v>44866</c:v>
                      </c:pt>
                      <c:pt idx="7">
                        <c:v>44896</c:v>
                      </c:pt>
                      <c:pt idx="8">
                        <c:v>44927</c:v>
                      </c:pt>
                      <c:pt idx="9">
                        <c:v>44958</c:v>
                      </c:pt>
                      <c:pt idx="10">
                        <c:v>44986</c:v>
                      </c:pt>
                      <c:pt idx="11">
                        <c:v>45017</c:v>
                      </c:pt>
                      <c:pt idx="12">
                        <c:v>45047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'Q3 - Food Inflation'!$N$33:$N$45</c15:sqref>
                        </c15:formulaRef>
                      </c:ext>
                    </c:extLst>
                    <c:numCache>
                      <c:formatCode>0.00</c:formatCode>
                      <c:ptCount val="13"/>
                      <c:pt idx="0">
                        <c:v>173.72500000000002</c:v>
                      </c:pt>
                      <c:pt idx="1">
                        <c:v>175.68333333333331</c:v>
                      </c:pt>
                      <c:pt idx="2">
                        <c:v>176.01666666666665</c:v>
                      </c:pt>
                      <c:pt idx="3">
                        <c:v>176.10833333333332</c:v>
                      </c:pt>
                      <c:pt idx="4">
                        <c:v>177.04999999999998</c:v>
                      </c:pt>
                      <c:pt idx="5">
                        <c:v>178.25</c:v>
                      </c:pt>
                      <c:pt idx="6">
                        <c:v>177.75833333333333</c:v>
                      </c:pt>
                      <c:pt idx="7">
                        <c:v>176.43333333333331</c:v>
                      </c:pt>
                      <c:pt idx="8">
                        <c:v>177.55833333333337</c:v>
                      </c:pt>
                      <c:pt idx="9">
                        <c:v>176.875</c:v>
                      </c:pt>
                      <c:pt idx="10">
                        <c:v>176.88333333333333</c:v>
                      </c:pt>
                      <c:pt idx="11">
                        <c:v>177.9666666666667</c:v>
                      </c:pt>
                      <c:pt idx="12">
                        <c:v>179.33333333333334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305-4122-A8FC-3BE76FEB39A8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'Q3 - Food Inflation'!$P$32</c15:sqref>
                        </c15:formulaRef>
                      </c:ext>
                    </c:extLst>
                    <c:strCache>
                      <c:ptCount val="1"/>
                      <c:pt idx="0">
                        <c:v>Rural+Urban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'Q3 - Food Inflation'!$K$33:$K$45</c15:sqref>
                        </c15:formulaRef>
                      </c:ext>
                    </c:extLst>
                    <c:numCache>
                      <c:formatCode>mmm/yyyy</c:formatCode>
                      <c:ptCount val="13"/>
                      <c:pt idx="0">
                        <c:v>44682</c:v>
                      </c:pt>
                      <c:pt idx="1">
                        <c:v>44713</c:v>
                      </c:pt>
                      <c:pt idx="2">
                        <c:v>44743</c:v>
                      </c:pt>
                      <c:pt idx="3">
                        <c:v>44774</c:v>
                      </c:pt>
                      <c:pt idx="4">
                        <c:v>44805</c:v>
                      </c:pt>
                      <c:pt idx="5">
                        <c:v>44835</c:v>
                      </c:pt>
                      <c:pt idx="6">
                        <c:v>44866</c:v>
                      </c:pt>
                      <c:pt idx="7">
                        <c:v>44896</c:v>
                      </c:pt>
                      <c:pt idx="8">
                        <c:v>44927</c:v>
                      </c:pt>
                      <c:pt idx="9">
                        <c:v>44958</c:v>
                      </c:pt>
                      <c:pt idx="10">
                        <c:v>44986</c:v>
                      </c:pt>
                      <c:pt idx="11">
                        <c:v>45017</c:v>
                      </c:pt>
                      <c:pt idx="12">
                        <c:v>45047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'Q3 - Food Inflation'!$P$33:$P$45</c15:sqref>
                        </c15:formulaRef>
                      </c:ext>
                    </c:extLst>
                    <c:numCache>
                      <c:formatCode>0.00</c:formatCode>
                      <c:ptCount val="13"/>
                      <c:pt idx="0">
                        <c:v>172.13333333333335</c:v>
                      </c:pt>
                      <c:pt idx="1">
                        <c:v>173.91666666666666</c:v>
                      </c:pt>
                      <c:pt idx="2">
                        <c:v>174.27500000000001</c:v>
                      </c:pt>
                      <c:pt idx="3">
                        <c:v>174.40833333333333</c:v>
                      </c:pt>
                      <c:pt idx="4">
                        <c:v>175.25833333333333</c:v>
                      </c:pt>
                      <c:pt idx="5">
                        <c:v>176.47500000000002</c:v>
                      </c:pt>
                      <c:pt idx="6">
                        <c:v>176.54166666666666</c:v>
                      </c:pt>
                      <c:pt idx="7">
                        <c:v>175.625</c:v>
                      </c:pt>
                      <c:pt idx="8">
                        <c:v>176.33333333333334</c:v>
                      </c:pt>
                      <c:pt idx="9">
                        <c:v>175.17499999999998</c:v>
                      </c:pt>
                      <c:pt idx="10">
                        <c:v>175.18333333333331</c:v>
                      </c:pt>
                      <c:pt idx="11">
                        <c:v>175.97500000000002</c:v>
                      </c:pt>
                      <c:pt idx="12">
                        <c:v>177.31666666666669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305-4122-A8FC-3BE76FEB39A8}"/>
                  </c:ext>
                </c:extLst>
              </c15:ser>
            </c15:filteredLineSeries>
          </c:ext>
        </c:extLst>
      </c:lineChart>
      <c:dateAx>
        <c:axId val="333148416"/>
        <c:scaling>
          <c:orientation val="minMax"/>
        </c:scaling>
        <c:delete val="0"/>
        <c:axPos val="b"/>
        <c:numFmt formatCode="mmm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t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050448"/>
        <c:crosses val="autoZero"/>
        <c:auto val="1"/>
        <c:lblOffset val="100"/>
        <c:baseTimeUnit val="months"/>
      </c:dateAx>
      <c:valAx>
        <c:axId val="1679050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148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20000"/>
        <a:lumOff val="8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273054351352149"/>
          <c:y val="6.1272183692270256E-2"/>
          <c:w val="0.82293737159259583"/>
          <c:h val="0.50576819453859656"/>
        </c:manualLayout>
      </c:layout>
      <c:lineChart>
        <c:grouping val="standard"/>
        <c:varyColors val="0"/>
        <c:ser>
          <c:idx val="10"/>
          <c:order val="10"/>
          <c:tx>
            <c:v>Health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'Q4 - COVID Impact'!$B$139:$B$145</c:f>
              <c:numCache>
                <c:formatCode>mmm/yyyy</c:formatCode>
                <c:ptCount val="7"/>
                <c:pt idx="0">
                  <c:v>42795</c:v>
                </c:pt>
                <c:pt idx="1">
                  <c:v>43160</c:v>
                </c:pt>
                <c:pt idx="2">
                  <c:v>43525</c:v>
                </c:pt>
                <c:pt idx="3">
                  <c:v>43891</c:v>
                </c:pt>
                <c:pt idx="4">
                  <c:v>44256</c:v>
                </c:pt>
                <c:pt idx="5">
                  <c:v>44621</c:v>
                </c:pt>
                <c:pt idx="6">
                  <c:v>44986</c:v>
                </c:pt>
              </c:numCache>
            </c:numRef>
          </c:cat>
          <c:val>
            <c:numRef>
              <c:f>'Q4 - COVID Impact'!$M$139:$M$145</c:f>
              <c:numCache>
                <c:formatCode>0.00%</c:formatCode>
                <c:ptCount val="7"/>
                <c:pt idx="0">
                  <c:v>3.9869812855980402E-2</c:v>
                </c:pt>
                <c:pt idx="1">
                  <c:v>5.0860719874804491E-2</c:v>
                </c:pt>
                <c:pt idx="2">
                  <c:v>8.8607594936708681E-2</c:v>
                </c:pt>
                <c:pt idx="3">
                  <c:v>4.1723666210670474E-2</c:v>
                </c:pt>
                <c:pt idx="4">
                  <c:v>6.1720288903479817E-2</c:v>
                </c:pt>
                <c:pt idx="5">
                  <c:v>6.9882498453927105E-2</c:v>
                </c:pt>
                <c:pt idx="6">
                  <c:v>6.589595375722547E-2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31-4E67-8E31-77FB78A4A8E7}"/>
            </c:ext>
          </c:extLst>
        </c:ser>
        <c:ser>
          <c:idx val="11"/>
          <c:order val="11"/>
          <c:tx>
            <c:v>Food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'Q4 - COVID Impact'!$B$139:$B$145</c:f>
              <c:numCache>
                <c:formatCode>mmm/yyyy</c:formatCode>
                <c:ptCount val="7"/>
                <c:pt idx="0">
                  <c:v>42795</c:v>
                </c:pt>
                <c:pt idx="1">
                  <c:v>43160</c:v>
                </c:pt>
                <c:pt idx="2">
                  <c:v>43525</c:v>
                </c:pt>
                <c:pt idx="3">
                  <c:v>43891</c:v>
                </c:pt>
                <c:pt idx="4">
                  <c:v>44256</c:v>
                </c:pt>
                <c:pt idx="5">
                  <c:v>44621</c:v>
                </c:pt>
                <c:pt idx="6">
                  <c:v>44986</c:v>
                </c:pt>
              </c:numCache>
            </c:numRef>
          </c:cat>
          <c:val>
            <c:numRef>
              <c:f>'Q4 - COVID Impact'!$N$139:$N$145</c:f>
              <c:numCache>
                <c:formatCode>0.00%</c:formatCode>
                <c:ptCount val="7"/>
                <c:pt idx="0">
                  <c:v>2.6142099132910632E-2</c:v>
                </c:pt>
                <c:pt idx="1">
                  <c:v>2.0809685962920921E-2</c:v>
                </c:pt>
                <c:pt idx="2">
                  <c:v>3.7064492216456633E-3</c:v>
                </c:pt>
                <c:pt idx="3">
                  <c:v>7.4901526341703481E-2</c:v>
                </c:pt>
                <c:pt idx="4">
                  <c:v>7.7984540509590569E-2</c:v>
                </c:pt>
                <c:pt idx="5">
                  <c:v>7.069634036224591E-2</c:v>
                </c:pt>
                <c:pt idx="6">
                  <c:v>4.286139497966044E-2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31-4E67-8E31-77FB78A4A8E7}"/>
            </c:ext>
          </c:extLst>
        </c:ser>
        <c:ser>
          <c:idx val="12"/>
          <c:order val="12"/>
          <c:tx>
            <c:v>Fuel and Light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'Q4 - COVID Impact'!$B$139:$B$145</c:f>
              <c:numCache>
                <c:formatCode>mmm/yyyy</c:formatCode>
                <c:ptCount val="7"/>
                <c:pt idx="0">
                  <c:v>42795</c:v>
                </c:pt>
                <c:pt idx="1">
                  <c:v>43160</c:v>
                </c:pt>
                <c:pt idx="2">
                  <c:v>43525</c:v>
                </c:pt>
                <c:pt idx="3">
                  <c:v>43891</c:v>
                </c:pt>
                <c:pt idx="4">
                  <c:v>44256</c:v>
                </c:pt>
                <c:pt idx="5">
                  <c:v>44621</c:v>
                </c:pt>
                <c:pt idx="6">
                  <c:v>44986</c:v>
                </c:pt>
              </c:numCache>
            </c:numRef>
          </c:cat>
          <c:val>
            <c:numRef>
              <c:f>'Q4 - COVID Impact'!$O$139:$O$145</c:f>
              <c:numCache>
                <c:formatCode>0.00%</c:formatCode>
                <c:ptCount val="7"/>
                <c:pt idx="0">
                  <c:v>5.4738562091503171E-2</c:v>
                </c:pt>
                <c:pt idx="1">
                  <c:v>5.7319907048799426E-2</c:v>
                </c:pt>
                <c:pt idx="2">
                  <c:v>2.344322344322336E-2</c:v>
                </c:pt>
                <c:pt idx="3">
                  <c:v>6.585540443808173E-2</c:v>
                </c:pt>
                <c:pt idx="4">
                  <c:v>4.4325050369375382E-2</c:v>
                </c:pt>
                <c:pt idx="5">
                  <c:v>7.5241157556270019E-2</c:v>
                </c:pt>
                <c:pt idx="6">
                  <c:v>8.7918660287081452E-2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31-4E67-8E31-77FB78A4A8E7}"/>
            </c:ext>
          </c:extLst>
        </c:ser>
        <c:ser>
          <c:idx val="13"/>
          <c:order val="13"/>
          <c:tx>
            <c:v>Transport and Communication</c:v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numRef>
              <c:f>'Q4 - COVID Impact'!$B$139:$B$145</c:f>
              <c:numCache>
                <c:formatCode>mmm/yyyy</c:formatCode>
                <c:ptCount val="7"/>
                <c:pt idx="0">
                  <c:v>42795</c:v>
                </c:pt>
                <c:pt idx="1">
                  <c:v>43160</c:v>
                </c:pt>
                <c:pt idx="2">
                  <c:v>43525</c:v>
                </c:pt>
                <c:pt idx="3">
                  <c:v>43891</c:v>
                </c:pt>
                <c:pt idx="4">
                  <c:v>44256</c:v>
                </c:pt>
                <c:pt idx="5">
                  <c:v>44621</c:v>
                </c:pt>
                <c:pt idx="6">
                  <c:v>44986</c:v>
                </c:pt>
              </c:numCache>
            </c:numRef>
          </c:cat>
          <c:val>
            <c:numRef>
              <c:f>'Q4 - COVID Impact'!$P$139:$P$145</c:f>
              <c:numCache>
                <c:formatCode>0.00%</c:formatCode>
                <c:ptCount val="7"/>
                <c:pt idx="0">
                  <c:v>6.0414788097384924E-2</c:v>
                </c:pt>
                <c:pt idx="1">
                  <c:v>2.891156462585039E-2</c:v>
                </c:pt>
                <c:pt idx="2">
                  <c:v>2.9752066115702431E-2</c:v>
                </c:pt>
                <c:pt idx="3">
                  <c:v>4.2536115569823528E-2</c:v>
                </c:pt>
                <c:pt idx="4">
                  <c:v>0.12548113933795213</c:v>
                </c:pt>
                <c:pt idx="5">
                  <c:v>8.0027359781121868E-2</c:v>
                </c:pt>
                <c:pt idx="6">
                  <c:v>3.9898670044331744E-2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B31-4E67-8E31-77FB78A4A8E7}"/>
            </c:ext>
          </c:extLst>
        </c:ser>
        <c:ser>
          <c:idx val="14"/>
          <c:order val="14"/>
          <c:tx>
            <c:v>General Index</c:v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'Q4 - COVID Impact'!$B$139:$B$145</c:f>
              <c:numCache>
                <c:formatCode>mmm/yyyy</c:formatCode>
                <c:ptCount val="7"/>
                <c:pt idx="0">
                  <c:v>42795</c:v>
                </c:pt>
                <c:pt idx="1">
                  <c:v>43160</c:v>
                </c:pt>
                <c:pt idx="2">
                  <c:v>43525</c:v>
                </c:pt>
                <c:pt idx="3">
                  <c:v>43891</c:v>
                </c:pt>
                <c:pt idx="4">
                  <c:v>44256</c:v>
                </c:pt>
                <c:pt idx="5">
                  <c:v>44621</c:v>
                </c:pt>
                <c:pt idx="6">
                  <c:v>44986</c:v>
                </c:pt>
              </c:numCache>
            </c:numRef>
          </c:cat>
          <c:val>
            <c:numRef>
              <c:f>'Q4 - COVID Impact'!$Q$139:$Q$145</c:f>
              <c:numCache>
                <c:formatCode>0.00%</c:formatCode>
                <c:ptCount val="7"/>
                <c:pt idx="0">
                  <c:v>3.8888888888888931E-2</c:v>
                </c:pt>
                <c:pt idx="1">
                  <c:v>4.278074866310156E-2</c:v>
                </c:pt>
                <c:pt idx="2">
                  <c:v>2.8571428571428612E-2</c:v>
                </c:pt>
                <c:pt idx="3">
                  <c:v>5.840455840455832E-2</c:v>
                </c:pt>
                <c:pt idx="4">
                  <c:v>5.5181695827725558E-2</c:v>
                </c:pt>
                <c:pt idx="5">
                  <c:v>6.9515306122448828E-2</c:v>
                </c:pt>
                <c:pt idx="6">
                  <c:v>5.6648777579010143E-2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B31-4E67-8E31-77FB78A4A8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269215"/>
        <c:axId val="1201208591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'Q4 - COVID Impact'!$C$138</c15:sqref>
                        </c15:formulaRef>
                      </c:ext>
                    </c:extLst>
                    <c:strCache>
                      <c:ptCount val="1"/>
                      <c:pt idx="0">
                        <c:v>Health Inflation (R)</c:v>
                      </c:pt>
                    </c:strCache>
                  </c:strRef>
                </c:tx>
                <c:spPr>
                  <a:ln w="28575" cap="rnd">
                    <a:solidFill>
                      <a:srgbClr val="00206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'Q4 - COVID Impact'!$B$139:$B$145</c15:sqref>
                        </c15:formulaRef>
                      </c:ext>
                    </c:extLst>
                    <c:numCache>
                      <c:formatCode>mmm/yyyy</c:formatCode>
                      <c:ptCount val="7"/>
                      <c:pt idx="0">
                        <c:v>42795</c:v>
                      </c:pt>
                      <c:pt idx="1">
                        <c:v>43160</c:v>
                      </c:pt>
                      <c:pt idx="2">
                        <c:v>43525</c:v>
                      </c:pt>
                      <c:pt idx="3">
                        <c:v>43891</c:v>
                      </c:pt>
                      <c:pt idx="4">
                        <c:v>44256</c:v>
                      </c:pt>
                      <c:pt idx="5">
                        <c:v>44621</c:v>
                      </c:pt>
                      <c:pt idx="6">
                        <c:v>44986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'Q4 - COVID Impact'!$C$139:$C$145</c15:sqref>
                        </c15:formulaRef>
                      </c:ext>
                    </c:extLst>
                    <c:numCache>
                      <c:formatCode>0.00%</c:formatCode>
                      <c:ptCount val="7"/>
                      <c:pt idx="0">
                        <c:v>4.6474358974358955E-2</c:v>
                      </c:pt>
                      <c:pt idx="1">
                        <c:v>4.6707503828483876E-2</c:v>
                      </c:pt>
                      <c:pt idx="2">
                        <c:v>0.10021945866861755</c:v>
                      </c:pt>
                      <c:pt idx="3">
                        <c:v>4.1888297872340309E-2</c:v>
                      </c:pt>
                      <c:pt idx="4">
                        <c:v>5.0414805360561622E-2</c:v>
                      </c:pt>
                      <c:pt idx="5">
                        <c:v>6.9258809234507931E-2</c:v>
                      </c:pt>
                      <c:pt idx="6">
                        <c:v>6.0227272727272692E-2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FB31-4E67-8E31-77FB78A4A8E7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'Q4 - COVID Impact'!$D$138</c15:sqref>
                        </c15:formulaRef>
                      </c:ext>
                    </c:extLst>
                    <c:strCache>
                      <c:ptCount val="1"/>
                      <c:pt idx="0">
                        <c:v>Food Inflation (R)</c:v>
                      </c:pt>
                    </c:strCache>
                  </c:strRef>
                </c:tx>
                <c:spPr>
                  <a:ln w="28575" cap="rnd">
                    <a:solidFill>
                      <a:srgbClr val="7030A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'Q4 - COVID Impact'!$B$139:$B$145</c15:sqref>
                        </c15:formulaRef>
                      </c:ext>
                    </c:extLst>
                    <c:numCache>
                      <c:formatCode>mmm/yyyy</c:formatCode>
                      <c:ptCount val="7"/>
                      <c:pt idx="0">
                        <c:v>42795</c:v>
                      </c:pt>
                      <c:pt idx="1">
                        <c:v>43160</c:v>
                      </c:pt>
                      <c:pt idx="2">
                        <c:v>43525</c:v>
                      </c:pt>
                      <c:pt idx="3">
                        <c:v>43891</c:v>
                      </c:pt>
                      <c:pt idx="4">
                        <c:v>44256</c:v>
                      </c:pt>
                      <c:pt idx="5">
                        <c:v>44621</c:v>
                      </c:pt>
                      <c:pt idx="6">
                        <c:v>44986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'Q4 - COVID Impact'!$D$139:$D$145</c15:sqref>
                        </c15:formulaRef>
                      </c:ext>
                    </c:extLst>
                    <c:numCache>
                      <c:formatCode>0.00%</c:formatCode>
                      <c:ptCount val="7"/>
                      <c:pt idx="0">
                        <c:v>2.7571989950396152E-2</c:v>
                      </c:pt>
                      <c:pt idx="1">
                        <c:v>3.0280233214218372E-2</c:v>
                      </c:pt>
                      <c:pt idx="2">
                        <c:v>-1.1865644395764671E-2</c:v>
                      </c:pt>
                      <c:pt idx="3">
                        <c:v>7.5435679536916933E-2</c:v>
                      </c:pt>
                      <c:pt idx="4">
                        <c:v>7.1461291800275106E-2</c:v>
                      </c:pt>
                      <c:pt idx="5">
                        <c:v>7.5513039760581477E-2</c:v>
                      </c:pt>
                      <c:pt idx="6">
                        <c:v>3.9006211180124165E-2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FB31-4E67-8E31-77FB78A4A8E7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'Q4 - COVID Impact'!$E$138</c15:sqref>
                        </c15:formulaRef>
                      </c:ext>
                    </c:extLst>
                    <c:strCache>
                      <c:ptCount val="1"/>
                      <c:pt idx="0">
                        <c:v>Fuel and light Inflation (R)</c:v>
                      </c:pt>
                    </c:strCache>
                  </c:strRef>
                </c:tx>
                <c:spPr>
                  <a:ln w="28575" cap="rnd">
                    <a:solidFill>
                      <a:srgbClr val="00B0F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'Q4 - COVID Impact'!$B$139:$B$145</c15:sqref>
                        </c15:formulaRef>
                      </c:ext>
                    </c:extLst>
                    <c:numCache>
                      <c:formatCode>mmm/yyyy</c:formatCode>
                      <c:ptCount val="7"/>
                      <c:pt idx="0">
                        <c:v>42795</c:v>
                      </c:pt>
                      <c:pt idx="1">
                        <c:v>43160</c:v>
                      </c:pt>
                      <c:pt idx="2">
                        <c:v>43525</c:v>
                      </c:pt>
                      <c:pt idx="3">
                        <c:v>43891</c:v>
                      </c:pt>
                      <c:pt idx="4">
                        <c:v>44256</c:v>
                      </c:pt>
                      <c:pt idx="5">
                        <c:v>44621</c:v>
                      </c:pt>
                      <c:pt idx="6">
                        <c:v>44986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'Q4 - COVID Impact'!$E$139:$E$145</c15:sqref>
                        </c15:formulaRef>
                      </c:ext>
                    </c:extLst>
                    <c:numCache>
                      <c:formatCode>0.00%</c:formatCode>
                      <c:ptCount val="7"/>
                      <c:pt idx="0">
                        <c:v>5.6692913385826681E-2</c:v>
                      </c:pt>
                      <c:pt idx="1">
                        <c:v>6.2593144560357722E-2</c:v>
                      </c:pt>
                      <c:pt idx="2">
                        <c:v>2.6647966339411019E-2</c:v>
                      </c:pt>
                      <c:pt idx="3">
                        <c:v>4.7814207650273222E-2</c:v>
                      </c:pt>
                      <c:pt idx="4">
                        <c:v>1.6949152542372843E-2</c:v>
                      </c:pt>
                      <c:pt idx="5">
                        <c:v>8.2692307692307732E-2</c:v>
                      </c:pt>
                      <c:pt idx="6">
                        <c:v>7.4008288928359978E-2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FB31-4E67-8E31-77FB78A4A8E7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'Q4 - COVID Impact'!$F$138</c15:sqref>
                        </c15:formulaRef>
                      </c:ext>
                    </c:extLst>
                    <c:strCache>
                      <c:ptCount val="1"/>
                      <c:pt idx="0">
                        <c:v>Transport and communication Inflation (R)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75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'Q4 - COVID Impact'!$B$139:$B$145</c15:sqref>
                        </c15:formulaRef>
                      </c:ext>
                    </c:extLst>
                    <c:numCache>
                      <c:formatCode>mmm/yyyy</c:formatCode>
                      <c:ptCount val="7"/>
                      <c:pt idx="0">
                        <c:v>42795</c:v>
                      </c:pt>
                      <c:pt idx="1">
                        <c:v>43160</c:v>
                      </c:pt>
                      <c:pt idx="2">
                        <c:v>43525</c:v>
                      </c:pt>
                      <c:pt idx="3">
                        <c:v>43891</c:v>
                      </c:pt>
                      <c:pt idx="4">
                        <c:v>44256</c:v>
                      </c:pt>
                      <c:pt idx="5">
                        <c:v>44621</c:v>
                      </c:pt>
                      <c:pt idx="6">
                        <c:v>44986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'Q4 - COVID Impact'!$F$139:$F$145</c15:sqref>
                        </c15:formulaRef>
                      </c:ext>
                    </c:extLst>
                    <c:numCache>
                      <c:formatCode>0.00%</c:formatCode>
                      <c:ptCount val="7"/>
                      <c:pt idx="0">
                        <c:v>5.4577464788732419E-2</c:v>
                      </c:pt>
                      <c:pt idx="1">
                        <c:v>4.0066777963272099E-2</c:v>
                      </c:pt>
                      <c:pt idx="2">
                        <c:v>4.2536115569823528E-2</c:v>
                      </c:pt>
                      <c:pt idx="3">
                        <c:v>4.5419553502694422E-2</c:v>
                      </c:pt>
                      <c:pt idx="4">
                        <c:v>0.11413843888070692</c:v>
                      </c:pt>
                      <c:pt idx="5">
                        <c:v>7.0720423000660865E-2</c:v>
                      </c:pt>
                      <c:pt idx="6">
                        <c:v>4.3209876543209874E-2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FB31-4E67-8E31-77FB78A4A8E7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'Q4 - COVID Impact'!$G$138</c15:sqref>
                        </c15:formulaRef>
                      </c:ext>
                    </c:extLst>
                    <c:strCache>
                      <c:ptCount val="1"/>
                      <c:pt idx="0">
                        <c:v>General index Inflation (R)</c:v>
                      </c:pt>
                    </c:strCache>
                  </c:strRef>
                </c:tx>
                <c:spPr>
                  <a:ln w="28575" cap="rnd">
                    <a:solidFill>
                      <a:srgbClr val="FF000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'Q4 - COVID Impact'!$B$139:$B$145</c15:sqref>
                        </c15:formulaRef>
                      </c:ext>
                    </c:extLst>
                    <c:numCache>
                      <c:formatCode>mmm/yyyy</c:formatCode>
                      <c:ptCount val="7"/>
                      <c:pt idx="0">
                        <c:v>42795</c:v>
                      </c:pt>
                      <c:pt idx="1">
                        <c:v>43160</c:v>
                      </c:pt>
                      <c:pt idx="2">
                        <c:v>43525</c:v>
                      </c:pt>
                      <c:pt idx="3">
                        <c:v>43891</c:v>
                      </c:pt>
                      <c:pt idx="4">
                        <c:v>44256</c:v>
                      </c:pt>
                      <c:pt idx="5">
                        <c:v>44621</c:v>
                      </c:pt>
                      <c:pt idx="6">
                        <c:v>44986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'Q4 - COVID Impact'!$G$139:$G$145</c15:sqref>
                        </c15:formulaRef>
                      </c:ext>
                    </c:extLst>
                    <c:numCache>
                      <c:formatCode>0.00%</c:formatCode>
                      <c:ptCount val="7"/>
                      <c:pt idx="0">
                        <c:v>3.7500000000000089E-2</c:v>
                      </c:pt>
                      <c:pt idx="1">
                        <c:v>4.4427710843373318E-2</c:v>
                      </c:pt>
                      <c:pt idx="2">
                        <c:v>1.8024513338139873E-2</c:v>
                      </c:pt>
                      <c:pt idx="3">
                        <c:v>6.090651558073671E-2</c:v>
                      </c:pt>
                      <c:pt idx="4">
                        <c:v>4.6061415220293569E-2</c:v>
                      </c:pt>
                      <c:pt idx="5">
                        <c:v>7.6579451180599875E-2</c:v>
                      </c:pt>
                      <c:pt idx="6">
                        <c:v>5.5127445168939013E-2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FB31-4E67-8E31-77FB78A4A8E7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'Q4 - COVID Impact'!$H$138</c15:sqref>
                        </c15:formulaRef>
                      </c:ext>
                    </c:extLst>
                    <c:strCache>
                      <c:ptCount val="1"/>
                      <c:pt idx="0">
                        <c:v>Health Inflation (U)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'Q4 - COVID Impact'!$B$139:$B$145</c15:sqref>
                        </c15:formulaRef>
                      </c:ext>
                    </c:extLst>
                    <c:numCache>
                      <c:formatCode>mmm/yyyy</c:formatCode>
                      <c:ptCount val="7"/>
                      <c:pt idx="0">
                        <c:v>42795</c:v>
                      </c:pt>
                      <c:pt idx="1">
                        <c:v>43160</c:v>
                      </c:pt>
                      <c:pt idx="2">
                        <c:v>43525</c:v>
                      </c:pt>
                      <c:pt idx="3">
                        <c:v>43891</c:v>
                      </c:pt>
                      <c:pt idx="4">
                        <c:v>44256</c:v>
                      </c:pt>
                      <c:pt idx="5">
                        <c:v>44621</c:v>
                      </c:pt>
                      <c:pt idx="6">
                        <c:v>44986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'Q4 - COVID Impact'!$H$139:$H$145</c15:sqref>
                        </c15:formulaRef>
                      </c:ext>
                    </c:extLst>
                    <c:numCache>
                      <c:formatCode>0.00%</c:formatCode>
                      <c:ptCount val="7"/>
                      <c:pt idx="0">
                        <c:v>2.8404344193817807E-2</c:v>
                      </c:pt>
                      <c:pt idx="1">
                        <c:v>6.0113728675873321E-2</c:v>
                      </c:pt>
                      <c:pt idx="2">
                        <c:v>6.6666666666666582E-2</c:v>
                      </c:pt>
                      <c:pt idx="3">
                        <c:v>4.1666666666666755E-2</c:v>
                      </c:pt>
                      <c:pt idx="4">
                        <c:v>8.2068965517241424E-2</c:v>
                      </c:pt>
                      <c:pt idx="5">
                        <c:v>7.2020395156150302E-2</c:v>
                      </c:pt>
                      <c:pt idx="6">
                        <c:v>7.4910820451843191E-2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FB31-4E67-8E31-77FB78A4A8E7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'Q4 - COVID Impact'!$I$138</c15:sqref>
                        </c15:formulaRef>
                      </c:ext>
                    </c:extLst>
                    <c:strCache>
                      <c:ptCount val="1"/>
                      <c:pt idx="0">
                        <c:v>Food Inflation (U)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'Q4 - COVID Impact'!$B$139:$B$145</c15:sqref>
                        </c15:formulaRef>
                      </c:ext>
                    </c:extLst>
                    <c:numCache>
                      <c:formatCode>mmm/yyyy</c:formatCode>
                      <c:ptCount val="7"/>
                      <c:pt idx="0">
                        <c:v>42795</c:v>
                      </c:pt>
                      <c:pt idx="1">
                        <c:v>43160</c:v>
                      </c:pt>
                      <c:pt idx="2">
                        <c:v>43525</c:v>
                      </c:pt>
                      <c:pt idx="3">
                        <c:v>43891</c:v>
                      </c:pt>
                      <c:pt idx="4">
                        <c:v>44256</c:v>
                      </c:pt>
                      <c:pt idx="5">
                        <c:v>44621</c:v>
                      </c:pt>
                      <c:pt idx="6">
                        <c:v>44986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'Q4 - COVID Impact'!$I$139:$I$145</c15:sqref>
                        </c15:formulaRef>
                      </c:ext>
                    </c:extLst>
                    <c:numCache>
                      <c:formatCode>0.00%</c:formatCode>
                      <c:ptCount val="7"/>
                      <c:pt idx="0">
                        <c:v>2.2356534737115807E-2</c:v>
                      </c:pt>
                      <c:pt idx="1">
                        <c:v>4.8312249698047862E-3</c:v>
                      </c:pt>
                      <c:pt idx="2">
                        <c:v>3.0429556525590089E-2</c:v>
                      </c:pt>
                      <c:pt idx="3">
                        <c:v>7.3428290766208257E-2</c:v>
                      </c:pt>
                      <c:pt idx="4">
                        <c:v>8.9052848318462344E-2</c:v>
                      </c:pt>
                      <c:pt idx="5">
                        <c:v>6.3389527860931882E-2</c:v>
                      </c:pt>
                      <c:pt idx="6">
                        <c:v>4.8301066772026731E-2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FB31-4E67-8E31-77FB78A4A8E7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'Q4 - COVID Impact'!$J$138</c15:sqref>
                        </c15:formulaRef>
                      </c:ext>
                    </c:extLst>
                    <c:strCache>
                      <c:ptCount val="1"/>
                      <c:pt idx="0">
                        <c:v>Fuel and light Inflation (U)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'Q4 - COVID Impact'!$B$139:$B$145</c15:sqref>
                        </c15:formulaRef>
                      </c:ext>
                    </c:extLst>
                    <c:numCache>
                      <c:formatCode>mmm/yyyy</c:formatCode>
                      <c:ptCount val="7"/>
                      <c:pt idx="0">
                        <c:v>42795</c:v>
                      </c:pt>
                      <c:pt idx="1">
                        <c:v>43160</c:v>
                      </c:pt>
                      <c:pt idx="2">
                        <c:v>43525</c:v>
                      </c:pt>
                      <c:pt idx="3">
                        <c:v>43891</c:v>
                      </c:pt>
                      <c:pt idx="4">
                        <c:v>44256</c:v>
                      </c:pt>
                      <c:pt idx="5">
                        <c:v>44621</c:v>
                      </c:pt>
                      <c:pt idx="6">
                        <c:v>44986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'Q4 - COVID Impact'!$J$139:$J$145</c15:sqref>
                        </c15:formulaRef>
                      </c:ext>
                    </c:extLst>
                    <c:numCache>
                      <c:formatCode>0.00%</c:formatCode>
                      <c:ptCount val="7"/>
                      <c:pt idx="0">
                        <c:v>5.2264808362369339E-2</c:v>
                      </c:pt>
                      <c:pt idx="1">
                        <c:v>4.6357615894039805E-2</c:v>
                      </c:pt>
                      <c:pt idx="2">
                        <c:v>1.8987341772151944E-2</c:v>
                      </c:pt>
                      <c:pt idx="3">
                        <c:v>9.7826086956521688E-2</c:v>
                      </c:pt>
                      <c:pt idx="4">
                        <c:v>9.4766619519094805E-2</c:v>
                      </c:pt>
                      <c:pt idx="5">
                        <c:v>6.2661498708010258E-2</c:v>
                      </c:pt>
                      <c:pt idx="6">
                        <c:v>0.11003039513677808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FB31-4E67-8E31-77FB78A4A8E7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'Q4 - COVID Impact'!$K$138</c15:sqref>
                        </c15:formulaRef>
                      </c:ext>
                    </c:extLst>
                    <c:strCache>
                      <c:ptCount val="1"/>
                      <c:pt idx="0">
                        <c:v>Transport and communication Inflation (U)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'Q4 - COVID Impact'!$B$139:$B$145</c15:sqref>
                        </c15:formulaRef>
                      </c:ext>
                    </c:extLst>
                    <c:numCache>
                      <c:formatCode>mmm/yyyy</c:formatCode>
                      <c:ptCount val="7"/>
                      <c:pt idx="0">
                        <c:v>42795</c:v>
                      </c:pt>
                      <c:pt idx="1">
                        <c:v>43160</c:v>
                      </c:pt>
                      <c:pt idx="2">
                        <c:v>43525</c:v>
                      </c:pt>
                      <c:pt idx="3">
                        <c:v>43891</c:v>
                      </c:pt>
                      <c:pt idx="4">
                        <c:v>44256</c:v>
                      </c:pt>
                      <c:pt idx="5">
                        <c:v>44621</c:v>
                      </c:pt>
                      <c:pt idx="6">
                        <c:v>44986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'Q4 - COVID Impact'!$K$139:$K$145</c15:sqref>
                        </c15:formulaRef>
                      </c:ext>
                    </c:extLst>
                    <c:numCache>
                      <c:formatCode>0.00%</c:formatCode>
                      <c:ptCount val="7"/>
                      <c:pt idx="0">
                        <c:v>6.5437788018433127E-2</c:v>
                      </c:pt>
                      <c:pt idx="1">
                        <c:v>1.9031141868512135E-2</c:v>
                      </c:pt>
                      <c:pt idx="2">
                        <c:v>1.7826825127334536E-2</c:v>
                      </c:pt>
                      <c:pt idx="3">
                        <c:v>3.9199332777314334E-2</c:v>
                      </c:pt>
                      <c:pt idx="4">
                        <c:v>0.13723916532905292</c:v>
                      </c:pt>
                      <c:pt idx="5">
                        <c:v>8.8214537755822164E-2</c:v>
                      </c:pt>
                      <c:pt idx="6">
                        <c:v>3.6316472114137632E-2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FB31-4E67-8E31-77FB78A4A8E7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'Q4 - COVID Impact'!$L$138</c15:sqref>
                        </c15:formulaRef>
                      </c:ext>
                    </c:extLst>
                    <c:strCache>
                      <c:ptCount val="1"/>
                      <c:pt idx="0">
                        <c:v>General index Inflation (U)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'Q4 - COVID Impact'!$B$139:$B$145</c15:sqref>
                        </c15:formulaRef>
                      </c:ext>
                    </c:extLst>
                    <c:numCache>
                      <c:formatCode>mmm/yyyy</c:formatCode>
                      <c:ptCount val="7"/>
                      <c:pt idx="0">
                        <c:v>42795</c:v>
                      </c:pt>
                      <c:pt idx="1">
                        <c:v>43160</c:v>
                      </c:pt>
                      <c:pt idx="2">
                        <c:v>43525</c:v>
                      </c:pt>
                      <c:pt idx="3">
                        <c:v>43891</c:v>
                      </c:pt>
                      <c:pt idx="4">
                        <c:v>44256</c:v>
                      </c:pt>
                      <c:pt idx="5">
                        <c:v>44621</c:v>
                      </c:pt>
                      <c:pt idx="6">
                        <c:v>44986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'Q4 - COVID Impact'!$L$139:$L$145</c15:sqref>
                        </c15:formulaRef>
                      </c:ext>
                    </c:extLst>
                    <c:numCache>
                      <c:formatCode>0.00%</c:formatCode>
                      <c:ptCount val="7"/>
                      <c:pt idx="0">
                        <c:v>3.9579967689822228E-2</c:v>
                      </c:pt>
                      <c:pt idx="1">
                        <c:v>4.1181041181041274E-2</c:v>
                      </c:pt>
                      <c:pt idx="2">
                        <c:v>4.1044776119402986E-2</c:v>
                      </c:pt>
                      <c:pt idx="3">
                        <c:v>5.5913978494623741E-2</c:v>
                      </c:pt>
                      <c:pt idx="4">
                        <c:v>6.5173116089612987E-2</c:v>
                      </c:pt>
                      <c:pt idx="5">
                        <c:v>6.1185468451242793E-2</c:v>
                      </c:pt>
                      <c:pt idx="6">
                        <c:v>5.8858858858858928E-2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FB31-4E67-8E31-77FB78A4A8E7}"/>
                  </c:ext>
                </c:extLst>
              </c15:ser>
            </c15:filteredLineSeries>
          </c:ext>
        </c:extLst>
      </c:lineChart>
      <c:catAx>
        <c:axId val="154269215"/>
        <c:scaling>
          <c:orientation val="minMax"/>
        </c:scaling>
        <c:delete val="0"/>
        <c:axPos val="b"/>
        <c:numFmt formatCode="mmm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208591"/>
        <c:crossesAt val="0"/>
        <c:auto val="0"/>
        <c:lblAlgn val="ctr"/>
        <c:lblOffset val="100"/>
        <c:noMultiLvlLbl val="0"/>
      </c:catAx>
      <c:valAx>
        <c:axId val="1201208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269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9217120331868648E-2"/>
          <c:y val="0.77972093306217516"/>
          <c:w val="0.95220221770031543"/>
          <c:h val="0.1871664841563678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2">
        <a:lumMod val="20000"/>
        <a:lumOff val="80000"/>
      </a:schemeClr>
    </a:solidFill>
    <a:ln w="9525" cap="flat" cmpd="sng" algn="ctr">
      <a:noFill/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'Q5 - Oil Impact'!$C$36</c:f>
              <c:strCache>
                <c:ptCount val="1"/>
                <c:pt idx="0">
                  <c:v>Correlation with Imported Crude Oil</c:v>
                </c:pt>
              </c:strCache>
            </c:strRef>
          </c:tx>
          <c:spPr>
            <a:solidFill>
              <a:srgbClr val="7030A0">
                <a:alpha val="85000"/>
              </a:srgbClr>
            </a:solidFill>
            <a:ln w="9525" cap="flat" cmpd="sng" algn="ctr">
              <a:noFill/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7030A0">
                  <a:alpha val="85000"/>
                </a:srgbClr>
              </a:soli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EBDB-48BB-B459-EA8F76D4B709}"/>
              </c:ext>
            </c:extLst>
          </c:dPt>
          <c:dPt>
            <c:idx val="1"/>
            <c:invertIfNegative val="0"/>
            <c:bubble3D val="0"/>
            <c:spPr>
              <a:solidFill>
                <a:srgbClr val="7030A0">
                  <a:alpha val="85000"/>
                </a:srgbClr>
              </a:soli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EBDB-48BB-B459-EA8F76D4B709}"/>
              </c:ext>
            </c:extLst>
          </c:dPt>
          <c:dPt>
            <c:idx val="2"/>
            <c:invertIfNegative val="0"/>
            <c:bubble3D val="0"/>
            <c:spPr>
              <a:solidFill>
                <a:srgbClr val="7030A0">
                  <a:alpha val="85000"/>
                </a:srgbClr>
              </a:soli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EBDB-48BB-B459-EA8F76D4B709}"/>
              </c:ext>
            </c:extLst>
          </c:dPt>
          <c:dPt>
            <c:idx val="3"/>
            <c:invertIfNegative val="0"/>
            <c:bubble3D val="0"/>
            <c:spPr>
              <a:solidFill>
                <a:srgbClr val="7030A0">
                  <a:alpha val="85000"/>
                </a:srgbClr>
              </a:soli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EBDB-48BB-B459-EA8F76D4B709}"/>
              </c:ext>
            </c:extLst>
          </c:dPt>
          <c:dPt>
            <c:idx val="4"/>
            <c:invertIfNegative val="0"/>
            <c:bubble3D val="0"/>
            <c:spPr>
              <a:solidFill>
                <a:srgbClr val="7030A0">
                  <a:alpha val="85000"/>
                </a:srgbClr>
              </a:soli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EBDB-48BB-B459-EA8F76D4B709}"/>
              </c:ext>
            </c:extLst>
          </c:dPt>
          <c:dPt>
            <c:idx val="5"/>
            <c:invertIfNegative val="0"/>
            <c:bubble3D val="0"/>
            <c:spPr>
              <a:solidFill>
                <a:srgbClr val="7030A0">
                  <a:alpha val="85000"/>
                </a:srgbClr>
              </a:soli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EBDB-48BB-B459-EA8F76D4B709}"/>
              </c:ext>
            </c:extLst>
          </c:dPt>
          <c:dPt>
            <c:idx val="6"/>
            <c:invertIfNegative val="0"/>
            <c:bubble3D val="0"/>
            <c:spPr>
              <a:solidFill>
                <a:srgbClr val="7030A0">
                  <a:alpha val="85000"/>
                </a:srgbClr>
              </a:soli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EBDB-48BB-B459-EA8F76D4B709}"/>
              </c:ext>
            </c:extLst>
          </c:dPt>
          <c:dPt>
            <c:idx val="7"/>
            <c:invertIfNegative val="0"/>
            <c:bubble3D val="0"/>
            <c:spPr>
              <a:solidFill>
                <a:srgbClr val="7030A0">
                  <a:alpha val="85000"/>
                </a:srgbClr>
              </a:soli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EBDB-48BB-B459-EA8F76D4B709}"/>
              </c:ext>
            </c:extLst>
          </c:dPt>
          <c:dPt>
            <c:idx val="8"/>
            <c:invertIfNegative val="0"/>
            <c:bubble3D val="0"/>
            <c:spPr>
              <a:solidFill>
                <a:srgbClr val="7030A0">
                  <a:alpha val="85000"/>
                </a:srgbClr>
              </a:soli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EBDB-48BB-B459-EA8F76D4B709}"/>
              </c:ext>
            </c:extLst>
          </c:dPt>
          <c:dPt>
            <c:idx val="9"/>
            <c:invertIfNegative val="0"/>
            <c:bubble3D val="0"/>
            <c:spPr>
              <a:solidFill>
                <a:srgbClr val="7030A0">
                  <a:alpha val="85000"/>
                </a:srgbClr>
              </a:soli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EBDB-48BB-B459-EA8F76D4B709}"/>
              </c:ext>
            </c:extLst>
          </c:dPt>
          <c:dPt>
            <c:idx val="10"/>
            <c:invertIfNegative val="0"/>
            <c:bubble3D val="0"/>
            <c:spPr>
              <a:solidFill>
                <a:srgbClr val="7030A0">
                  <a:alpha val="85000"/>
                </a:srgbClr>
              </a:soli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EBDB-48BB-B459-EA8F76D4B709}"/>
              </c:ext>
            </c:extLst>
          </c:dPt>
          <c:dPt>
            <c:idx val="11"/>
            <c:invertIfNegative val="0"/>
            <c:bubble3D val="0"/>
            <c:spPr>
              <a:solidFill>
                <a:srgbClr val="7030A0">
                  <a:alpha val="85000"/>
                </a:srgbClr>
              </a:soli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EBDB-48BB-B459-EA8F76D4B709}"/>
              </c:ext>
            </c:extLst>
          </c:dPt>
          <c:dPt>
            <c:idx val="12"/>
            <c:invertIfNegative val="0"/>
            <c:bubble3D val="0"/>
            <c:spPr>
              <a:solidFill>
                <a:srgbClr val="7030A0">
                  <a:alpha val="85000"/>
                </a:srgbClr>
              </a:soli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EBDB-48BB-B459-EA8F76D4B709}"/>
              </c:ext>
            </c:extLst>
          </c:dPt>
          <c:dPt>
            <c:idx val="13"/>
            <c:invertIfNegative val="0"/>
            <c:bubble3D val="0"/>
            <c:spPr>
              <a:solidFill>
                <a:srgbClr val="7030A0">
                  <a:alpha val="85000"/>
                </a:srgbClr>
              </a:soli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EBDB-48BB-B459-EA8F76D4B709}"/>
              </c:ext>
            </c:extLst>
          </c:dPt>
          <c:dPt>
            <c:idx val="14"/>
            <c:invertIfNegative val="0"/>
            <c:bubble3D val="0"/>
            <c:spPr>
              <a:solidFill>
                <a:srgbClr val="7030A0">
                  <a:alpha val="85000"/>
                </a:srgbClr>
              </a:soli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EBDB-48BB-B459-EA8F76D4B709}"/>
              </c:ext>
            </c:extLst>
          </c:dPt>
          <c:dPt>
            <c:idx val="15"/>
            <c:invertIfNegative val="0"/>
            <c:bubble3D val="0"/>
            <c:spPr>
              <a:solidFill>
                <a:srgbClr val="7030A0">
                  <a:alpha val="85000"/>
                </a:srgbClr>
              </a:soli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EBDB-48BB-B459-EA8F76D4B709}"/>
              </c:ext>
            </c:extLst>
          </c:dPt>
          <c:dPt>
            <c:idx val="16"/>
            <c:invertIfNegative val="0"/>
            <c:bubble3D val="0"/>
            <c:spPr>
              <a:solidFill>
                <a:srgbClr val="7030A0">
                  <a:alpha val="85000"/>
                </a:srgbClr>
              </a:soli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EBDB-48BB-B459-EA8F76D4B709}"/>
              </c:ext>
            </c:extLst>
          </c:dPt>
          <c:dPt>
            <c:idx val="17"/>
            <c:invertIfNegative val="0"/>
            <c:bubble3D val="0"/>
            <c:spPr>
              <a:solidFill>
                <a:srgbClr val="7030A0">
                  <a:alpha val="85000"/>
                </a:srgbClr>
              </a:soli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EBDB-48BB-B459-EA8F76D4B709}"/>
              </c:ext>
            </c:extLst>
          </c:dPt>
          <c:dPt>
            <c:idx val="18"/>
            <c:invertIfNegative val="0"/>
            <c:bubble3D val="0"/>
            <c:spPr>
              <a:solidFill>
                <a:srgbClr val="7030A0">
                  <a:alpha val="85000"/>
                </a:srgbClr>
              </a:soli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EBDB-48BB-B459-EA8F76D4B709}"/>
              </c:ext>
            </c:extLst>
          </c:dPt>
          <c:dPt>
            <c:idx val="19"/>
            <c:invertIfNegative val="0"/>
            <c:bubble3D val="0"/>
            <c:spPr>
              <a:solidFill>
                <a:srgbClr val="7030A0">
                  <a:alpha val="85000"/>
                </a:srgbClr>
              </a:soli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7-EBDB-48BB-B459-EA8F76D4B709}"/>
              </c:ext>
            </c:extLst>
          </c:dPt>
          <c:dPt>
            <c:idx val="20"/>
            <c:invertIfNegative val="0"/>
            <c:bubble3D val="0"/>
            <c:spPr>
              <a:solidFill>
                <a:srgbClr val="7030A0">
                  <a:alpha val="85000"/>
                </a:srgbClr>
              </a:soli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9-EBDB-48BB-B459-EA8F76D4B709}"/>
              </c:ext>
            </c:extLst>
          </c:dPt>
          <c:dPt>
            <c:idx val="21"/>
            <c:invertIfNegative val="0"/>
            <c:bubble3D val="0"/>
            <c:spPr>
              <a:solidFill>
                <a:srgbClr val="7030A0">
                  <a:alpha val="85000"/>
                </a:srgbClr>
              </a:soli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B-EBDB-48BB-B459-EA8F76D4B709}"/>
              </c:ext>
            </c:extLst>
          </c:dPt>
          <c:dPt>
            <c:idx val="22"/>
            <c:invertIfNegative val="0"/>
            <c:bubble3D val="0"/>
            <c:spPr>
              <a:solidFill>
                <a:srgbClr val="7030A0">
                  <a:alpha val="85000"/>
                </a:srgbClr>
              </a:soli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D-EBDB-48BB-B459-EA8F76D4B709}"/>
              </c:ext>
            </c:extLst>
          </c:dPt>
          <c:dPt>
            <c:idx val="23"/>
            <c:invertIfNegative val="0"/>
            <c:bubble3D val="0"/>
            <c:spPr>
              <a:solidFill>
                <a:srgbClr val="7030A0">
                  <a:alpha val="85000"/>
                </a:srgbClr>
              </a:soli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F-EBDB-48BB-B459-EA8F76D4B709}"/>
              </c:ext>
            </c:extLst>
          </c:dPt>
          <c:dPt>
            <c:idx val="24"/>
            <c:invertIfNegative val="0"/>
            <c:bubble3D val="0"/>
            <c:spPr>
              <a:solidFill>
                <a:srgbClr val="7030A0">
                  <a:alpha val="85000"/>
                </a:srgbClr>
              </a:soli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1-EBDB-48BB-B459-EA8F76D4B709}"/>
              </c:ext>
            </c:extLst>
          </c:dPt>
          <c:dPt>
            <c:idx val="25"/>
            <c:invertIfNegative val="0"/>
            <c:bubble3D val="0"/>
            <c:spPr>
              <a:solidFill>
                <a:srgbClr val="7030A0">
                  <a:alpha val="85000"/>
                </a:srgbClr>
              </a:soli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3-EBDB-48BB-B459-EA8F76D4B709}"/>
              </c:ext>
            </c:extLst>
          </c:dPt>
          <c:dPt>
            <c:idx val="26"/>
            <c:invertIfNegative val="0"/>
            <c:bubble3D val="0"/>
            <c:spPr>
              <a:solidFill>
                <a:srgbClr val="7030A0">
                  <a:alpha val="85000"/>
                </a:srgbClr>
              </a:soli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5-EBDB-48BB-B459-EA8F76D4B709}"/>
              </c:ext>
            </c:extLst>
          </c:dPt>
          <c:cat>
            <c:strRef>
              <c:f>'Q5 - Oil Impact'!$B$37:$B$63</c:f>
              <c:strCache>
                <c:ptCount val="27"/>
                <c:pt idx="0">
                  <c:v>Oils and fats</c:v>
                </c:pt>
                <c:pt idx="1">
                  <c:v>Meat and fish</c:v>
                </c:pt>
                <c:pt idx="2">
                  <c:v>Non-alcoholic beverages</c:v>
                </c:pt>
                <c:pt idx="3">
                  <c:v>Pan, tobacco and intoxicants</c:v>
                </c:pt>
                <c:pt idx="4">
                  <c:v>Footwear</c:v>
                </c:pt>
                <c:pt idx="5">
                  <c:v>Fuel and light</c:v>
                </c:pt>
                <c:pt idx="6">
                  <c:v>Recreation and amusement</c:v>
                </c:pt>
                <c:pt idx="7">
                  <c:v>Transport and communication</c:v>
                </c:pt>
                <c:pt idx="8">
                  <c:v>Clothing and footwear</c:v>
                </c:pt>
                <c:pt idx="9">
                  <c:v>Health</c:v>
                </c:pt>
                <c:pt idx="10">
                  <c:v>Prepared meals, snacks, sweets etc.</c:v>
                </c:pt>
                <c:pt idx="11">
                  <c:v>Miscellaneous</c:v>
                </c:pt>
                <c:pt idx="12">
                  <c:v>Clothing</c:v>
                </c:pt>
                <c:pt idx="13">
                  <c:v>Fruits</c:v>
                </c:pt>
                <c:pt idx="14">
                  <c:v>Housing</c:v>
                </c:pt>
                <c:pt idx="15">
                  <c:v>General index</c:v>
                </c:pt>
                <c:pt idx="16">
                  <c:v>Personal care and effects</c:v>
                </c:pt>
                <c:pt idx="17">
                  <c:v>Food and beverages</c:v>
                </c:pt>
                <c:pt idx="18">
                  <c:v>Household goods and services</c:v>
                </c:pt>
                <c:pt idx="19">
                  <c:v>Vegetables</c:v>
                </c:pt>
                <c:pt idx="20">
                  <c:v>Education</c:v>
                </c:pt>
                <c:pt idx="21">
                  <c:v>Spices</c:v>
                </c:pt>
                <c:pt idx="22">
                  <c:v>Sugar and Confectionery</c:v>
                </c:pt>
                <c:pt idx="23">
                  <c:v>Pulses and products</c:v>
                </c:pt>
                <c:pt idx="24">
                  <c:v>Egg</c:v>
                </c:pt>
                <c:pt idx="25">
                  <c:v>Cereals and products</c:v>
                </c:pt>
                <c:pt idx="26">
                  <c:v>Milk and products</c:v>
                </c:pt>
              </c:strCache>
            </c:strRef>
          </c:cat>
          <c:val>
            <c:numRef>
              <c:f>'Q5 - Oil Impact'!$C$37:$C$63</c:f>
              <c:numCache>
                <c:formatCode>0.00</c:formatCode>
                <c:ptCount val="27"/>
                <c:pt idx="0">
                  <c:v>0.40456504998927784</c:v>
                </c:pt>
                <c:pt idx="1">
                  <c:v>0.37458490024896307</c:v>
                </c:pt>
                <c:pt idx="2">
                  <c:v>0.23652440450669523</c:v>
                </c:pt>
                <c:pt idx="3">
                  <c:v>0.18028143743209044</c:v>
                </c:pt>
                <c:pt idx="4">
                  <c:v>0.16266408297771645</c:v>
                </c:pt>
                <c:pt idx="5">
                  <c:v>0.16050751039461716</c:v>
                </c:pt>
                <c:pt idx="6">
                  <c:v>0.14963439758570957</c:v>
                </c:pt>
                <c:pt idx="7">
                  <c:v>0.11767179545618119</c:v>
                </c:pt>
                <c:pt idx="8">
                  <c:v>0.10364372436504027</c:v>
                </c:pt>
                <c:pt idx="9">
                  <c:v>8.9523718647472772E-2</c:v>
                </c:pt>
                <c:pt idx="10">
                  <c:v>8.9416301013637747E-2</c:v>
                </c:pt>
                <c:pt idx="11">
                  <c:v>8.6597424465471362E-2</c:v>
                </c:pt>
                <c:pt idx="12">
                  <c:v>7.7276759603151099E-2</c:v>
                </c:pt>
                <c:pt idx="13">
                  <c:v>7.1051677185187775E-2</c:v>
                </c:pt>
                <c:pt idx="14">
                  <c:v>6.728945984643038E-2</c:v>
                </c:pt>
                <c:pt idx="15">
                  <c:v>1.7252377947013741E-2</c:v>
                </c:pt>
                <c:pt idx="16">
                  <c:v>-1.0557838687770977E-2</c:v>
                </c:pt>
                <c:pt idx="17">
                  <c:v>-1.1741139191838609E-2</c:v>
                </c:pt>
                <c:pt idx="18">
                  <c:v>-2.646993127090886E-2</c:v>
                </c:pt>
                <c:pt idx="19">
                  <c:v>-4.6686398171739266E-2</c:v>
                </c:pt>
                <c:pt idx="20">
                  <c:v>-0.16459429056602154</c:v>
                </c:pt>
                <c:pt idx="21">
                  <c:v>-0.18651775055476805</c:v>
                </c:pt>
                <c:pt idx="22">
                  <c:v>-0.21310276300143885</c:v>
                </c:pt>
                <c:pt idx="23">
                  <c:v>-0.21327999310201615</c:v>
                </c:pt>
                <c:pt idx="24">
                  <c:v>-0.23585559324293745</c:v>
                </c:pt>
                <c:pt idx="25">
                  <c:v>-0.27557439823012708</c:v>
                </c:pt>
                <c:pt idx="26">
                  <c:v>-0.28956707618768684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6-EBDB-48BB-B459-EA8F76D4B7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axId val="364717215"/>
        <c:axId val="1708607023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'Q5 - Oil Impact'!$D$36</c15:sqref>
                        </c15:formulaRef>
                      </c:ext>
                    </c:extLst>
                    <c:strCache>
                      <c:ptCount val="1"/>
                      <c:pt idx="0">
                        <c:v>Correlation</c:v>
                      </c:pt>
                    </c:strCache>
                  </c:strRef>
                </c:tx>
                <c:spPr>
                  <a:solidFill>
                    <a:srgbClr val="002060">
                      <a:alpha val="85000"/>
                    </a:srgbClr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'Q5 - Oil Impact'!$B$37:$B$63</c15:sqref>
                        </c15:formulaRef>
                      </c:ext>
                    </c:extLst>
                    <c:strCache>
                      <c:ptCount val="27"/>
                      <c:pt idx="0">
                        <c:v>Oils and fats</c:v>
                      </c:pt>
                      <c:pt idx="1">
                        <c:v>Meat and fish</c:v>
                      </c:pt>
                      <c:pt idx="2">
                        <c:v>Non-alcoholic beverages</c:v>
                      </c:pt>
                      <c:pt idx="3">
                        <c:v>Pan, tobacco and intoxicants</c:v>
                      </c:pt>
                      <c:pt idx="4">
                        <c:v>Footwear</c:v>
                      </c:pt>
                      <c:pt idx="5">
                        <c:v>Fuel and light</c:v>
                      </c:pt>
                      <c:pt idx="6">
                        <c:v>Recreation and amusement</c:v>
                      </c:pt>
                      <c:pt idx="7">
                        <c:v>Transport and communication</c:v>
                      </c:pt>
                      <c:pt idx="8">
                        <c:v>Clothing and footwear</c:v>
                      </c:pt>
                      <c:pt idx="9">
                        <c:v>Health</c:v>
                      </c:pt>
                      <c:pt idx="10">
                        <c:v>Prepared meals, snacks, sweets etc.</c:v>
                      </c:pt>
                      <c:pt idx="11">
                        <c:v>Miscellaneous</c:v>
                      </c:pt>
                      <c:pt idx="12">
                        <c:v>Clothing</c:v>
                      </c:pt>
                      <c:pt idx="13">
                        <c:v>Fruits</c:v>
                      </c:pt>
                      <c:pt idx="14">
                        <c:v>Housing</c:v>
                      </c:pt>
                      <c:pt idx="15">
                        <c:v>General index</c:v>
                      </c:pt>
                      <c:pt idx="16">
                        <c:v>Personal care and effects</c:v>
                      </c:pt>
                      <c:pt idx="17">
                        <c:v>Food and beverages</c:v>
                      </c:pt>
                      <c:pt idx="18">
                        <c:v>Household goods and services</c:v>
                      </c:pt>
                      <c:pt idx="19">
                        <c:v>Vegetables</c:v>
                      </c:pt>
                      <c:pt idx="20">
                        <c:v>Education</c:v>
                      </c:pt>
                      <c:pt idx="21">
                        <c:v>Spices</c:v>
                      </c:pt>
                      <c:pt idx="22">
                        <c:v>Sugar and Confectionery</c:v>
                      </c:pt>
                      <c:pt idx="23">
                        <c:v>Pulses and products</c:v>
                      </c:pt>
                      <c:pt idx="24">
                        <c:v>Egg</c:v>
                      </c:pt>
                      <c:pt idx="25">
                        <c:v>Cereals and products</c:v>
                      </c:pt>
                      <c:pt idx="26">
                        <c:v>Milk and products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'Q5 - Oil Impact'!$D$37:$D$63</c15:sqref>
                        </c15:formulaRef>
                      </c:ext>
                    </c:extLst>
                    <c:numCache>
                      <c:formatCode>0.00</c:formatCode>
                      <c:ptCount val="27"/>
                      <c:pt idx="0">
                        <c:v>0.40456504998927784</c:v>
                      </c:pt>
                      <c:pt idx="1">
                        <c:v>0.37458490024896307</c:v>
                      </c:pt>
                      <c:pt idx="2">
                        <c:v>0.23652440450669523</c:v>
                      </c:pt>
                      <c:pt idx="3">
                        <c:v>0.18028143743209044</c:v>
                      </c:pt>
                      <c:pt idx="4">
                        <c:v>0.16266408297771645</c:v>
                      </c:pt>
                      <c:pt idx="5">
                        <c:v>0.16050751039461716</c:v>
                      </c:pt>
                      <c:pt idx="6">
                        <c:v>0.14963439758570957</c:v>
                      </c:pt>
                      <c:pt idx="7">
                        <c:v>0.11767179545618119</c:v>
                      </c:pt>
                      <c:pt idx="8">
                        <c:v>0.10364372436504027</c:v>
                      </c:pt>
                      <c:pt idx="9">
                        <c:v>8.9523718647472772E-2</c:v>
                      </c:pt>
                      <c:pt idx="10">
                        <c:v>8.9416301013637747E-2</c:v>
                      </c:pt>
                      <c:pt idx="11">
                        <c:v>8.6597424465471362E-2</c:v>
                      </c:pt>
                      <c:pt idx="12">
                        <c:v>7.7276759603151099E-2</c:v>
                      </c:pt>
                      <c:pt idx="13">
                        <c:v>7.1051677185187775E-2</c:v>
                      </c:pt>
                      <c:pt idx="14">
                        <c:v>6.728945984643038E-2</c:v>
                      </c:pt>
                      <c:pt idx="15">
                        <c:v>1.7252377947013741E-2</c:v>
                      </c:pt>
                      <c:pt idx="16">
                        <c:v>-1.0557838687770977E-2</c:v>
                      </c:pt>
                      <c:pt idx="17">
                        <c:v>-1.1741139191838609E-2</c:v>
                      </c:pt>
                      <c:pt idx="18">
                        <c:v>-2.646993127090886E-2</c:v>
                      </c:pt>
                      <c:pt idx="19">
                        <c:v>-4.6686398171739266E-2</c:v>
                      </c:pt>
                      <c:pt idx="20">
                        <c:v>-0.16459429056602154</c:v>
                      </c:pt>
                      <c:pt idx="21">
                        <c:v>-0.18651775055476805</c:v>
                      </c:pt>
                      <c:pt idx="22">
                        <c:v>-0.21310276300143885</c:v>
                      </c:pt>
                      <c:pt idx="23">
                        <c:v>-0.21327999310201615</c:v>
                      </c:pt>
                      <c:pt idx="24">
                        <c:v>-0.23585559324293745</c:v>
                      </c:pt>
                      <c:pt idx="25">
                        <c:v>-0.27557439823012708</c:v>
                      </c:pt>
                      <c:pt idx="26">
                        <c:v>-0.28956707618768684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37-EBDB-48BB-B459-EA8F76D4B709}"/>
                  </c:ext>
                </c:extLst>
              </c15:ser>
            </c15:filteredBarSeries>
          </c:ext>
        </c:extLst>
      </c:barChart>
      <c:catAx>
        <c:axId val="3647172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8607023"/>
        <c:crosses val="autoZero"/>
        <c:auto val="1"/>
        <c:lblAlgn val="ctr"/>
        <c:lblOffset val="100"/>
        <c:noMultiLvlLbl val="0"/>
      </c:catAx>
      <c:valAx>
        <c:axId val="170860702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4717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20000"/>
        <a:lumOff val="8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[CPI Final project.xlsx]Q1 - CPI Contribution!PivotTable3</c:name>
    <c:fmtId val="0"/>
  </c:pivotSource>
  <c:chart>
    <c:autoTitleDeleted val="1"/>
    <c:pivotFmts>
      <c:pivotFmt>
        <c:idx val="0"/>
        <c:spPr>
          <a:solidFill>
            <a:srgbClr val="FF0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F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7030A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'Q1 - CPI Contribution'!$C$23</c:f>
              <c:strCache>
                <c:ptCount val="1"/>
                <c:pt idx="0">
                  <c:v>Of May 2023 Rural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'Q1 - CPI Contribution'!$B$24:$B$36</c:f>
              <c:strCache>
                <c:ptCount val="12"/>
                <c:pt idx="0">
                  <c:v>Food</c:v>
                </c:pt>
                <c:pt idx="1">
                  <c:v>Apparel </c:v>
                </c:pt>
                <c:pt idx="2">
                  <c:v>Pan, tobacco and intoxicants</c:v>
                </c:pt>
                <c:pt idx="3">
                  <c:v>Health</c:v>
                </c:pt>
                <c:pt idx="4">
                  <c:v>Personal care and effects</c:v>
                </c:pt>
                <c:pt idx="5">
                  <c:v>Fuel and light</c:v>
                </c:pt>
                <c:pt idx="6">
                  <c:v>Education</c:v>
                </c:pt>
                <c:pt idx="7">
                  <c:v>Household goods and services</c:v>
                </c:pt>
                <c:pt idx="8">
                  <c:v>Miscellaneous</c:v>
                </c:pt>
                <c:pt idx="9">
                  <c:v>Recreation and amusement</c:v>
                </c:pt>
                <c:pt idx="10">
                  <c:v>Transport and communication</c:v>
                </c:pt>
                <c:pt idx="11">
                  <c:v>Housing</c:v>
                </c:pt>
              </c:strCache>
            </c:strRef>
          </c:cat>
          <c:val>
            <c:numRef>
              <c:f>'Q1 - CPI Contribution'!$C$24:$C$36</c:f>
              <c:numCache>
                <c:formatCode>0.00%</c:formatCode>
                <c:ptCount val="12"/>
                <c:pt idx="0">
                  <c:v>0.51169151820294334</c:v>
                </c:pt>
                <c:pt idx="1">
                  <c:v>9.1765104570100661E-2</c:v>
                </c:pt>
                <c:pt idx="2">
                  <c:v>4.8387877614252499E-2</c:v>
                </c:pt>
                <c:pt idx="3">
                  <c:v>4.5458946553059626E-2</c:v>
                </c:pt>
                <c:pt idx="4">
                  <c:v>4.4756971340046456E-2</c:v>
                </c:pt>
                <c:pt idx="5">
                  <c:v>4.4176026336173492E-2</c:v>
                </c:pt>
                <c:pt idx="6">
                  <c:v>4.3643493415956608E-2</c:v>
                </c:pt>
                <c:pt idx="7">
                  <c:v>4.3522463206816409E-2</c:v>
                </c:pt>
                <c:pt idx="8">
                  <c:v>4.3449845081332282E-2</c:v>
                </c:pt>
                <c:pt idx="9">
                  <c:v>4.2070100697133989E-2</c:v>
                </c:pt>
                <c:pt idx="10">
                  <c:v>4.1077652982184333E-2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E7-4599-B2F8-2136BE154C0B}"/>
            </c:ext>
          </c:extLst>
        </c:ser>
        <c:ser>
          <c:idx val="1"/>
          <c:order val="1"/>
          <c:tx>
            <c:strRef>
              <c:f>'Q1 - CPI Contribution'!$D$23</c:f>
              <c:strCache>
                <c:ptCount val="1"/>
                <c:pt idx="0">
                  <c:v>of May 2023 Urban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'Q1 - CPI Contribution'!$B$24:$B$36</c:f>
              <c:strCache>
                <c:ptCount val="12"/>
                <c:pt idx="0">
                  <c:v>Food</c:v>
                </c:pt>
                <c:pt idx="1">
                  <c:v>Apparel </c:v>
                </c:pt>
                <c:pt idx="2">
                  <c:v>Pan, tobacco and intoxicants</c:v>
                </c:pt>
                <c:pt idx="3">
                  <c:v>Health</c:v>
                </c:pt>
                <c:pt idx="4">
                  <c:v>Personal care and effects</c:v>
                </c:pt>
                <c:pt idx="5">
                  <c:v>Fuel and light</c:v>
                </c:pt>
                <c:pt idx="6">
                  <c:v>Education</c:v>
                </c:pt>
                <c:pt idx="7">
                  <c:v>Household goods and services</c:v>
                </c:pt>
                <c:pt idx="8">
                  <c:v>Miscellaneous</c:v>
                </c:pt>
                <c:pt idx="9">
                  <c:v>Recreation and amusement</c:v>
                </c:pt>
                <c:pt idx="10">
                  <c:v>Transport and communication</c:v>
                </c:pt>
                <c:pt idx="11">
                  <c:v>Housing</c:v>
                </c:pt>
              </c:strCache>
            </c:strRef>
          </c:cat>
          <c:val>
            <c:numRef>
              <c:f>'Q1 - CPI Contribution'!$D$24:$D$36</c:f>
              <c:numCache>
                <c:formatCode>0.00%</c:formatCode>
                <c:ptCount val="12"/>
                <c:pt idx="0">
                  <c:v>0.50298001636087419</c:v>
                </c:pt>
                <c:pt idx="1">
                  <c:v>8.166413462662149E-2</c:v>
                </c:pt>
                <c:pt idx="2">
                  <c:v>4.7727007128666593E-2</c:v>
                </c:pt>
                <c:pt idx="3">
                  <c:v>4.2585018113824945E-2</c:v>
                </c:pt>
                <c:pt idx="4">
                  <c:v>4.3379689143391381E-2</c:v>
                </c:pt>
                <c:pt idx="5">
                  <c:v>4.2865490241907223E-2</c:v>
                </c:pt>
                <c:pt idx="6">
                  <c:v>4.0855439990650944E-2</c:v>
                </c:pt>
                <c:pt idx="7">
                  <c:v>3.9756924155662038E-2</c:v>
                </c:pt>
                <c:pt idx="8">
                  <c:v>4.0107514315764876E-2</c:v>
                </c:pt>
                <c:pt idx="9">
                  <c:v>3.9546570059600335E-2</c:v>
                </c:pt>
                <c:pt idx="10">
                  <c:v>3.748977445366368E-2</c:v>
                </c:pt>
                <c:pt idx="11">
                  <c:v>4.1042421409372448E-2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E7-4599-B2F8-2136BE154C0B}"/>
            </c:ext>
          </c:extLst>
        </c:ser>
        <c:ser>
          <c:idx val="2"/>
          <c:order val="2"/>
          <c:tx>
            <c:strRef>
              <c:f>'Q1 - CPI Contribution'!$E$23</c:f>
              <c:strCache>
                <c:ptCount val="1"/>
                <c:pt idx="0">
                  <c:v>of May 2023 Rural+Urban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'Q1 - CPI Contribution'!$B$24:$B$36</c:f>
              <c:strCache>
                <c:ptCount val="12"/>
                <c:pt idx="0">
                  <c:v>Food</c:v>
                </c:pt>
                <c:pt idx="1">
                  <c:v>Apparel </c:v>
                </c:pt>
                <c:pt idx="2">
                  <c:v>Pan, tobacco and intoxicants</c:v>
                </c:pt>
                <c:pt idx="3">
                  <c:v>Health</c:v>
                </c:pt>
                <c:pt idx="4">
                  <c:v>Personal care and effects</c:v>
                </c:pt>
                <c:pt idx="5">
                  <c:v>Fuel and light</c:v>
                </c:pt>
                <c:pt idx="6">
                  <c:v>Education</c:v>
                </c:pt>
                <c:pt idx="7">
                  <c:v>Household goods and services</c:v>
                </c:pt>
                <c:pt idx="8">
                  <c:v>Miscellaneous</c:v>
                </c:pt>
                <c:pt idx="9">
                  <c:v>Recreation and amusement</c:v>
                </c:pt>
                <c:pt idx="10">
                  <c:v>Transport and communication</c:v>
                </c:pt>
                <c:pt idx="11">
                  <c:v>Housing</c:v>
                </c:pt>
              </c:strCache>
            </c:strRef>
          </c:cat>
          <c:val>
            <c:numRef>
              <c:f>'Q1 - CPI Contribution'!$E$24:$E$36</c:f>
              <c:numCache>
                <c:formatCode>0.00%</c:formatCode>
                <c:ptCount val="12"/>
                <c:pt idx="0">
                  <c:v>0.49609475181273471</c:v>
                </c:pt>
                <c:pt idx="1">
                  <c:v>8.5565736401576095E-2</c:v>
                </c:pt>
                <c:pt idx="2">
                  <c:v>4.6862978247184731E-2</c:v>
                </c:pt>
                <c:pt idx="3">
                  <c:v>4.3295796320906486E-2</c:v>
                </c:pt>
                <c:pt idx="4">
                  <c:v>4.3179221748152294E-2</c:v>
                </c:pt>
                <c:pt idx="5">
                  <c:v>4.2619663798932186E-2</c:v>
                </c:pt>
                <c:pt idx="6">
                  <c:v>4.1290713669534407E-2</c:v>
                </c:pt>
                <c:pt idx="7">
                  <c:v>4.0847730293068478E-2</c:v>
                </c:pt>
                <c:pt idx="8">
                  <c:v>4.096430486582267E-2</c:v>
                </c:pt>
                <c:pt idx="9">
                  <c:v>3.9915133711034952E-2</c:v>
                </c:pt>
                <c:pt idx="10">
                  <c:v>3.8422979179781311E-2</c:v>
                </c:pt>
                <c:pt idx="11">
                  <c:v>4.0940989951271829E-2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9E7-4599-B2F8-2136BE154C0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570590048"/>
        <c:axId val="2028774480"/>
      </c:barChart>
      <c:catAx>
        <c:axId val="15705900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8774480"/>
        <c:crosses val="autoZero"/>
        <c:auto val="1"/>
        <c:lblAlgn val="ctr"/>
        <c:lblOffset val="100"/>
        <c:noMultiLvlLbl val="0"/>
      </c:catAx>
      <c:valAx>
        <c:axId val="2028774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590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20000"/>
        <a:lumOff val="8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'Q2 - YoY Inflation'!$S$16</c:f>
              <c:strCache>
                <c:ptCount val="1"/>
                <c:pt idx="0">
                  <c:v>Inflation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'Q2 - YoY Inflation'!$Q$17:$Q$24</c:f>
              <c:numCache>
                <c:formatCode>mmm/yyyy</c:formatCode>
                <c:ptCount val="8"/>
                <c:pt idx="0">
                  <c:v>42491</c:v>
                </c:pt>
                <c:pt idx="1">
                  <c:v>42856</c:v>
                </c:pt>
                <c:pt idx="2">
                  <c:v>43221</c:v>
                </c:pt>
                <c:pt idx="3">
                  <c:v>43586</c:v>
                </c:pt>
                <c:pt idx="4">
                  <c:v>43952</c:v>
                </c:pt>
                <c:pt idx="5">
                  <c:v>44317</c:v>
                </c:pt>
                <c:pt idx="6">
                  <c:v>44682</c:v>
                </c:pt>
                <c:pt idx="7">
                  <c:v>45047</c:v>
                </c:pt>
              </c:numCache>
            </c:numRef>
          </c:cat>
          <c:val>
            <c:numRef>
              <c:f>'Q2 - YoY Inflation'!$S$17:$S$24</c:f>
              <c:numCache>
                <c:formatCode>0.00%</c:formatCode>
                <c:ptCount val="8"/>
                <c:pt idx="1">
                  <c:v>2.1772939346811911E-2</c:v>
                </c:pt>
                <c:pt idx="2">
                  <c:v>4.8706240487062444E-2</c:v>
                </c:pt>
                <c:pt idx="3">
                  <c:v>3.0478955007256808E-2</c:v>
                </c:pt>
                <c:pt idx="4">
                  <c:v>6.267605633802821E-2</c:v>
                </c:pt>
                <c:pt idx="5">
                  <c:v>6.2955599734923789E-2</c:v>
                </c:pt>
                <c:pt idx="6">
                  <c:v>7.0448877805486171E-2</c:v>
                </c:pt>
                <c:pt idx="7">
                  <c:v>4.3098427489807842E-2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46-4B76-818C-A7577F79677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021653840"/>
        <c:axId val="191452657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'Q2 - YoY Inflation'!$R$16</c15:sqref>
                        </c15:formulaRef>
                      </c:ext>
                    </c:extLst>
                    <c:strCache>
                      <c:ptCount val="1"/>
                      <c:pt idx="0">
                        <c:v>CPI Index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'Q2 - YoY Inflation'!$Q$17:$Q$24</c15:sqref>
                        </c15:formulaRef>
                      </c:ext>
                    </c:extLst>
                    <c:numCache>
                      <c:formatCode>mmm/yyyy</c:formatCode>
                      <c:ptCount val="8"/>
                      <c:pt idx="0">
                        <c:v>42491</c:v>
                      </c:pt>
                      <c:pt idx="1">
                        <c:v>42856</c:v>
                      </c:pt>
                      <c:pt idx="2">
                        <c:v>43221</c:v>
                      </c:pt>
                      <c:pt idx="3">
                        <c:v>43586</c:v>
                      </c:pt>
                      <c:pt idx="4">
                        <c:v>43952</c:v>
                      </c:pt>
                      <c:pt idx="5">
                        <c:v>44317</c:v>
                      </c:pt>
                      <c:pt idx="6">
                        <c:v>44682</c:v>
                      </c:pt>
                      <c:pt idx="7">
                        <c:v>45047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'Q2 - YoY Inflation'!$R$17:$R$24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128.6</c:v>
                      </c:pt>
                      <c:pt idx="1">
                        <c:v>131.4</c:v>
                      </c:pt>
                      <c:pt idx="2">
                        <c:v>137.80000000000001</c:v>
                      </c:pt>
                      <c:pt idx="3">
                        <c:v>142</c:v>
                      </c:pt>
                      <c:pt idx="4">
                        <c:v>150.9</c:v>
                      </c:pt>
                      <c:pt idx="5">
                        <c:v>160.4</c:v>
                      </c:pt>
                      <c:pt idx="6">
                        <c:v>171.7</c:v>
                      </c:pt>
                      <c:pt idx="7">
                        <c:v>179.1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C746-4B76-818C-A7577F796774}"/>
                  </c:ext>
                </c:extLst>
              </c15:ser>
            </c15:filteredLineSeries>
          </c:ext>
        </c:extLst>
      </c:lineChart>
      <c:catAx>
        <c:axId val="2021653840"/>
        <c:scaling>
          <c:orientation val="minMax"/>
        </c:scaling>
        <c:delete val="0"/>
        <c:axPos val="b"/>
        <c:numFmt formatCode="mmm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4526576"/>
        <c:crosses val="autoZero"/>
        <c:auto val="0"/>
        <c:lblAlgn val="ctr"/>
        <c:lblOffset val="100"/>
        <c:noMultiLvlLbl val="0"/>
      </c:catAx>
      <c:valAx>
        <c:axId val="1914526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653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v>Rural Inflation</c:v>
          </c:tx>
          <c:spPr>
            <a:ln w="28575" cap="rnd">
              <a:solidFill>
                <a:srgbClr val="FF0000">
                  <a:alpha val="94000"/>
                </a:srgb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'Q3 - Food Inflation'!$K$33:$K$45</c:f>
              <c:numCache>
                <c:formatCode>mmm/yyyy</c:formatCode>
                <c:ptCount val="13"/>
                <c:pt idx="0">
                  <c:v>44682</c:v>
                </c:pt>
                <c:pt idx="1">
                  <c:v>44713</c:v>
                </c:pt>
                <c:pt idx="2">
                  <c:v>44743</c:v>
                </c:pt>
                <c:pt idx="3">
                  <c:v>44774</c:v>
                </c:pt>
                <c:pt idx="4">
                  <c:v>44805</c:v>
                </c:pt>
                <c:pt idx="5">
                  <c:v>44835</c:v>
                </c:pt>
                <c:pt idx="6">
                  <c:v>44866</c:v>
                </c:pt>
                <c:pt idx="7">
                  <c:v>44896</c:v>
                </c:pt>
                <c:pt idx="8">
                  <c:v>44927</c:v>
                </c:pt>
                <c:pt idx="9">
                  <c:v>44958</c:v>
                </c:pt>
                <c:pt idx="10">
                  <c:v>44986</c:v>
                </c:pt>
                <c:pt idx="11">
                  <c:v>45017</c:v>
                </c:pt>
                <c:pt idx="12">
                  <c:v>45047</c:v>
                </c:pt>
              </c:numCache>
            </c:numRef>
          </c:cat>
          <c:val>
            <c:numRef>
              <c:f>'Q3 - Food Inflation'!$M$33:$M$45</c:f>
              <c:numCache>
                <c:formatCode>0.00%</c:formatCode>
                <c:ptCount val="13"/>
                <c:pt idx="1">
                  <c:v>9.6789883268482372E-3</c:v>
                </c:pt>
                <c:pt idx="2">
                  <c:v>1.9750469675803373E-3</c:v>
                </c:pt>
                <c:pt idx="3">
                  <c:v>9.1346153846136346E-4</c:v>
                </c:pt>
                <c:pt idx="4">
                  <c:v>4.995436860560273E-3</c:v>
                </c:pt>
                <c:pt idx="5">
                  <c:v>7.0735554174830755E-3</c:v>
                </c:pt>
                <c:pt idx="6">
                  <c:v>1.8983436951258946E-3</c:v>
                </c:pt>
                <c:pt idx="7">
                  <c:v>-3.9789683103594641E-3</c:v>
                </c:pt>
                <c:pt idx="8">
                  <c:v>2.6156845959958409E-3</c:v>
                </c:pt>
                <c:pt idx="9">
                  <c:v>-8.206052556683727E-3</c:v>
                </c:pt>
                <c:pt idx="10">
                  <c:v>4.782629489705396E-5</c:v>
                </c:pt>
                <c:pt idx="11">
                  <c:v>3.6824485891916873E-3</c:v>
                </c:pt>
                <c:pt idx="12">
                  <c:v>7.2425787392199183E-3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73-4748-A40F-DA6239D46356}"/>
            </c:ext>
          </c:extLst>
        </c:ser>
        <c:ser>
          <c:idx val="3"/>
          <c:order val="3"/>
          <c:tx>
            <c:v>Urban Inflation</c:v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'Q3 - Food Inflation'!$K$33:$K$45</c:f>
              <c:numCache>
                <c:formatCode>mmm/yyyy</c:formatCode>
                <c:ptCount val="13"/>
                <c:pt idx="0">
                  <c:v>44682</c:v>
                </c:pt>
                <c:pt idx="1">
                  <c:v>44713</c:v>
                </c:pt>
                <c:pt idx="2">
                  <c:v>44743</c:v>
                </c:pt>
                <c:pt idx="3">
                  <c:v>44774</c:v>
                </c:pt>
                <c:pt idx="4">
                  <c:v>44805</c:v>
                </c:pt>
                <c:pt idx="5">
                  <c:v>44835</c:v>
                </c:pt>
                <c:pt idx="6">
                  <c:v>44866</c:v>
                </c:pt>
                <c:pt idx="7">
                  <c:v>44896</c:v>
                </c:pt>
                <c:pt idx="8">
                  <c:v>44927</c:v>
                </c:pt>
                <c:pt idx="9">
                  <c:v>44958</c:v>
                </c:pt>
                <c:pt idx="10">
                  <c:v>44986</c:v>
                </c:pt>
                <c:pt idx="11">
                  <c:v>45017</c:v>
                </c:pt>
                <c:pt idx="12">
                  <c:v>45047</c:v>
                </c:pt>
              </c:numCache>
            </c:numRef>
          </c:cat>
          <c:val>
            <c:numRef>
              <c:f>'Q3 - Food Inflation'!$O$33:$O$45</c:f>
              <c:numCache>
                <c:formatCode>0.00%</c:formatCode>
                <c:ptCount val="13"/>
                <c:pt idx="1">
                  <c:v>1.1272605171007545E-2</c:v>
                </c:pt>
                <c:pt idx="2">
                  <c:v>1.8973531922968003E-3</c:v>
                </c:pt>
                <c:pt idx="3">
                  <c:v>5.2078401666509936E-4</c:v>
                </c:pt>
                <c:pt idx="4">
                  <c:v>5.3470874934935667E-3</c:v>
                </c:pt>
                <c:pt idx="5">
                  <c:v>6.777746399322322E-3</c:v>
                </c:pt>
                <c:pt idx="6">
                  <c:v>-2.7582982702197712E-3</c:v>
                </c:pt>
                <c:pt idx="7">
                  <c:v>-7.4539402747176436E-3</c:v>
                </c:pt>
                <c:pt idx="8">
                  <c:v>6.3763461175140208E-3</c:v>
                </c:pt>
                <c:pt idx="9">
                  <c:v>-3.8485004927959754E-3</c:v>
                </c:pt>
                <c:pt idx="10">
                  <c:v>4.7114252061205678E-5</c:v>
                </c:pt>
                <c:pt idx="11">
                  <c:v>6.1245642137003932E-3</c:v>
                </c:pt>
                <c:pt idx="12">
                  <c:v>7.6793407005055943E-3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873-4748-A40F-DA6239D46356}"/>
            </c:ext>
          </c:extLst>
        </c:ser>
        <c:ser>
          <c:idx val="5"/>
          <c:order val="5"/>
          <c:tx>
            <c:v>Rural+Urban Inflation</c:v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'Q3 - Food Inflation'!$K$33:$K$45</c:f>
              <c:numCache>
                <c:formatCode>mmm/yyyy</c:formatCode>
                <c:ptCount val="13"/>
                <c:pt idx="0">
                  <c:v>44682</c:v>
                </c:pt>
                <c:pt idx="1">
                  <c:v>44713</c:v>
                </c:pt>
                <c:pt idx="2">
                  <c:v>44743</c:v>
                </c:pt>
                <c:pt idx="3">
                  <c:v>44774</c:v>
                </c:pt>
                <c:pt idx="4">
                  <c:v>44805</c:v>
                </c:pt>
                <c:pt idx="5">
                  <c:v>44835</c:v>
                </c:pt>
                <c:pt idx="6">
                  <c:v>44866</c:v>
                </c:pt>
                <c:pt idx="7">
                  <c:v>44896</c:v>
                </c:pt>
                <c:pt idx="8">
                  <c:v>44927</c:v>
                </c:pt>
                <c:pt idx="9">
                  <c:v>44958</c:v>
                </c:pt>
                <c:pt idx="10">
                  <c:v>44986</c:v>
                </c:pt>
                <c:pt idx="11">
                  <c:v>45017</c:v>
                </c:pt>
                <c:pt idx="12">
                  <c:v>45047</c:v>
                </c:pt>
              </c:numCache>
            </c:numRef>
          </c:cat>
          <c:val>
            <c:numRef>
              <c:f>'Q3 - Food Inflation'!$Q$33:$Q$45</c:f>
              <c:numCache>
                <c:formatCode>0.00%</c:formatCode>
                <c:ptCount val="13"/>
                <c:pt idx="1">
                  <c:v>1.0360185902401063E-2</c:v>
                </c:pt>
                <c:pt idx="2">
                  <c:v>2.0603737422137912E-3</c:v>
                </c:pt>
                <c:pt idx="3">
                  <c:v>7.6507435566389756E-4</c:v>
                </c:pt>
                <c:pt idx="4">
                  <c:v>4.8736203354197202E-3</c:v>
                </c:pt>
                <c:pt idx="5">
                  <c:v>6.9421330417005203E-3</c:v>
                </c:pt>
                <c:pt idx="6">
                  <c:v>3.7776833356925599E-4</c:v>
                </c:pt>
                <c:pt idx="7">
                  <c:v>-5.1923530800093874E-3</c:v>
                </c:pt>
                <c:pt idx="8">
                  <c:v>4.0332147093713466E-3</c:v>
                </c:pt>
                <c:pt idx="9">
                  <c:v>-6.5689981096409816E-3</c:v>
                </c:pt>
                <c:pt idx="10">
                  <c:v>4.7571476142861456E-5</c:v>
                </c:pt>
                <c:pt idx="11">
                  <c:v>4.5190752544955618E-3</c:v>
                </c:pt>
                <c:pt idx="12">
                  <c:v>7.6241890420040825E-3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873-4748-A40F-DA6239D463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3148416"/>
        <c:axId val="167905044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'Q3 - Food Inflation'!$L$32</c15:sqref>
                        </c15:formulaRef>
                      </c:ext>
                    </c:extLst>
                    <c:strCache>
                      <c:ptCount val="1"/>
                      <c:pt idx="0">
                        <c:v>Rural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'Q3 - Food Inflation'!$K$33:$K$45</c15:sqref>
                        </c15:formulaRef>
                      </c:ext>
                    </c:extLst>
                    <c:numCache>
                      <c:formatCode>mmm/yyyy</c:formatCode>
                      <c:ptCount val="13"/>
                      <c:pt idx="0">
                        <c:v>44682</c:v>
                      </c:pt>
                      <c:pt idx="1">
                        <c:v>44713</c:v>
                      </c:pt>
                      <c:pt idx="2">
                        <c:v>44743</c:v>
                      </c:pt>
                      <c:pt idx="3">
                        <c:v>44774</c:v>
                      </c:pt>
                      <c:pt idx="4">
                        <c:v>44805</c:v>
                      </c:pt>
                      <c:pt idx="5">
                        <c:v>44835</c:v>
                      </c:pt>
                      <c:pt idx="6">
                        <c:v>44866</c:v>
                      </c:pt>
                      <c:pt idx="7">
                        <c:v>44896</c:v>
                      </c:pt>
                      <c:pt idx="8">
                        <c:v>44927</c:v>
                      </c:pt>
                      <c:pt idx="9">
                        <c:v>44958</c:v>
                      </c:pt>
                      <c:pt idx="10">
                        <c:v>44986</c:v>
                      </c:pt>
                      <c:pt idx="11">
                        <c:v>45017</c:v>
                      </c:pt>
                      <c:pt idx="12">
                        <c:v>45047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'Q3 - Food Inflation'!$L$33:$L$45</c15:sqref>
                        </c15:formulaRef>
                      </c:ext>
                    </c:extLst>
                    <c:numCache>
                      <c:formatCode>0.00</c:formatCode>
                      <c:ptCount val="13"/>
                      <c:pt idx="0">
                        <c:v>171.33333333333334</c:v>
                      </c:pt>
                      <c:pt idx="1">
                        <c:v>172.99166666666667</c:v>
                      </c:pt>
                      <c:pt idx="2">
                        <c:v>173.33333333333334</c:v>
                      </c:pt>
                      <c:pt idx="3">
                        <c:v>173.49166666666665</c:v>
                      </c:pt>
                      <c:pt idx="4">
                        <c:v>174.35833333333335</c:v>
                      </c:pt>
                      <c:pt idx="5">
                        <c:v>175.59166666666667</c:v>
                      </c:pt>
                      <c:pt idx="6">
                        <c:v>175.92499999999998</c:v>
                      </c:pt>
                      <c:pt idx="7">
                        <c:v>175.22499999999999</c:v>
                      </c:pt>
                      <c:pt idx="8">
                        <c:v>175.68333333333337</c:v>
                      </c:pt>
                      <c:pt idx="9">
                        <c:v>174.24166666666665</c:v>
                      </c:pt>
                      <c:pt idx="10">
                        <c:v>174.25</c:v>
                      </c:pt>
                      <c:pt idx="11">
                        <c:v>174.89166666666665</c:v>
                      </c:pt>
                      <c:pt idx="12">
                        <c:v>176.15833333333339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1873-4748-A40F-DA6239D46356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'Q3 - Food Inflation'!$N$32</c15:sqref>
                        </c15:formulaRef>
                      </c:ext>
                    </c:extLst>
                    <c:strCache>
                      <c:ptCount val="1"/>
                      <c:pt idx="0">
                        <c:v>Urban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'Q3 - Food Inflation'!$K$33:$K$45</c15:sqref>
                        </c15:formulaRef>
                      </c:ext>
                    </c:extLst>
                    <c:numCache>
                      <c:formatCode>mmm/yyyy</c:formatCode>
                      <c:ptCount val="13"/>
                      <c:pt idx="0">
                        <c:v>44682</c:v>
                      </c:pt>
                      <c:pt idx="1">
                        <c:v>44713</c:v>
                      </c:pt>
                      <c:pt idx="2">
                        <c:v>44743</c:v>
                      </c:pt>
                      <c:pt idx="3">
                        <c:v>44774</c:v>
                      </c:pt>
                      <c:pt idx="4">
                        <c:v>44805</c:v>
                      </c:pt>
                      <c:pt idx="5">
                        <c:v>44835</c:v>
                      </c:pt>
                      <c:pt idx="6">
                        <c:v>44866</c:v>
                      </c:pt>
                      <c:pt idx="7">
                        <c:v>44896</c:v>
                      </c:pt>
                      <c:pt idx="8">
                        <c:v>44927</c:v>
                      </c:pt>
                      <c:pt idx="9">
                        <c:v>44958</c:v>
                      </c:pt>
                      <c:pt idx="10">
                        <c:v>44986</c:v>
                      </c:pt>
                      <c:pt idx="11">
                        <c:v>45017</c:v>
                      </c:pt>
                      <c:pt idx="12">
                        <c:v>45047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'Q3 - Food Inflation'!$N$33:$N$45</c15:sqref>
                        </c15:formulaRef>
                      </c:ext>
                    </c:extLst>
                    <c:numCache>
                      <c:formatCode>0.00</c:formatCode>
                      <c:ptCount val="13"/>
                      <c:pt idx="0">
                        <c:v>173.72500000000002</c:v>
                      </c:pt>
                      <c:pt idx="1">
                        <c:v>175.68333333333331</c:v>
                      </c:pt>
                      <c:pt idx="2">
                        <c:v>176.01666666666665</c:v>
                      </c:pt>
                      <c:pt idx="3">
                        <c:v>176.10833333333332</c:v>
                      </c:pt>
                      <c:pt idx="4">
                        <c:v>177.04999999999998</c:v>
                      </c:pt>
                      <c:pt idx="5">
                        <c:v>178.25</c:v>
                      </c:pt>
                      <c:pt idx="6">
                        <c:v>177.75833333333333</c:v>
                      </c:pt>
                      <c:pt idx="7">
                        <c:v>176.43333333333331</c:v>
                      </c:pt>
                      <c:pt idx="8">
                        <c:v>177.55833333333337</c:v>
                      </c:pt>
                      <c:pt idx="9">
                        <c:v>176.875</c:v>
                      </c:pt>
                      <c:pt idx="10">
                        <c:v>176.88333333333333</c:v>
                      </c:pt>
                      <c:pt idx="11">
                        <c:v>177.9666666666667</c:v>
                      </c:pt>
                      <c:pt idx="12">
                        <c:v>179.33333333333334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1873-4748-A40F-DA6239D46356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'Q3 - Food Inflation'!$P$32</c15:sqref>
                        </c15:formulaRef>
                      </c:ext>
                    </c:extLst>
                    <c:strCache>
                      <c:ptCount val="1"/>
                      <c:pt idx="0">
                        <c:v>Rural+Urban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'Q3 - Food Inflation'!$K$33:$K$45</c15:sqref>
                        </c15:formulaRef>
                      </c:ext>
                    </c:extLst>
                    <c:numCache>
                      <c:formatCode>mmm/yyyy</c:formatCode>
                      <c:ptCount val="13"/>
                      <c:pt idx="0">
                        <c:v>44682</c:v>
                      </c:pt>
                      <c:pt idx="1">
                        <c:v>44713</c:v>
                      </c:pt>
                      <c:pt idx="2">
                        <c:v>44743</c:v>
                      </c:pt>
                      <c:pt idx="3">
                        <c:v>44774</c:v>
                      </c:pt>
                      <c:pt idx="4">
                        <c:v>44805</c:v>
                      </c:pt>
                      <c:pt idx="5">
                        <c:v>44835</c:v>
                      </c:pt>
                      <c:pt idx="6">
                        <c:v>44866</c:v>
                      </c:pt>
                      <c:pt idx="7">
                        <c:v>44896</c:v>
                      </c:pt>
                      <c:pt idx="8">
                        <c:v>44927</c:v>
                      </c:pt>
                      <c:pt idx="9">
                        <c:v>44958</c:v>
                      </c:pt>
                      <c:pt idx="10">
                        <c:v>44986</c:v>
                      </c:pt>
                      <c:pt idx="11">
                        <c:v>45017</c:v>
                      </c:pt>
                      <c:pt idx="12">
                        <c:v>45047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'Q3 - Food Inflation'!$P$33:$P$45</c15:sqref>
                        </c15:formulaRef>
                      </c:ext>
                    </c:extLst>
                    <c:numCache>
                      <c:formatCode>0.00</c:formatCode>
                      <c:ptCount val="13"/>
                      <c:pt idx="0">
                        <c:v>172.13333333333335</c:v>
                      </c:pt>
                      <c:pt idx="1">
                        <c:v>173.91666666666666</c:v>
                      </c:pt>
                      <c:pt idx="2">
                        <c:v>174.27500000000001</c:v>
                      </c:pt>
                      <c:pt idx="3">
                        <c:v>174.40833333333333</c:v>
                      </c:pt>
                      <c:pt idx="4">
                        <c:v>175.25833333333333</c:v>
                      </c:pt>
                      <c:pt idx="5">
                        <c:v>176.47500000000002</c:v>
                      </c:pt>
                      <c:pt idx="6">
                        <c:v>176.54166666666666</c:v>
                      </c:pt>
                      <c:pt idx="7">
                        <c:v>175.625</c:v>
                      </c:pt>
                      <c:pt idx="8">
                        <c:v>176.33333333333334</c:v>
                      </c:pt>
                      <c:pt idx="9">
                        <c:v>175.17499999999998</c:v>
                      </c:pt>
                      <c:pt idx="10">
                        <c:v>175.18333333333331</c:v>
                      </c:pt>
                      <c:pt idx="11">
                        <c:v>175.97500000000002</c:v>
                      </c:pt>
                      <c:pt idx="12">
                        <c:v>177.31666666666669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1873-4748-A40F-DA6239D46356}"/>
                  </c:ext>
                </c:extLst>
              </c15:ser>
            </c15:filteredLineSeries>
          </c:ext>
        </c:extLst>
      </c:lineChart>
      <c:dateAx>
        <c:axId val="333148416"/>
        <c:scaling>
          <c:orientation val="minMax"/>
        </c:scaling>
        <c:delete val="0"/>
        <c:axPos val="b"/>
        <c:numFmt formatCode="mmm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t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050448"/>
        <c:crosses val="autoZero"/>
        <c:auto val="1"/>
        <c:lblOffset val="100"/>
        <c:baseTimeUnit val="months"/>
      </c:dateAx>
      <c:valAx>
        <c:axId val="1679050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148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2"/>
          <c:order val="2"/>
          <c:tx>
            <c:v>Rural</c:v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'Q3 - Food Inflation'!$B$83:$B$94</c:f>
              <c:strCache>
                <c:ptCount val="12"/>
                <c:pt idx="0">
                  <c:v>Spices</c:v>
                </c:pt>
                <c:pt idx="1">
                  <c:v>Cereals and products</c:v>
                </c:pt>
                <c:pt idx="2">
                  <c:v>Milk and products</c:v>
                </c:pt>
                <c:pt idx="3">
                  <c:v>Pulses and products</c:v>
                </c:pt>
                <c:pt idx="4">
                  <c:v>Prepared meals, snacks, sweets etc.</c:v>
                </c:pt>
                <c:pt idx="5">
                  <c:v>Non-alcoholic beverages</c:v>
                </c:pt>
                <c:pt idx="6">
                  <c:v>Fruits</c:v>
                </c:pt>
                <c:pt idx="7">
                  <c:v>Sugar and Confectionery</c:v>
                </c:pt>
                <c:pt idx="8">
                  <c:v>Egg</c:v>
                </c:pt>
                <c:pt idx="9">
                  <c:v>Meat and fish</c:v>
                </c:pt>
                <c:pt idx="10">
                  <c:v>Vegetables</c:v>
                </c:pt>
                <c:pt idx="11">
                  <c:v>Oils and fats</c:v>
                </c:pt>
              </c:strCache>
            </c:strRef>
          </c:cat>
          <c:val>
            <c:numRef>
              <c:f>'Q3 - Food Inflation'!$E$83:$E$94</c:f>
              <c:numCache>
                <c:formatCode>General</c:formatCode>
                <c:ptCount val="12"/>
                <c:pt idx="0">
                  <c:v>32.099999999999994</c:v>
                </c:pt>
                <c:pt idx="1">
                  <c:v>19.399999999999977</c:v>
                </c:pt>
                <c:pt idx="2">
                  <c:v>14.199999999999989</c:v>
                </c:pt>
                <c:pt idx="3">
                  <c:v>10.300000000000011</c:v>
                </c:pt>
                <c:pt idx="4">
                  <c:v>9.1999999999999886</c:v>
                </c:pt>
                <c:pt idx="5">
                  <c:v>4.5</c:v>
                </c:pt>
                <c:pt idx="6">
                  <c:v>3.1999999999999886</c:v>
                </c:pt>
                <c:pt idx="7">
                  <c:v>2.8000000000000114</c:v>
                </c:pt>
                <c:pt idx="8">
                  <c:v>1.4000000000000057</c:v>
                </c:pt>
                <c:pt idx="9">
                  <c:v>-5.6999999999999886</c:v>
                </c:pt>
                <c:pt idx="10">
                  <c:v>-18.600000000000023</c:v>
                </c:pt>
                <c:pt idx="11">
                  <c:v>-34.799999999999983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E8-4FCB-9892-79E62896FD71}"/>
            </c:ext>
          </c:extLst>
        </c:ser>
        <c:ser>
          <c:idx val="6"/>
          <c:order val="6"/>
          <c:tx>
            <c:v>Urban</c:v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'Q3 - Food Inflation'!$B$83:$B$94</c:f>
              <c:strCache>
                <c:ptCount val="12"/>
                <c:pt idx="0">
                  <c:v>Spices</c:v>
                </c:pt>
                <c:pt idx="1">
                  <c:v>Cereals and products</c:v>
                </c:pt>
                <c:pt idx="2">
                  <c:v>Milk and products</c:v>
                </c:pt>
                <c:pt idx="3">
                  <c:v>Pulses and products</c:v>
                </c:pt>
                <c:pt idx="4">
                  <c:v>Prepared meals, snacks, sweets etc.</c:v>
                </c:pt>
                <c:pt idx="5">
                  <c:v>Non-alcoholic beverages</c:v>
                </c:pt>
                <c:pt idx="6">
                  <c:v>Fruits</c:v>
                </c:pt>
                <c:pt idx="7">
                  <c:v>Sugar and Confectionery</c:v>
                </c:pt>
                <c:pt idx="8">
                  <c:v>Egg</c:v>
                </c:pt>
                <c:pt idx="9">
                  <c:v>Meat and fish</c:v>
                </c:pt>
                <c:pt idx="10">
                  <c:v>Vegetables</c:v>
                </c:pt>
                <c:pt idx="11">
                  <c:v>Oils and fats</c:v>
                </c:pt>
              </c:strCache>
            </c:strRef>
          </c:cat>
          <c:val>
            <c:numRef>
              <c:f>'Q3 - Food Inflation'!$I$83:$I$94</c:f>
              <c:numCache>
                <c:formatCode>General</c:formatCode>
                <c:ptCount val="12"/>
                <c:pt idx="0">
                  <c:v>28.400000000000006</c:v>
                </c:pt>
                <c:pt idx="1">
                  <c:v>17.199999999999989</c:v>
                </c:pt>
                <c:pt idx="2">
                  <c:v>13</c:v>
                </c:pt>
                <c:pt idx="3">
                  <c:v>13.300000000000011</c:v>
                </c:pt>
                <c:pt idx="4">
                  <c:v>11.399999999999977</c:v>
                </c:pt>
                <c:pt idx="5">
                  <c:v>6.8000000000000114</c:v>
                </c:pt>
                <c:pt idx="6">
                  <c:v>1.7000000000000171</c:v>
                </c:pt>
                <c:pt idx="7">
                  <c:v>2.7999999999999972</c:v>
                </c:pt>
                <c:pt idx="8">
                  <c:v>3.8999999999999773</c:v>
                </c:pt>
                <c:pt idx="9">
                  <c:v>-4</c:v>
                </c:pt>
                <c:pt idx="10">
                  <c:v>-26.5</c:v>
                </c:pt>
                <c:pt idx="11">
                  <c:v>-24.199999999999989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3E8-4FCB-9892-79E62896FD71}"/>
            </c:ext>
          </c:extLst>
        </c:ser>
        <c:ser>
          <c:idx val="10"/>
          <c:order val="10"/>
          <c:tx>
            <c:v>Rural+Urban</c:v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'Q3 - Food Inflation'!$B$83:$B$94</c:f>
              <c:strCache>
                <c:ptCount val="12"/>
                <c:pt idx="0">
                  <c:v>Spices</c:v>
                </c:pt>
                <c:pt idx="1">
                  <c:v>Cereals and products</c:v>
                </c:pt>
                <c:pt idx="2">
                  <c:v>Milk and products</c:v>
                </c:pt>
                <c:pt idx="3">
                  <c:v>Pulses and products</c:v>
                </c:pt>
                <c:pt idx="4">
                  <c:v>Prepared meals, snacks, sweets etc.</c:v>
                </c:pt>
                <c:pt idx="5">
                  <c:v>Non-alcoholic beverages</c:v>
                </c:pt>
                <c:pt idx="6">
                  <c:v>Fruits</c:v>
                </c:pt>
                <c:pt idx="7">
                  <c:v>Sugar and Confectionery</c:v>
                </c:pt>
                <c:pt idx="8">
                  <c:v>Egg</c:v>
                </c:pt>
                <c:pt idx="9">
                  <c:v>Meat and fish</c:v>
                </c:pt>
                <c:pt idx="10">
                  <c:v>Vegetables</c:v>
                </c:pt>
                <c:pt idx="11">
                  <c:v>Oils and fats</c:v>
                </c:pt>
              </c:strCache>
            </c:strRef>
          </c:cat>
          <c:val>
            <c:numRef>
              <c:f>'Q3 - Food Inflation'!$M$83:$M$94</c:f>
              <c:numCache>
                <c:formatCode>General</c:formatCode>
                <c:ptCount val="12"/>
                <c:pt idx="0">
                  <c:v>30.900000000000006</c:v>
                </c:pt>
                <c:pt idx="1">
                  <c:v>18.699999999999989</c:v>
                </c:pt>
                <c:pt idx="2">
                  <c:v>13.699999999999989</c:v>
                </c:pt>
                <c:pt idx="3">
                  <c:v>11.299999999999983</c:v>
                </c:pt>
                <c:pt idx="4">
                  <c:v>10.299999999999983</c:v>
                </c:pt>
                <c:pt idx="5">
                  <c:v>5.5</c:v>
                </c:pt>
                <c:pt idx="6">
                  <c:v>2.5</c:v>
                </c:pt>
                <c:pt idx="7">
                  <c:v>2.7999999999999972</c:v>
                </c:pt>
                <c:pt idx="8">
                  <c:v>2.3999999999999773</c:v>
                </c:pt>
                <c:pt idx="9">
                  <c:v>-5.0999999999999943</c:v>
                </c:pt>
                <c:pt idx="10">
                  <c:v>-21.300000000000011</c:v>
                </c:pt>
                <c:pt idx="11">
                  <c:v>-30.900000000000006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3E8-4FCB-9892-79E62896FD7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1532271"/>
        <c:axId val="1201197551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'Q3 - Food Inflation'!$C$82</c15:sqref>
                        </c15:formulaRef>
                      </c:ext>
                    </c:extLst>
                    <c:strCache>
                      <c:ptCount val="1"/>
                      <c:pt idx="0">
                        <c:v>Jun-22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'Q3 - Food Inflation'!$B$83:$B$94</c15:sqref>
                        </c15:formulaRef>
                      </c:ext>
                    </c:extLst>
                    <c:strCache>
                      <c:ptCount val="12"/>
                      <c:pt idx="0">
                        <c:v>Spices</c:v>
                      </c:pt>
                      <c:pt idx="1">
                        <c:v>Cereals and products</c:v>
                      </c:pt>
                      <c:pt idx="2">
                        <c:v>Milk and products</c:v>
                      </c:pt>
                      <c:pt idx="3">
                        <c:v>Pulses and products</c:v>
                      </c:pt>
                      <c:pt idx="4">
                        <c:v>Prepared meals, snacks, sweets etc.</c:v>
                      </c:pt>
                      <c:pt idx="5">
                        <c:v>Non-alcoholic beverages</c:v>
                      </c:pt>
                      <c:pt idx="6">
                        <c:v>Fruits</c:v>
                      </c:pt>
                      <c:pt idx="7">
                        <c:v>Sugar and Confectionery</c:v>
                      </c:pt>
                      <c:pt idx="8">
                        <c:v>Egg</c:v>
                      </c:pt>
                      <c:pt idx="9">
                        <c:v>Meat and fish</c:v>
                      </c:pt>
                      <c:pt idx="10">
                        <c:v>Vegetables</c:v>
                      </c:pt>
                      <c:pt idx="11">
                        <c:v>Oils and fats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'Q3 - Food Inflation'!$C$83:$C$94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188.9</c:v>
                      </c:pt>
                      <c:pt idx="1">
                        <c:v>153.80000000000001</c:v>
                      </c:pt>
                      <c:pt idx="2">
                        <c:v>165.4</c:v>
                      </c:pt>
                      <c:pt idx="3">
                        <c:v>164.6</c:v>
                      </c:pt>
                      <c:pt idx="4">
                        <c:v>181.9</c:v>
                      </c:pt>
                      <c:pt idx="5">
                        <c:v>174.2</c:v>
                      </c:pt>
                      <c:pt idx="6">
                        <c:v>165.8</c:v>
                      </c:pt>
                      <c:pt idx="7">
                        <c:v>119.1</c:v>
                      </c:pt>
                      <c:pt idx="8">
                        <c:v>169.6</c:v>
                      </c:pt>
                      <c:pt idx="9">
                        <c:v>217.2</c:v>
                      </c:pt>
                      <c:pt idx="10">
                        <c:v>167.3</c:v>
                      </c:pt>
                      <c:pt idx="11">
                        <c:v>208.1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F3E8-4FCB-9892-79E62896FD71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'Q3 - Food Inflation'!$D$82</c15:sqref>
                        </c15:formulaRef>
                      </c:ext>
                    </c:extLst>
                    <c:strCache>
                      <c:ptCount val="1"/>
                      <c:pt idx="0">
                        <c:v>May-23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'Q3 - Food Inflation'!$B$83:$B$94</c15:sqref>
                        </c15:formulaRef>
                      </c:ext>
                    </c:extLst>
                    <c:strCache>
                      <c:ptCount val="12"/>
                      <c:pt idx="0">
                        <c:v>Spices</c:v>
                      </c:pt>
                      <c:pt idx="1">
                        <c:v>Cereals and products</c:v>
                      </c:pt>
                      <c:pt idx="2">
                        <c:v>Milk and products</c:v>
                      </c:pt>
                      <c:pt idx="3">
                        <c:v>Pulses and products</c:v>
                      </c:pt>
                      <c:pt idx="4">
                        <c:v>Prepared meals, snacks, sweets etc.</c:v>
                      </c:pt>
                      <c:pt idx="5">
                        <c:v>Non-alcoholic beverages</c:v>
                      </c:pt>
                      <c:pt idx="6">
                        <c:v>Fruits</c:v>
                      </c:pt>
                      <c:pt idx="7">
                        <c:v>Sugar and Confectionery</c:v>
                      </c:pt>
                      <c:pt idx="8">
                        <c:v>Egg</c:v>
                      </c:pt>
                      <c:pt idx="9">
                        <c:v>Meat and fish</c:v>
                      </c:pt>
                      <c:pt idx="10">
                        <c:v>Vegetables</c:v>
                      </c:pt>
                      <c:pt idx="11">
                        <c:v>Oils and fats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'Q3 - Food Inflation'!$D$83:$D$94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221</c:v>
                      </c:pt>
                      <c:pt idx="1">
                        <c:v>173.2</c:v>
                      </c:pt>
                      <c:pt idx="2">
                        <c:v>179.6</c:v>
                      </c:pt>
                      <c:pt idx="3">
                        <c:v>174.9</c:v>
                      </c:pt>
                      <c:pt idx="4">
                        <c:v>191.1</c:v>
                      </c:pt>
                      <c:pt idx="5">
                        <c:v>178.7</c:v>
                      </c:pt>
                      <c:pt idx="6">
                        <c:v>169</c:v>
                      </c:pt>
                      <c:pt idx="7">
                        <c:v>121.9</c:v>
                      </c:pt>
                      <c:pt idx="8">
                        <c:v>171</c:v>
                      </c:pt>
                      <c:pt idx="9">
                        <c:v>211.5</c:v>
                      </c:pt>
                      <c:pt idx="10">
                        <c:v>148.69999999999999</c:v>
                      </c:pt>
                      <c:pt idx="11">
                        <c:v>173.3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F3E8-4FCB-9892-79E62896FD71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'Q3 - Food Inflation'!$F$82</c15:sqref>
                        </c15:formulaRef>
                      </c:ext>
                    </c:extLst>
                    <c:strCache>
                      <c:ptCount val="1"/>
                      <c:pt idx="0">
                        <c:v>Change Percentage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'Q3 - Food Inflation'!$B$83:$B$94</c15:sqref>
                        </c15:formulaRef>
                      </c:ext>
                    </c:extLst>
                    <c:strCache>
                      <c:ptCount val="12"/>
                      <c:pt idx="0">
                        <c:v>Spices</c:v>
                      </c:pt>
                      <c:pt idx="1">
                        <c:v>Cereals and products</c:v>
                      </c:pt>
                      <c:pt idx="2">
                        <c:v>Milk and products</c:v>
                      </c:pt>
                      <c:pt idx="3">
                        <c:v>Pulses and products</c:v>
                      </c:pt>
                      <c:pt idx="4">
                        <c:v>Prepared meals, snacks, sweets etc.</c:v>
                      </c:pt>
                      <c:pt idx="5">
                        <c:v>Non-alcoholic beverages</c:v>
                      </c:pt>
                      <c:pt idx="6">
                        <c:v>Fruits</c:v>
                      </c:pt>
                      <c:pt idx="7">
                        <c:v>Sugar and Confectionery</c:v>
                      </c:pt>
                      <c:pt idx="8">
                        <c:v>Egg</c:v>
                      </c:pt>
                      <c:pt idx="9">
                        <c:v>Meat and fish</c:v>
                      </c:pt>
                      <c:pt idx="10">
                        <c:v>Vegetables</c:v>
                      </c:pt>
                      <c:pt idx="11">
                        <c:v>Oils and fats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'Q3 - Food Inflation'!$F$83:$F$94</c15:sqref>
                        </c15:formulaRef>
                      </c:ext>
                    </c:extLst>
                    <c:numCache>
                      <c:formatCode>0.00%</c:formatCode>
                      <c:ptCount val="12"/>
                      <c:pt idx="0">
                        <c:v>0.16993118051879297</c:v>
                      </c:pt>
                      <c:pt idx="1">
                        <c:v>0.12613784135240558</c:v>
                      </c:pt>
                      <c:pt idx="2">
                        <c:v>8.5852478839177682E-2</c:v>
                      </c:pt>
                      <c:pt idx="3">
                        <c:v>6.2575941676792299E-2</c:v>
                      </c:pt>
                      <c:pt idx="4">
                        <c:v>5.0577240241891086E-2</c:v>
                      </c:pt>
                      <c:pt idx="5">
                        <c:v>2.5832376578645237E-2</c:v>
                      </c:pt>
                      <c:pt idx="6">
                        <c:v>1.9300361881785213E-2</c:v>
                      </c:pt>
                      <c:pt idx="7">
                        <c:v>2.350965575146945E-2</c:v>
                      </c:pt>
                      <c:pt idx="8">
                        <c:v>8.2547169811321101E-3</c:v>
                      </c:pt>
                      <c:pt idx="9">
                        <c:v>-2.6243093922651884E-2</c:v>
                      </c:pt>
                      <c:pt idx="10">
                        <c:v>-0.11117752540346695</c:v>
                      </c:pt>
                      <c:pt idx="11">
                        <c:v>-0.16722729456991822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F3E8-4FCB-9892-79E62896FD71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'Q3 - Food Inflation'!$G$82</c15:sqref>
                        </c15:formulaRef>
                      </c:ext>
                    </c:extLst>
                    <c:strCache>
                      <c:ptCount val="1"/>
                      <c:pt idx="0">
                        <c:v>Jun-22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'Q3 - Food Inflation'!$B$83:$B$94</c15:sqref>
                        </c15:formulaRef>
                      </c:ext>
                    </c:extLst>
                    <c:strCache>
                      <c:ptCount val="12"/>
                      <c:pt idx="0">
                        <c:v>Spices</c:v>
                      </c:pt>
                      <c:pt idx="1">
                        <c:v>Cereals and products</c:v>
                      </c:pt>
                      <c:pt idx="2">
                        <c:v>Milk and products</c:v>
                      </c:pt>
                      <c:pt idx="3">
                        <c:v>Pulses and products</c:v>
                      </c:pt>
                      <c:pt idx="4">
                        <c:v>Prepared meals, snacks, sweets etc.</c:v>
                      </c:pt>
                      <c:pt idx="5">
                        <c:v>Non-alcoholic beverages</c:v>
                      </c:pt>
                      <c:pt idx="6">
                        <c:v>Fruits</c:v>
                      </c:pt>
                      <c:pt idx="7">
                        <c:v>Sugar and Confectionery</c:v>
                      </c:pt>
                      <c:pt idx="8">
                        <c:v>Egg</c:v>
                      </c:pt>
                      <c:pt idx="9">
                        <c:v>Meat and fish</c:v>
                      </c:pt>
                      <c:pt idx="10">
                        <c:v>Vegetables</c:v>
                      </c:pt>
                      <c:pt idx="11">
                        <c:v>Oils and fats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'Q3 - Food Inflation'!$G$83:$G$94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183.5</c:v>
                      </c:pt>
                      <c:pt idx="1">
                        <c:v>157.5</c:v>
                      </c:pt>
                      <c:pt idx="2">
                        <c:v>166.4</c:v>
                      </c:pt>
                      <c:pt idx="3">
                        <c:v>163.6</c:v>
                      </c:pt>
                      <c:pt idx="4">
                        <c:v>186.3</c:v>
                      </c:pt>
                      <c:pt idx="5">
                        <c:v>159.1</c:v>
                      </c:pt>
                      <c:pt idx="6">
                        <c:v>174.1</c:v>
                      </c:pt>
                      <c:pt idx="7">
                        <c:v>121.4</c:v>
                      </c:pt>
                      <c:pt idx="8">
                        <c:v>172.8</c:v>
                      </c:pt>
                      <c:pt idx="9">
                        <c:v>223.4</c:v>
                      </c:pt>
                      <c:pt idx="10">
                        <c:v>211.5</c:v>
                      </c:pt>
                      <c:pt idx="11">
                        <c:v>188.6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F3E8-4FCB-9892-79E62896FD71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'Q3 - Food Inflation'!$H$82</c15:sqref>
                        </c15:formulaRef>
                      </c:ext>
                    </c:extLst>
                    <c:strCache>
                      <c:ptCount val="1"/>
                      <c:pt idx="0">
                        <c:v>May-23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'Q3 - Food Inflation'!$B$83:$B$94</c15:sqref>
                        </c15:formulaRef>
                      </c:ext>
                    </c:extLst>
                    <c:strCache>
                      <c:ptCount val="12"/>
                      <c:pt idx="0">
                        <c:v>Spices</c:v>
                      </c:pt>
                      <c:pt idx="1">
                        <c:v>Cereals and products</c:v>
                      </c:pt>
                      <c:pt idx="2">
                        <c:v>Milk and products</c:v>
                      </c:pt>
                      <c:pt idx="3">
                        <c:v>Pulses and products</c:v>
                      </c:pt>
                      <c:pt idx="4">
                        <c:v>Prepared meals, snacks, sweets etc.</c:v>
                      </c:pt>
                      <c:pt idx="5">
                        <c:v>Non-alcoholic beverages</c:v>
                      </c:pt>
                      <c:pt idx="6">
                        <c:v>Fruits</c:v>
                      </c:pt>
                      <c:pt idx="7">
                        <c:v>Sugar and Confectionery</c:v>
                      </c:pt>
                      <c:pt idx="8">
                        <c:v>Egg</c:v>
                      </c:pt>
                      <c:pt idx="9">
                        <c:v>Meat and fish</c:v>
                      </c:pt>
                      <c:pt idx="10">
                        <c:v>Vegetables</c:v>
                      </c:pt>
                      <c:pt idx="11">
                        <c:v>Oils and fats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'Q3 - Food Inflation'!$H$83:$H$94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211.9</c:v>
                      </c:pt>
                      <c:pt idx="1">
                        <c:v>174.7</c:v>
                      </c:pt>
                      <c:pt idx="2">
                        <c:v>179.4</c:v>
                      </c:pt>
                      <c:pt idx="3">
                        <c:v>176.9</c:v>
                      </c:pt>
                      <c:pt idx="4">
                        <c:v>197.7</c:v>
                      </c:pt>
                      <c:pt idx="5">
                        <c:v>165.9</c:v>
                      </c:pt>
                      <c:pt idx="6">
                        <c:v>175.8</c:v>
                      </c:pt>
                      <c:pt idx="7">
                        <c:v>124.2</c:v>
                      </c:pt>
                      <c:pt idx="8">
                        <c:v>176.7</c:v>
                      </c:pt>
                      <c:pt idx="9">
                        <c:v>219.4</c:v>
                      </c:pt>
                      <c:pt idx="10">
                        <c:v>185</c:v>
                      </c:pt>
                      <c:pt idx="11">
                        <c:v>164.4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F3E8-4FCB-9892-79E62896FD71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'Q3 - Food Inflation'!$J$82</c15:sqref>
                        </c15:formulaRef>
                      </c:ext>
                    </c:extLst>
                    <c:strCache>
                      <c:ptCount val="1"/>
                      <c:pt idx="0">
                        <c:v>Change Percentage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'Q3 - Food Inflation'!$B$83:$B$94</c15:sqref>
                        </c15:formulaRef>
                      </c:ext>
                    </c:extLst>
                    <c:strCache>
                      <c:ptCount val="12"/>
                      <c:pt idx="0">
                        <c:v>Spices</c:v>
                      </c:pt>
                      <c:pt idx="1">
                        <c:v>Cereals and products</c:v>
                      </c:pt>
                      <c:pt idx="2">
                        <c:v>Milk and products</c:v>
                      </c:pt>
                      <c:pt idx="3">
                        <c:v>Pulses and products</c:v>
                      </c:pt>
                      <c:pt idx="4">
                        <c:v>Prepared meals, snacks, sweets etc.</c:v>
                      </c:pt>
                      <c:pt idx="5">
                        <c:v>Non-alcoholic beverages</c:v>
                      </c:pt>
                      <c:pt idx="6">
                        <c:v>Fruits</c:v>
                      </c:pt>
                      <c:pt idx="7">
                        <c:v>Sugar and Confectionery</c:v>
                      </c:pt>
                      <c:pt idx="8">
                        <c:v>Egg</c:v>
                      </c:pt>
                      <c:pt idx="9">
                        <c:v>Meat and fish</c:v>
                      </c:pt>
                      <c:pt idx="10">
                        <c:v>Vegetables</c:v>
                      </c:pt>
                      <c:pt idx="11">
                        <c:v>Oils and fats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'Q3 - Food Inflation'!$J$83:$J$94</c15:sqref>
                        </c15:formulaRef>
                      </c:ext>
                    </c:extLst>
                    <c:numCache>
                      <c:formatCode>0.00%</c:formatCode>
                      <c:ptCount val="12"/>
                      <c:pt idx="0">
                        <c:v>0.15476839237057224</c:v>
                      </c:pt>
                      <c:pt idx="1">
                        <c:v>0.10920634920634914</c:v>
                      </c:pt>
                      <c:pt idx="2">
                        <c:v>7.8125E-2</c:v>
                      </c:pt>
                      <c:pt idx="3">
                        <c:v>8.1295843520782465E-2</c:v>
                      </c:pt>
                      <c:pt idx="4">
                        <c:v>6.119162640901759E-2</c:v>
                      </c:pt>
                      <c:pt idx="5">
                        <c:v>4.2740414833438163E-2</c:v>
                      </c:pt>
                      <c:pt idx="6">
                        <c:v>9.7645031591040623E-3</c:v>
                      </c:pt>
                      <c:pt idx="7">
                        <c:v>2.3064250411861591E-2</c:v>
                      </c:pt>
                      <c:pt idx="8">
                        <c:v>2.2569444444444312E-2</c:v>
                      </c:pt>
                      <c:pt idx="9">
                        <c:v>-1.7905102954341987E-2</c:v>
                      </c:pt>
                      <c:pt idx="10">
                        <c:v>-0.12529550827423167</c:v>
                      </c:pt>
                      <c:pt idx="11">
                        <c:v>-0.12831389183457045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F3E8-4FCB-9892-79E62896FD71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'Q3 - Food Inflation'!$K$82</c15:sqref>
                        </c15:formulaRef>
                      </c:ext>
                    </c:extLst>
                    <c:strCache>
                      <c:ptCount val="1"/>
                      <c:pt idx="0">
                        <c:v>Jun-22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'Q3 - Food Inflation'!$B$83:$B$94</c15:sqref>
                        </c15:formulaRef>
                      </c:ext>
                    </c:extLst>
                    <c:strCache>
                      <c:ptCount val="12"/>
                      <c:pt idx="0">
                        <c:v>Spices</c:v>
                      </c:pt>
                      <c:pt idx="1">
                        <c:v>Cereals and products</c:v>
                      </c:pt>
                      <c:pt idx="2">
                        <c:v>Milk and products</c:v>
                      </c:pt>
                      <c:pt idx="3">
                        <c:v>Pulses and products</c:v>
                      </c:pt>
                      <c:pt idx="4">
                        <c:v>Prepared meals, snacks, sweets etc.</c:v>
                      </c:pt>
                      <c:pt idx="5">
                        <c:v>Non-alcoholic beverages</c:v>
                      </c:pt>
                      <c:pt idx="6">
                        <c:v>Fruits</c:v>
                      </c:pt>
                      <c:pt idx="7">
                        <c:v>Sugar and Confectionery</c:v>
                      </c:pt>
                      <c:pt idx="8">
                        <c:v>Egg</c:v>
                      </c:pt>
                      <c:pt idx="9">
                        <c:v>Meat and fish</c:v>
                      </c:pt>
                      <c:pt idx="10">
                        <c:v>Vegetables</c:v>
                      </c:pt>
                      <c:pt idx="11">
                        <c:v>Oils and fats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'Q3 - Food Inflation'!$K$83:$K$94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187.1</c:v>
                      </c:pt>
                      <c:pt idx="1">
                        <c:v>155</c:v>
                      </c:pt>
                      <c:pt idx="2">
                        <c:v>165.8</c:v>
                      </c:pt>
                      <c:pt idx="3">
                        <c:v>164.3</c:v>
                      </c:pt>
                      <c:pt idx="4">
                        <c:v>183.9</c:v>
                      </c:pt>
                      <c:pt idx="5">
                        <c:v>167.9</c:v>
                      </c:pt>
                      <c:pt idx="6">
                        <c:v>169.7</c:v>
                      </c:pt>
                      <c:pt idx="7">
                        <c:v>119.9</c:v>
                      </c:pt>
                      <c:pt idx="8">
                        <c:v>170.8</c:v>
                      </c:pt>
                      <c:pt idx="9">
                        <c:v>219.4</c:v>
                      </c:pt>
                      <c:pt idx="10">
                        <c:v>182.3</c:v>
                      </c:pt>
                      <c:pt idx="11">
                        <c:v>200.9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F3E8-4FCB-9892-79E62896FD71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'Q3 - Food Inflation'!$L$82</c15:sqref>
                        </c15:formulaRef>
                      </c:ext>
                    </c:extLst>
                    <c:strCache>
                      <c:ptCount val="1"/>
                      <c:pt idx="0">
                        <c:v>May-23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'Q3 - Food Inflation'!$B$83:$B$94</c15:sqref>
                        </c15:formulaRef>
                      </c:ext>
                    </c:extLst>
                    <c:strCache>
                      <c:ptCount val="12"/>
                      <c:pt idx="0">
                        <c:v>Spices</c:v>
                      </c:pt>
                      <c:pt idx="1">
                        <c:v>Cereals and products</c:v>
                      </c:pt>
                      <c:pt idx="2">
                        <c:v>Milk and products</c:v>
                      </c:pt>
                      <c:pt idx="3">
                        <c:v>Pulses and products</c:v>
                      </c:pt>
                      <c:pt idx="4">
                        <c:v>Prepared meals, snacks, sweets etc.</c:v>
                      </c:pt>
                      <c:pt idx="5">
                        <c:v>Non-alcoholic beverages</c:v>
                      </c:pt>
                      <c:pt idx="6">
                        <c:v>Fruits</c:v>
                      </c:pt>
                      <c:pt idx="7">
                        <c:v>Sugar and Confectionery</c:v>
                      </c:pt>
                      <c:pt idx="8">
                        <c:v>Egg</c:v>
                      </c:pt>
                      <c:pt idx="9">
                        <c:v>Meat and fish</c:v>
                      </c:pt>
                      <c:pt idx="10">
                        <c:v>Vegetables</c:v>
                      </c:pt>
                      <c:pt idx="11">
                        <c:v>Oils and fats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'Q3 - Food Inflation'!$L$83:$L$94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218</c:v>
                      </c:pt>
                      <c:pt idx="1">
                        <c:v>173.7</c:v>
                      </c:pt>
                      <c:pt idx="2">
                        <c:v>179.5</c:v>
                      </c:pt>
                      <c:pt idx="3">
                        <c:v>175.6</c:v>
                      </c:pt>
                      <c:pt idx="4">
                        <c:v>194.2</c:v>
                      </c:pt>
                      <c:pt idx="5">
                        <c:v>173.4</c:v>
                      </c:pt>
                      <c:pt idx="6">
                        <c:v>172.2</c:v>
                      </c:pt>
                      <c:pt idx="7">
                        <c:v>122.7</c:v>
                      </c:pt>
                      <c:pt idx="8">
                        <c:v>173.2</c:v>
                      </c:pt>
                      <c:pt idx="9">
                        <c:v>214.3</c:v>
                      </c:pt>
                      <c:pt idx="10">
                        <c:v>161</c:v>
                      </c:pt>
                      <c:pt idx="11">
                        <c:v>170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F3E8-4FCB-9892-79E62896FD71}"/>
                  </c:ext>
                </c:extLst>
              </c15:ser>
            </c15:filteredBarSeries>
            <c15:filteredBa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'Q3 - Food Inflation'!$N$82</c15:sqref>
                        </c15:formulaRef>
                      </c:ext>
                    </c:extLst>
                    <c:strCache>
                      <c:ptCount val="1"/>
                      <c:pt idx="0">
                        <c:v>Change Percentage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'Q3 - Food Inflation'!$B$83:$B$94</c15:sqref>
                        </c15:formulaRef>
                      </c:ext>
                    </c:extLst>
                    <c:strCache>
                      <c:ptCount val="12"/>
                      <c:pt idx="0">
                        <c:v>Spices</c:v>
                      </c:pt>
                      <c:pt idx="1">
                        <c:v>Cereals and products</c:v>
                      </c:pt>
                      <c:pt idx="2">
                        <c:v>Milk and products</c:v>
                      </c:pt>
                      <c:pt idx="3">
                        <c:v>Pulses and products</c:v>
                      </c:pt>
                      <c:pt idx="4">
                        <c:v>Prepared meals, snacks, sweets etc.</c:v>
                      </c:pt>
                      <c:pt idx="5">
                        <c:v>Non-alcoholic beverages</c:v>
                      </c:pt>
                      <c:pt idx="6">
                        <c:v>Fruits</c:v>
                      </c:pt>
                      <c:pt idx="7">
                        <c:v>Sugar and Confectionery</c:v>
                      </c:pt>
                      <c:pt idx="8">
                        <c:v>Egg</c:v>
                      </c:pt>
                      <c:pt idx="9">
                        <c:v>Meat and fish</c:v>
                      </c:pt>
                      <c:pt idx="10">
                        <c:v>Vegetables</c:v>
                      </c:pt>
                      <c:pt idx="11">
                        <c:v>Oils and fats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'Q3 - Food Inflation'!$N$83:$N$94</c15:sqref>
                        </c15:formulaRef>
                      </c:ext>
                    </c:extLst>
                    <c:numCache>
                      <c:formatCode>0.00%</c:formatCode>
                      <c:ptCount val="12"/>
                      <c:pt idx="0">
                        <c:v>0.16515232495991453</c:v>
                      </c:pt>
                      <c:pt idx="1">
                        <c:v>0.1206451612903225</c:v>
                      </c:pt>
                      <c:pt idx="2">
                        <c:v>8.2629674306393175E-2</c:v>
                      </c:pt>
                      <c:pt idx="3">
                        <c:v>6.8776628119293873E-2</c:v>
                      </c:pt>
                      <c:pt idx="4">
                        <c:v>5.6008700380641561E-2</c:v>
                      </c:pt>
                      <c:pt idx="5">
                        <c:v>3.2757593805836809E-2</c:v>
                      </c:pt>
                      <c:pt idx="6">
                        <c:v>1.4731879787860933E-2</c:v>
                      </c:pt>
                      <c:pt idx="7">
                        <c:v>2.3352793994995805E-2</c:v>
                      </c:pt>
                      <c:pt idx="8">
                        <c:v>1.4051522248243426E-2</c:v>
                      </c:pt>
                      <c:pt idx="9">
                        <c:v>-2.3245214220601614E-2</c:v>
                      </c:pt>
                      <c:pt idx="10">
                        <c:v>-0.11684037301151953</c:v>
                      </c:pt>
                      <c:pt idx="11">
                        <c:v>-0.15380786460925835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F3E8-4FCB-9892-79E62896FD71}"/>
                  </c:ext>
                </c:extLst>
              </c15:ser>
            </c15:filteredBarSeries>
          </c:ext>
        </c:extLst>
      </c:barChart>
      <c:catAx>
        <c:axId val="131532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accent2">
              <a:lumMod val="60000"/>
              <a:lumOff val="4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197551"/>
        <c:crosses val="autoZero"/>
        <c:auto val="1"/>
        <c:lblAlgn val="ctr"/>
        <c:lblOffset val="100"/>
        <c:noMultiLvlLbl val="0"/>
      </c:catAx>
      <c:valAx>
        <c:axId val="1201197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532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accent2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0"/>
          <c:order val="10"/>
          <c:tx>
            <c:v>Health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'Q4 - COVID Impact'!$B$139:$B$145</c:f>
              <c:numCache>
                <c:formatCode>mmm/yyyy</c:formatCode>
                <c:ptCount val="7"/>
                <c:pt idx="0">
                  <c:v>42795</c:v>
                </c:pt>
                <c:pt idx="1">
                  <c:v>43160</c:v>
                </c:pt>
                <c:pt idx="2">
                  <c:v>43525</c:v>
                </c:pt>
                <c:pt idx="3">
                  <c:v>43891</c:v>
                </c:pt>
                <c:pt idx="4">
                  <c:v>44256</c:v>
                </c:pt>
                <c:pt idx="5">
                  <c:v>44621</c:v>
                </c:pt>
                <c:pt idx="6">
                  <c:v>44986</c:v>
                </c:pt>
              </c:numCache>
            </c:numRef>
          </c:cat>
          <c:val>
            <c:numRef>
              <c:f>'Q4 - COVID Impact'!$M$139:$M$145</c:f>
              <c:numCache>
                <c:formatCode>0.00%</c:formatCode>
                <c:ptCount val="7"/>
                <c:pt idx="0">
                  <c:v>3.9869812855980402E-2</c:v>
                </c:pt>
                <c:pt idx="1">
                  <c:v>5.0860719874804491E-2</c:v>
                </c:pt>
                <c:pt idx="2">
                  <c:v>8.8607594936708681E-2</c:v>
                </c:pt>
                <c:pt idx="3">
                  <c:v>4.1723666210670474E-2</c:v>
                </c:pt>
                <c:pt idx="4">
                  <c:v>6.1720288903479817E-2</c:v>
                </c:pt>
                <c:pt idx="5">
                  <c:v>6.9882498453927105E-2</c:v>
                </c:pt>
                <c:pt idx="6">
                  <c:v>6.589595375722547E-2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50A1-412A-A728-C10CB4AAD50B}"/>
            </c:ext>
          </c:extLst>
        </c:ser>
        <c:ser>
          <c:idx val="11"/>
          <c:order val="11"/>
          <c:tx>
            <c:v>Food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'Q4 - COVID Impact'!$B$139:$B$145</c:f>
              <c:numCache>
                <c:formatCode>mmm/yyyy</c:formatCode>
                <c:ptCount val="7"/>
                <c:pt idx="0">
                  <c:v>42795</c:v>
                </c:pt>
                <c:pt idx="1">
                  <c:v>43160</c:v>
                </c:pt>
                <c:pt idx="2">
                  <c:v>43525</c:v>
                </c:pt>
                <c:pt idx="3">
                  <c:v>43891</c:v>
                </c:pt>
                <c:pt idx="4">
                  <c:v>44256</c:v>
                </c:pt>
                <c:pt idx="5">
                  <c:v>44621</c:v>
                </c:pt>
                <c:pt idx="6">
                  <c:v>44986</c:v>
                </c:pt>
              </c:numCache>
            </c:numRef>
          </c:cat>
          <c:val>
            <c:numRef>
              <c:f>'Q4 - COVID Impact'!$N$139:$N$145</c:f>
              <c:numCache>
                <c:formatCode>0.00%</c:formatCode>
                <c:ptCount val="7"/>
                <c:pt idx="0">
                  <c:v>2.6142099132910632E-2</c:v>
                </c:pt>
                <c:pt idx="1">
                  <c:v>2.0809685962920921E-2</c:v>
                </c:pt>
                <c:pt idx="2">
                  <c:v>3.7064492216456633E-3</c:v>
                </c:pt>
                <c:pt idx="3">
                  <c:v>7.4901526341703481E-2</c:v>
                </c:pt>
                <c:pt idx="4">
                  <c:v>7.7984540509590569E-2</c:v>
                </c:pt>
                <c:pt idx="5">
                  <c:v>7.069634036224591E-2</c:v>
                </c:pt>
                <c:pt idx="6">
                  <c:v>4.286139497966044E-2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50A1-412A-A728-C10CB4AAD50B}"/>
            </c:ext>
          </c:extLst>
        </c:ser>
        <c:ser>
          <c:idx val="12"/>
          <c:order val="12"/>
          <c:tx>
            <c:v>Fuel and Light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'Q4 - COVID Impact'!$B$139:$B$145</c:f>
              <c:numCache>
                <c:formatCode>mmm/yyyy</c:formatCode>
                <c:ptCount val="7"/>
                <c:pt idx="0">
                  <c:v>42795</c:v>
                </c:pt>
                <c:pt idx="1">
                  <c:v>43160</c:v>
                </c:pt>
                <c:pt idx="2">
                  <c:v>43525</c:v>
                </c:pt>
                <c:pt idx="3">
                  <c:v>43891</c:v>
                </c:pt>
                <c:pt idx="4">
                  <c:v>44256</c:v>
                </c:pt>
                <c:pt idx="5">
                  <c:v>44621</c:v>
                </c:pt>
                <c:pt idx="6">
                  <c:v>44986</c:v>
                </c:pt>
              </c:numCache>
            </c:numRef>
          </c:cat>
          <c:val>
            <c:numRef>
              <c:f>'Q4 - COVID Impact'!$O$139:$O$145</c:f>
              <c:numCache>
                <c:formatCode>0.00%</c:formatCode>
                <c:ptCount val="7"/>
                <c:pt idx="0">
                  <c:v>5.4738562091503171E-2</c:v>
                </c:pt>
                <c:pt idx="1">
                  <c:v>5.7319907048799426E-2</c:v>
                </c:pt>
                <c:pt idx="2">
                  <c:v>2.344322344322336E-2</c:v>
                </c:pt>
                <c:pt idx="3">
                  <c:v>6.585540443808173E-2</c:v>
                </c:pt>
                <c:pt idx="4">
                  <c:v>4.4325050369375382E-2</c:v>
                </c:pt>
                <c:pt idx="5">
                  <c:v>7.5241157556270019E-2</c:v>
                </c:pt>
                <c:pt idx="6">
                  <c:v>8.7918660287081452E-2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50A1-412A-A728-C10CB4AAD50B}"/>
            </c:ext>
          </c:extLst>
        </c:ser>
        <c:ser>
          <c:idx val="13"/>
          <c:order val="13"/>
          <c:tx>
            <c:v>Transport and Communication</c:v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'Q4 - COVID Impact'!$B$139:$B$145</c:f>
              <c:numCache>
                <c:formatCode>mmm/yyyy</c:formatCode>
                <c:ptCount val="7"/>
                <c:pt idx="0">
                  <c:v>42795</c:v>
                </c:pt>
                <c:pt idx="1">
                  <c:v>43160</c:v>
                </c:pt>
                <c:pt idx="2">
                  <c:v>43525</c:v>
                </c:pt>
                <c:pt idx="3">
                  <c:v>43891</c:v>
                </c:pt>
                <c:pt idx="4">
                  <c:v>44256</c:v>
                </c:pt>
                <c:pt idx="5">
                  <c:v>44621</c:v>
                </c:pt>
                <c:pt idx="6">
                  <c:v>44986</c:v>
                </c:pt>
              </c:numCache>
            </c:numRef>
          </c:cat>
          <c:val>
            <c:numRef>
              <c:f>'Q4 - COVID Impact'!$P$139:$P$145</c:f>
              <c:numCache>
                <c:formatCode>0.00%</c:formatCode>
                <c:ptCount val="7"/>
                <c:pt idx="0">
                  <c:v>6.0414788097384924E-2</c:v>
                </c:pt>
                <c:pt idx="1">
                  <c:v>2.891156462585039E-2</c:v>
                </c:pt>
                <c:pt idx="2">
                  <c:v>2.9752066115702431E-2</c:v>
                </c:pt>
                <c:pt idx="3">
                  <c:v>4.2536115569823528E-2</c:v>
                </c:pt>
                <c:pt idx="4">
                  <c:v>0.12548113933795213</c:v>
                </c:pt>
                <c:pt idx="5">
                  <c:v>8.0027359781121868E-2</c:v>
                </c:pt>
                <c:pt idx="6">
                  <c:v>3.9898670044331744E-2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50A1-412A-A728-C10CB4AAD50B}"/>
            </c:ext>
          </c:extLst>
        </c:ser>
        <c:ser>
          <c:idx val="14"/>
          <c:order val="14"/>
          <c:tx>
            <c:v>General Index</c:v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'Q4 - COVID Impact'!$B$139:$B$145</c:f>
              <c:numCache>
                <c:formatCode>mmm/yyyy</c:formatCode>
                <c:ptCount val="7"/>
                <c:pt idx="0">
                  <c:v>42795</c:v>
                </c:pt>
                <c:pt idx="1">
                  <c:v>43160</c:v>
                </c:pt>
                <c:pt idx="2">
                  <c:v>43525</c:v>
                </c:pt>
                <c:pt idx="3">
                  <c:v>43891</c:v>
                </c:pt>
                <c:pt idx="4">
                  <c:v>44256</c:v>
                </c:pt>
                <c:pt idx="5">
                  <c:v>44621</c:v>
                </c:pt>
                <c:pt idx="6">
                  <c:v>44986</c:v>
                </c:pt>
              </c:numCache>
            </c:numRef>
          </c:cat>
          <c:val>
            <c:numRef>
              <c:f>'Q4 - COVID Impact'!$Q$139:$Q$145</c:f>
              <c:numCache>
                <c:formatCode>0.00%</c:formatCode>
                <c:ptCount val="7"/>
                <c:pt idx="0">
                  <c:v>3.8888888888888931E-2</c:v>
                </c:pt>
                <c:pt idx="1">
                  <c:v>4.278074866310156E-2</c:v>
                </c:pt>
                <c:pt idx="2">
                  <c:v>2.8571428571428612E-2</c:v>
                </c:pt>
                <c:pt idx="3">
                  <c:v>5.840455840455832E-2</c:v>
                </c:pt>
                <c:pt idx="4">
                  <c:v>5.5181695827725558E-2</c:v>
                </c:pt>
                <c:pt idx="5">
                  <c:v>6.9515306122448828E-2</c:v>
                </c:pt>
                <c:pt idx="6">
                  <c:v>5.6648777579010143E-2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50A1-412A-A728-C10CB4AAD50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4269215"/>
        <c:axId val="1201208591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'Q4 - COVID Impact'!$C$138</c15:sqref>
                        </c15:formulaRef>
                      </c:ext>
                    </c:extLst>
                    <c:strCache>
                      <c:ptCount val="1"/>
                      <c:pt idx="0">
                        <c:v>Health Inflation (R)</c:v>
                      </c:pt>
                    </c:strCache>
                  </c:strRef>
                </c:tx>
                <c:spPr>
                  <a:ln w="28575" cap="rnd">
                    <a:solidFill>
                      <a:srgbClr val="002060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1000" b="0" i="0" u="none" strike="noStrike" kern="1200" baseline="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'Q4 - COVID Impact'!$B$139:$B$145</c15:sqref>
                        </c15:formulaRef>
                      </c:ext>
                    </c:extLst>
                    <c:numCache>
                      <c:formatCode>mmm/yyyy</c:formatCode>
                      <c:ptCount val="7"/>
                      <c:pt idx="0">
                        <c:v>42795</c:v>
                      </c:pt>
                      <c:pt idx="1">
                        <c:v>43160</c:v>
                      </c:pt>
                      <c:pt idx="2">
                        <c:v>43525</c:v>
                      </c:pt>
                      <c:pt idx="3">
                        <c:v>43891</c:v>
                      </c:pt>
                      <c:pt idx="4">
                        <c:v>44256</c:v>
                      </c:pt>
                      <c:pt idx="5">
                        <c:v>44621</c:v>
                      </c:pt>
                      <c:pt idx="6">
                        <c:v>44986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'Q4 - COVID Impact'!$C$139:$C$145</c15:sqref>
                        </c15:formulaRef>
                      </c:ext>
                    </c:extLst>
                    <c:numCache>
                      <c:formatCode>0.00%</c:formatCode>
                      <c:ptCount val="7"/>
                      <c:pt idx="0">
                        <c:v>4.6474358974358955E-2</c:v>
                      </c:pt>
                      <c:pt idx="1">
                        <c:v>4.6707503828483876E-2</c:v>
                      </c:pt>
                      <c:pt idx="2">
                        <c:v>0.10021945866861755</c:v>
                      </c:pt>
                      <c:pt idx="3">
                        <c:v>4.1888297872340309E-2</c:v>
                      </c:pt>
                      <c:pt idx="4">
                        <c:v>5.0414805360561622E-2</c:v>
                      </c:pt>
                      <c:pt idx="5">
                        <c:v>6.9258809234507931E-2</c:v>
                      </c:pt>
                      <c:pt idx="6">
                        <c:v>6.0227272727272692E-2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50A1-412A-A728-C10CB4AAD50B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'Q4 - COVID Impact'!$D$138</c15:sqref>
                        </c15:formulaRef>
                      </c:ext>
                    </c:extLst>
                    <c:strCache>
                      <c:ptCount val="1"/>
                      <c:pt idx="0">
                        <c:v>Food Inflation (R)</c:v>
                      </c:pt>
                    </c:strCache>
                  </c:strRef>
                </c:tx>
                <c:spPr>
                  <a:ln w="28575" cap="rnd">
                    <a:solidFill>
                      <a:srgbClr val="7030A0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1000" b="0" i="0" u="none" strike="noStrike" kern="1200" baseline="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'Q4 - COVID Impact'!$B$139:$B$145</c15:sqref>
                        </c15:formulaRef>
                      </c:ext>
                    </c:extLst>
                    <c:numCache>
                      <c:formatCode>mmm/yyyy</c:formatCode>
                      <c:ptCount val="7"/>
                      <c:pt idx="0">
                        <c:v>42795</c:v>
                      </c:pt>
                      <c:pt idx="1">
                        <c:v>43160</c:v>
                      </c:pt>
                      <c:pt idx="2">
                        <c:v>43525</c:v>
                      </c:pt>
                      <c:pt idx="3">
                        <c:v>43891</c:v>
                      </c:pt>
                      <c:pt idx="4">
                        <c:v>44256</c:v>
                      </c:pt>
                      <c:pt idx="5">
                        <c:v>44621</c:v>
                      </c:pt>
                      <c:pt idx="6">
                        <c:v>44986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'Q4 - COVID Impact'!$D$139:$D$145</c15:sqref>
                        </c15:formulaRef>
                      </c:ext>
                    </c:extLst>
                    <c:numCache>
                      <c:formatCode>0.00%</c:formatCode>
                      <c:ptCount val="7"/>
                      <c:pt idx="0">
                        <c:v>2.7571989950396152E-2</c:v>
                      </c:pt>
                      <c:pt idx="1">
                        <c:v>3.0280233214218372E-2</c:v>
                      </c:pt>
                      <c:pt idx="2">
                        <c:v>-1.1865644395764671E-2</c:v>
                      </c:pt>
                      <c:pt idx="3">
                        <c:v>7.5435679536916933E-2</c:v>
                      </c:pt>
                      <c:pt idx="4">
                        <c:v>7.1461291800275106E-2</c:v>
                      </c:pt>
                      <c:pt idx="5">
                        <c:v>7.5513039760581477E-2</c:v>
                      </c:pt>
                      <c:pt idx="6">
                        <c:v>3.9006211180124165E-2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50A1-412A-A728-C10CB4AAD50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'Q4 - COVID Impact'!$E$138</c15:sqref>
                        </c15:formulaRef>
                      </c:ext>
                    </c:extLst>
                    <c:strCache>
                      <c:ptCount val="1"/>
                      <c:pt idx="0">
                        <c:v>Fuel and light Inflation (R)</c:v>
                      </c:pt>
                    </c:strCache>
                  </c:strRef>
                </c:tx>
                <c:spPr>
                  <a:ln w="28575" cap="rnd">
                    <a:solidFill>
                      <a:srgbClr val="00B0F0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1000" b="0" i="0" u="none" strike="noStrike" kern="1200" baseline="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'Q4 - COVID Impact'!$B$139:$B$145</c15:sqref>
                        </c15:formulaRef>
                      </c:ext>
                    </c:extLst>
                    <c:numCache>
                      <c:formatCode>mmm/yyyy</c:formatCode>
                      <c:ptCount val="7"/>
                      <c:pt idx="0">
                        <c:v>42795</c:v>
                      </c:pt>
                      <c:pt idx="1">
                        <c:v>43160</c:v>
                      </c:pt>
                      <c:pt idx="2">
                        <c:v>43525</c:v>
                      </c:pt>
                      <c:pt idx="3">
                        <c:v>43891</c:v>
                      </c:pt>
                      <c:pt idx="4">
                        <c:v>44256</c:v>
                      </c:pt>
                      <c:pt idx="5">
                        <c:v>44621</c:v>
                      </c:pt>
                      <c:pt idx="6">
                        <c:v>44986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'Q4 - COVID Impact'!$E$139:$E$145</c15:sqref>
                        </c15:formulaRef>
                      </c:ext>
                    </c:extLst>
                    <c:numCache>
                      <c:formatCode>0.00%</c:formatCode>
                      <c:ptCount val="7"/>
                      <c:pt idx="0">
                        <c:v>5.6692913385826681E-2</c:v>
                      </c:pt>
                      <c:pt idx="1">
                        <c:v>6.2593144560357722E-2</c:v>
                      </c:pt>
                      <c:pt idx="2">
                        <c:v>2.6647966339411019E-2</c:v>
                      </c:pt>
                      <c:pt idx="3">
                        <c:v>4.7814207650273222E-2</c:v>
                      </c:pt>
                      <c:pt idx="4">
                        <c:v>1.6949152542372843E-2</c:v>
                      </c:pt>
                      <c:pt idx="5">
                        <c:v>8.2692307692307732E-2</c:v>
                      </c:pt>
                      <c:pt idx="6">
                        <c:v>7.4008288928359978E-2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0A1-412A-A728-C10CB4AAD50B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'Q4 - COVID Impact'!$F$138</c15:sqref>
                        </c15:formulaRef>
                      </c:ext>
                    </c:extLst>
                    <c:strCache>
                      <c:ptCount val="1"/>
                      <c:pt idx="0">
                        <c:v>Transport and communication Inflation (R)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75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1000" b="0" i="0" u="none" strike="noStrike" kern="1200" baseline="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'Q4 - COVID Impact'!$B$139:$B$145</c15:sqref>
                        </c15:formulaRef>
                      </c:ext>
                    </c:extLst>
                    <c:numCache>
                      <c:formatCode>mmm/yyyy</c:formatCode>
                      <c:ptCount val="7"/>
                      <c:pt idx="0">
                        <c:v>42795</c:v>
                      </c:pt>
                      <c:pt idx="1">
                        <c:v>43160</c:v>
                      </c:pt>
                      <c:pt idx="2">
                        <c:v>43525</c:v>
                      </c:pt>
                      <c:pt idx="3">
                        <c:v>43891</c:v>
                      </c:pt>
                      <c:pt idx="4">
                        <c:v>44256</c:v>
                      </c:pt>
                      <c:pt idx="5">
                        <c:v>44621</c:v>
                      </c:pt>
                      <c:pt idx="6">
                        <c:v>44986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'Q4 - COVID Impact'!$F$139:$F$145</c15:sqref>
                        </c15:formulaRef>
                      </c:ext>
                    </c:extLst>
                    <c:numCache>
                      <c:formatCode>0.00%</c:formatCode>
                      <c:ptCount val="7"/>
                      <c:pt idx="0">
                        <c:v>5.4577464788732419E-2</c:v>
                      </c:pt>
                      <c:pt idx="1">
                        <c:v>4.0066777963272099E-2</c:v>
                      </c:pt>
                      <c:pt idx="2">
                        <c:v>4.2536115569823528E-2</c:v>
                      </c:pt>
                      <c:pt idx="3">
                        <c:v>4.5419553502694422E-2</c:v>
                      </c:pt>
                      <c:pt idx="4">
                        <c:v>0.11413843888070692</c:v>
                      </c:pt>
                      <c:pt idx="5">
                        <c:v>7.0720423000660865E-2</c:v>
                      </c:pt>
                      <c:pt idx="6">
                        <c:v>4.3209876543209874E-2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0A1-412A-A728-C10CB4AAD50B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'Q4 - COVID Impact'!$G$138</c15:sqref>
                        </c15:formulaRef>
                      </c:ext>
                    </c:extLst>
                    <c:strCache>
                      <c:ptCount val="1"/>
                      <c:pt idx="0">
                        <c:v>General index Inflation (R)</c:v>
                      </c:pt>
                    </c:strCache>
                  </c:strRef>
                </c:tx>
                <c:spPr>
                  <a:ln w="28575" cap="rnd">
                    <a:solidFill>
                      <a:srgbClr val="FF0000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1000" b="0" i="0" u="none" strike="noStrike" kern="1200" baseline="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'Q4 - COVID Impact'!$B$139:$B$145</c15:sqref>
                        </c15:formulaRef>
                      </c:ext>
                    </c:extLst>
                    <c:numCache>
                      <c:formatCode>mmm/yyyy</c:formatCode>
                      <c:ptCount val="7"/>
                      <c:pt idx="0">
                        <c:v>42795</c:v>
                      </c:pt>
                      <c:pt idx="1">
                        <c:v>43160</c:v>
                      </c:pt>
                      <c:pt idx="2">
                        <c:v>43525</c:v>
                      </c:pt>
                      <c:pt idx="3">
                        <c:v>43891</c:v>
                      </c:pt>
                      <c:pt idx="4">
                        <c:v>44256</c:v>
                      </c:pt>
                      <c:pt idx="5">
                        <c:v>44621</c:v>
                      </c:pt>
                      <c:pt idx="6">
                        <c:v>44986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'Q4 - COVID Impact'!$G$139:$G$145</c15:sqref>
                        </c15:formulaRef>
                      </c:ext>
                    </c:extLst>
                    <c:numCache>
                      <c:formatCode>0.00%</c:formatCode>
                      <c:ptCount val="7"/>
                      <c:pt idx="0">
                        <c:v>3.7500000000000089E-2</c:v>
                      </c:pt>
                      <c:pt idx="1">
                        <c:v>4.4427710843373318E-2</c:v>
                      </c:pt>
                      <c:pt idx="2">
                        <c:v>1.8024513338139873E-2</c:v>
                      </c:pt>
                      <c:pt idx="3">
                        <c:v>6.090651558073671E-2</c:v>
                      </c:pt>
                      <c:pt idx="4">
                        <c:v>4.6061415220293569E-2</c:v>
                      </c:pt>
                      <c:pt idx="5">
                        <c:v>7.6579451180599875E-2</c:v>
                      </c:pt>
                      <c:pt idx="6">
                        <c:v>5.5127445168939013E-2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0A1-412A-A728-C10CB4AAD50B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'Q4 - COVID Impact'!$H$138</c15:sqref>
                        </c15:formulaRef>
                      </c:ext>
                    </c:extLst>
                    <c:strCache>
                      <c:ptCount val="1"/>
                      <c:pt idx="0">
                        <c:v>Health Inflation (U)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1000" b="0" i="0" u="none" strike="noStrike" kern="1200" baseline="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'Q4 - COVID Impact'!$B$139:$B$145</c15:sqref>
                        </c15:formulaRef>
                      </c:ext>
                    </c:extLst>
                    <c:numCache>
                      <c:formatCode>mmm/yyyy</c:formatCode>
                      <c:ptCount val="7"/>
                      <c:pt idx="0">
                        <c:v>42795</c:v>
                      </c:pt>
                      <c:pt idx="1">
                        <c:v>43160</c:v>
                      </c:pt>
                      <c:pt idx="2">
                        <c:v>43525</c:v>
                      </c:pt>
                      <c:pt idx="3">
                        <c:v>43891</c:v>
                      </c:pt>
                      <c:pt idx="4">
                        <c:v>44256</c:v>
                      </c:pt>
                      <c:pt idx="5">
                        <c:v>44621</c:v>
                      </c:pt>
                      <c:pt idx="6">
                        <c:v>44986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'Q4 - COVID Impact'!$H$139:$H$145</c15:sqref>
                        </c15:formulaRef>
                      </c:ext>
                    </c:extLst>
                    <c:numCache>
                      <c:formatCode>0.00%</c:formatCode>
                      <c:ptCount val="7"/>
                      <c:pt idx="0">
                        <c:v>2.8404344193817807E-2</c:v>
                      </c:pt>
                      <c:pt idx="1">
                        <c:v>6.0113728675873321E-2</c:v>
                      </c:pt>
                      <c:pt idx="2">
                        <c:v>6.6666666666666582E-2</c:v>
                      </c:pt>
                      <c:pt idx="3">
                        <c:v>4.1666666666666755E-2</c:v>
                      </c:pt>
                      <c:pt idx="4">
                        <c:v>8.2068965517241424E-2</c:v>
                      </c:pt>
                      <c:pt idx="5">
                        <c:v>7.2020395156150302E-2</c:v>
                      </c:pt>
                      <c:pt idx="6">
                        <c:v>7.4910820451843191E-2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0A1-412A-A728-C10CB4AAD50B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'Q4 - COVID Impact'!$I$138</c15:sqref>
                        </c15:formulaRef>
                      </c:ext>
                    </c:extLst>
                    <c:strCache>
                      <c:ptCount val="1"/>
                      <c:pt idx="0">
                        <c:v>Food Inflation (U)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1000" b="0" i="0" u="none" strike="noStrike" kern="1200" baseline="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'Q4 - COVID Impact'!$B$139:$B$145</c15:sqref>
                        </c15:formulaRef>
                      </c:ext>
                    </c:extLst>
                    <c:numCache>
                      <c:formatCode>mmm/yyyy</c:formatCode>
                      <c:ptCount val="7"/>
                      <c:pt idx="0">
                        <c:v>42795</c:v>
                      </c:pt>
                      <c:pt idx="1">
                        <c:v>43160</c:v>
                      </c:pt>
                      <c:pt idx="2">
                        <c:v>43525</c:v>
                      </c:pt>
                      <c:pt idx="3">
                        <c:v>43891</c:v>
                      </c:pt>
                      <c:pt idx="4">
                        <c:v>44256</c:v>
                      </c:pt>
                      <c:pt idx="5">
                        <c:v>44621</c:v>
                      </c:pt>
                      <c:pt idx="6">
                        <c:v>44986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'Q4 - COVID Impact'!$I$139:$I$145</c15:sqref>
                        </c15:formulaRef>
                      </c:ext>
                    </c:extLst>
                    <c:numCache>
                      <c:formatCode>0.00%</c:formatCode>
                      <c:ptCount val="7"/>
                      <c:pt idx="0">
                        <c:v>2.2356534737115807E-2</c:v>
                      </c:pt>
                      <c:pt idx="1">
                        <c:v>4.8312249698047862E-3</c:v>
                      </c:pt>
                      <c:pt idx="2">
                        <c:v>3.0429556525590089E-2</c:v>
                      </c:pt>
                      <c:pt idx="3">
                        <c:v>7.3428290766208257E-2</c:v>
                      </c:pt>
                      <c:pt idx="4">
                        <c:v>8.9052848318462344E-2</c:v>
                      </c:pt>
                      <c:pt idx="5">
                        <c:v>6.3389527860931882E-2</c:v>
                      </c:pt>
                      <c:pt idx="6">
                        <c:v>4.8301066772026731E-2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50A1-412A-A728-C10CB4AAD50B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'Q4 - COVID Impact'!$J$138</c15:sqref>
                        </c15:formulaRef>
                      </c:ext>
                    </c:extLst>
                    <c:strCache>
                      <c:ptCount val="1"/>
                      <c:pt idx="0">
                        <c:v>Fuel and light Inflation (U)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1000" b="0" i="0" u="none" strike="noStrike" kern="1200" baseline="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'Q4 - COVID Impact'!$B$139:$B$145</c15:sqref>
                        </c15:formulaRef>
                      </c:ext>
                    </c:extLst>
                    <c:numCache>
                      <c:formatCode>mmm/yyyy</c:formatCode>
                      <c:ptCount val="7"/>
                      <c:pt idx="0">
                        <c:v>42795</c:v>
                      </c:pt>
                      <c:pt idx="1">
                        <c:v>43160</c:v>
                      </c:pt>
                      <c:pt idx="2">
                        <c:v>43525</c:v>
                      </c:pt>
                      <c:pt idx="3">
                        <c:v>43891</c:v>
                      </c:pt>
                      <c:pt idx="4">
                        <c:v>44256</c:v>
                      </c:pt>
                      <c:pt idx="5">
                        <c:v>44621</c:v>
                      </c:pt>
                      <c:pt idx="6">
                        <c:v>44986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'Q4 - COVID Impact'!$J$139:$J$145</c15:sqref>
                        </c15:formulaRef>
                      </c:ext>
                    </c:extLst>
                    <c:numCache>
                      <c:formatCode>0.00%</c:formatCode>
                      <c:ptCount val="7"/>
                      <c:pt idx="0">
                        <c:v>5.2264808362369339E-2</c:v>
                      </c:pt>
                      <c:pt idx="1">
                        <c:v>4.6357615894039805E-2</c:v>
                      </c:pt>
                      <c:pt idx="2">
                        <c:v>1.8987341772151944E-2</c:v>
                      </c:pt>
                      <c:pt idx="3">
                        <c:v>9.7826086956521688E-2</c:v>
                      </c:pt>
                      <c:pt idx="4">
                        <c:v>9.4766619519094805E-2</c:v>
                      </c:pt>
                      <c:pt idx="5">
                        <c:v>6.2661498708010258E-2</c:v>
                      </c:pt>
                      <c:pt idx="6">
                        <c:v>0.11003039513677808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50A1-412A-A728-C10CB4AAD50B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'Q4 - COVID Impact'!$K$138</c15:sqref>
                        </c15:formulaRef>
                      </c:ext>
                    </c:extLst>
                    <c:strCache>
                      <c:ptCount val="1"/>
                      <c:pt idx="0">
                        <c:v>Transport and communication Inflation (U)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1000" b="0" i="0" u="none" strike="noStrike" kern="1200" baseline="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'Q4 - COVID Impact'!$B$139:$B$145</c15:sqref>
                        </c15:formulaRef>
                      </c:ext>
                    </c:extLst>
                    <c:numCache>
                      <c:formatCode>mmm/yyyy</c:formatCode>
                      <c:ptCount val="7"/>
                      <c:pt idx="0">
                        <c:v>42795</c:v>
                      </c:pt>
                      <c:pt idx="1">
                        <c:v>43160</c:v>
                      </c:pt>
                      <c:pt idx="2">
                        <c:v>43525</c:v>
                      </c:pt>
                      <c:pt idx="3">
                        <c:v>43891</c:v>
                      </c:pt>
                      <c:pt idx="4">
                        <c:v>44256</c:v>
                      </c:pt>
                      <c:pt idx="5">
                        <c:v>44621</c:v>
                      </c:pt>
                      <c:pt idx="6">
                        <c:v>44986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'Q4 - COVID Impact'!$K$139:$K$145</c15:sqref>
                        </c15:formulaRef>
                      </c:ext>
                    </c:extLst>
                    <c:numCache>
                      <c:formatCode>0.00%</c:formatCode>
                      <c:ptCount val="7"/>
                      <c:pt idx="0">
                        <c:v>6.5437788018433127E-2</c:v>
                      </c:pt>
                      <c:pt idx="1">
                        <c:v>1.9031141868512135E-2</c:v>
                      </c:pt>
                      <c:pt idx="2">
                        <c:v>1.7826825127334536E-2</c:v>
                      </c:pt>
                      <c:pt idx="3">
                        <c:v>3.9199332777314334E-2</c:v>
                      </c:pt>
                      <c:pt idx="4">
                        <c:v>0.13723916532905292</c:v>
                      </c:pt>
                      <c:pt idx="5">
                        <c:v>8.8214537755822164E-2</c:v>
                      </c:pt>
                      <c:pt idx="6">
                        <c:v>3.6316472114137632E-2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50A1-412A-A728-C10CB4AAD50B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'Q4 - COVID Impact'!$L$138</c15:sqref>
                        </c15:formulaRef>
                      </c:ext>
                    </c:extLst>
                    <c:strCache>
                      <c:ptCount val="1"/>
                      <c:pt idx="0">
                        <c:v>General index Inflation (U)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1000" b="0" i="0" u="none" strike="noStrike" kern="1200" baseline="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'Q4 - COVID Impact'!$B$139:$B$145</c15:sqref>
                        </c15:formulaRef>
                      </c:ext>
                    </c:extLst>
                    <c:numCache>
                      <c:formatCode>mmm/yyyy</c:formatCode>
                      <c:ptCount val="7"/>
                      <c:pt idx="0">
                        <c:v>42795</c:v>
                      </c:pt>
                      <c:pt idx="1">
                        <c:v>43160</c:v>
                      </c:pt>
                      <c:pt idx="2">
                        <c:v>43525</c:v>
                      </c:pt>
                      <c:pt idx="3">
                        <c:v>43891</c:v>
                      </c:pt>
                      <c:pt idx="4">
                        <c:v>44256</c:v>
                      </c:pt>
                      <c:pt idx="5">
                        <c:v>44621</c:v>
                      </c:pt>
                      <c:pt idx="6">
                        <c:v>44986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'Q4 - COVID Impact'!$L$139:$L$145</c15:sqref>
                        </c15:formulaRef>
                      </c:ext>
                    </c:extLst>
                    <c:numCache>
                      <c:formatCode>0.00%</c:formatCode>
                      <c:ptCount val="7"/>
                      <c:pt idx="0">
                        <c:v>3.9579967689822228E-2</c:v>
                      </c:pt>
                      <c:pt idx="1">
                        <c:v>4.1181041181041274E-2</c:v>
                      </c:pt>
                      <c:pt idx="2">
                        <c:v>4.1044776119402986E-2</c:v>
                      </c:pt>
                      <c:pt idx="3">
                        <c:v>5.5913978494623741E-2</c:v>
                      </c:pt>
                      <c:pt idx="4">
                        <c:v>6.5173116089612987E-2</c:v>
                      </c:pt>
                      <c:pt idx="5">
                        <c:v>6.1185468451242793E-2</c:v>
                      </c:pt>
                      <c:pt idx="6">
                        <c:v>5.8858858858858928E-2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50A1-412A-A728-C10CB4AAD50B}"/>
                  </c:ext>
                </c:extLst>
              </c15:ser>
            </c15:filteredLineSeries>
          </c:ext>
        </c:extLst>
      </c:lineChart>
      <c:catAx>
        <c:axId val="154269215"/>
        <c:scaling>
          <c:orientation val="minMax"/>
        </c:scaling>
        <c:delete val="0"/>
        <c:axPos val="b"/>
        <c:numFmt formatCode="mmm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208591"/>
        <c:crossesAt val="0"/>
        <c:auto val="0"/>
        <c:lblAlgn val="ctr"/>
        <c:lblOffset val="100"/>
        <c:noMultiLvlLbl val="0"/>
      </c:catAx>
      <c:valAx>
        <c:axId val="1201208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269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5"/>
          <c:order val="5"/>
          <c:tx>
            <c:v>Health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'Q4 - COVID Impact'!$B$139:$B$145</c:f>
              <c:numCache>
                <c:formatCode>mmm/yyyy</c:formatCode>
                <c:ptCount val="7"/>
                <c:pt idx="0">
                  <c:v>42795</c:v>
                </c:pt>
                <c:pt idx="1">
                  <c:v>43160</c:v>
                </c:pt>
                <c:pt idx="2">
                  <c:v>43525</c:v>
                </c:pt>
                <c:pt idx="3">
                  <c:v>43891</c:v>
                </c:pt>
                <c:pt idx="4">
                  <c:v>44256</c:v>
                </c:pt>
                <c:pt idx="5">
                  <c:v>44621</c:v>
                </c:pt>
                <c:pt idx="6">
                  <c:v>44986</c:v>
                </c:pt>
              </c:numCache>
              <c:extLst xmlns:c15="http://schemas.microsoft.com/office/drawing/2012/chart"/>
            </c:numRef>
          </c:cat>
          <c:val>
            <c:numRef>
              <c:f>'Q4 - COVID Impact'!$H$139:$H$145</c:f>
              <c:numCache>
                <c:formatCode>0.00%</c:formatCode>
                <c:ptCount val="7"/>
                <c:pt idx="0">
                  <c:v>2.8404344193817807E-2</c:v>
                </c:pt>
                <c:pt idx="1">
                  <c:v>6.0113728675873321E-2</c:v>
                </c:pt>
                <c:pt idx="2">
                  <c:v>6.6666666666666582E-2</c:v>
                </c:pt>
                <c:pt idx="3">
                  <c:v>4.1666666666666755E-2</c:v>
                </c:pt>
                <c:pt idx="4">
                  <c:v>8.2068965517241424E-2</c:v>
                </c:pt>
                <c:pt idx="5">
                  <c:v>7.2020395156150302E-2</c:v>
                </c:pt>
                <c:pt idx="6">
                  <c:v>7.4910820451843191E-2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50A1-412A-A728-C10CB4AAD50B}"/>
            </c:ext>
          </c:extLst>
        </c:ser>
        <c:ser>
          <c:idx val="6"/>
          <c:order val="6"/>
          <c:tx>
            <c:v>Food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'Q4 - COVID Impact'!$B$139:$B$145</c:f>
              <c:numCache>
                <c:formatCode>mmm/yyyy</c:formatCode>
                <c:ptCount val="7"/>
                <c:pt idx="0">
                  <c:v>42795</c:v>
                </c:pt>
                <c:pt idx="1">
                  <c:v>43160</c:v>
                </c:pt>
                <c:pt idx="2">
                  <c:v>43525</c:v>
                </c:pt>
                <c:pt idx="3">
                  <c:v>43891</c:v>
                </c:pt>
                <c:pt idx="4">
                  <c:v>44256</c:v>
                </c:pt>
                <c:pt idx="5">
                  <c:v>44621</c:v>
                </c:pt>
                <c:pt idx="6">
                  <c:v>44986</c:v>
                </c:pt>
              </c:numCache>
              <c:extLst xmlns:c15="http://schemas.microsoft.com/office/drawing/2012/chart"/>
            </c:numRef>
          </c:cat>
          <c:val>
            <c:numRef>
              <c:f>'Q4 - COVID Impact'!$I$139:$I$145</c:f>
              <c:numCache>
                <c:formatCode>0.00%</c:formatCode>
                <c:ptCount val="7"/>
                <c:pt idx="0">
                  <c:v>2.2356534737115807E-2</c:v>
                </c:pt>
                <c:pt idx="1">
                  <c:v>4.8312249698047862E-3</c:v>
                </c:pt>
                <c:pt idx="2">
                  <c:v>3.0429556525590089E-2</c:v>
                </c:pt>
                <c:pt idx="3">
                  <c:v>7.3428290766208257E-2</c:v>
                </c:pt>
                <c:pt idx="4">
                  <c:v>8.9052848318462344E-2</c:v>
                </c:pt>
                <c:pt idx="5">
                  <c:v>6.3389527860931882E-2</c:v>
                </c:pt>
                <c:pt idx="6">
                  <c:v>4.8301066772026731E-2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50A1-412A-A728-C10CB4AAD50B}"/>
            </c:ext>
          </c:extLst>
        </c:ser>
        <c:ser>
          <c:idx val="7"/>
          <c:order val="7"/>
          <c:tx>
            <c:v>Fuel and Light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'Q4 - COVID Impact'!$B$139:$B$145</c:f>
              <c:numCache>
                <c:formatCode>mmm/yyyy</c:formatCode>
                <c:ptCount val="7"/>
                <c:pt idx="0">
                  <c:v>42795</c:v>
                </c:pt>
                <c:pt idx="1">
                  <c:v>43160</c:v>
                </c:pt>
                <c:pt idx="2">
                  <c:v>43525</c:v>
                </c:pt>
                <c:pt idx="3">
                  <c:v>43891</c:v>
                </c:pt>
                <c:pt idx="4">
                  <c:v>44256</c:v>
                </c:pt>
                <c:pt idx="5">
                  <c:v>44621</c:v>
                </c:pt>
                <c:pt idx="6">
                  <c:v>44986</c:v>
                </c:pt>
              </c:numCache>
              <c:extLst xmlns:c15="http://schemas.microsoft.com/office/drawing/2012/chart"/>
            </c:numRef>
          </c:cat>
          <c:val>
            <c:numRef>
              <c:f>'Q4 - COVID Impact'!$J$139:$J$145</c:f>
              <c:numCache>
                <c:formatCode>0.00%</c:formatCode>
                <c:ptCount val="7"/>
                <c:pt idx="0">
                  <c:v>5.2264808362369339E-2</c:v>
                </c:pt>
                <c:pt idx="1">
                  <c:v>4.6357615894039805E-2</c:v>
                </c:pt>
                <c:pt idx="2">
                  <c:v>1.8987341772151944E-2</c:v>
                </c:pt>
                <c:pt idx="3">
                  <c:v>9.7826086956521688E-2</c:v>
                </c:pt>
                <c:pt idx="4">
                  <c:v>9.4766619519094805E-2</c:v>
                </c:pt>
                <c:pt idx="5">
                  <c:v>6.2661498708010258E-2</c:v>
                </c:pt>
                <c:pt idx="6">
                  <c:v>0.11003039513677808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F-50A1-412A-A728-C10CB4AAD50B}"/>
            </c:ext>
          </c:extLst>
        </c:ser>
        <c:ser>
          <c:idx val="8"/>
          <c:order val="8"/>
          <c:tx>
            <c:v>Transport and Communication</c:v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'Q4 - COVID Impact'!$B$139:$B$145</c:f>
              <c:numCache>
                <c:formatCode>mmm/yyyy</c:formatCode>
                <c:ptCount val="7"/>
                <c:pt idx="0">
                  <c:v>42795</c:v>
                </c:pt>
                <c:pt idx="1">
                  <c:v>43160</c:v>
                </c:pt>
                <c:pt idx="2">
                  <c:v>43525</c:v>
                </c:pt>
                <c:pt idx="3">
                  <c:v>43891</c:v>
                </c:pt>
                <c:pt idx="4">
                  <c:v>44256</c:v>
                </c:pt>
                <c:pt idx="5">
                  <c:v>44621</c:v>
                </c:pt>
                <c:pt idx="6">
                  <c:v>44986</c:v>
                </c:pt>
              </c:numCache>
              <c:extLst xmlns:c15="http://schemas.microsoft.com/office/drawing/2012/chart"/>
            </c:numRef>
          </c:cat>
          <c:val>
            <c:numRef>
              <c:f>'Q4 - COVID Impact'!$K$139:$K$145</c:f>
              <c:numCache>
                <c:formatCode>0.00%</c:formatCode>
                <c:ptCount val="7"/>
                <c:pt idx="0">
                  <c:v>6.5437788018433127E-2</c:v>
                </c:pt>
                <c:pt idx="1">
                  <c:v>1.9031141868512135E-2</c:v>
                </c:pt>
                <c:pt idx="2">
                  <c:v>1.7826825127334536E-2</c:v>
                </c:pt>
                <c:pt idx="3">
                  <c:v>3.9199332777314334E-2</c:v>
                </c:pt>
                <c:pt idx="4">
                  <c:v>0.13723916532905292</c:v>
                </c:pt>
                <c:pt idx="5">
                  <c:v>8.8214537755822164E-2</c:v>
                </c:pt>
                <c:pt idx="6">
                  <c:v>3.6316472114137632E-2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0-50A1-412A-A728-C10CB4AAD50B}"/>
            </c:ext>
          </c:extLst>
        </c:ser>
        <c:ser>
          <c:idx val="9"/>
          <c:order val="9"/>
          <c:tx>
            <c:v>General Index</c:v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'Q4 - COVID Impact'!$B$139:$B$145</c:f>
              <c:numCache>
                <c:formatCode>mmm/yyyy</c:formatCode>
                <c:ptCount val="7"/>
                <c:pt idx="0">
                  <c:v>42795</c:v>
                </c:pt>
                <c:pt idx="1">
                  <c:v>43160</c:v>
                </c:pt>
                <c:pt idx="2">
                  <c:v>43525</c:v>
                </c:pt>
                <c:pt idx="3">
                  <c:v>43891</c:v>
                </c:pt>
                <c:pt idx="4">
                  <c:v>44256</c:v>
                </c:pt>
                <c:pt idx="5">
                  <c:v>44621</c:v>
                </c:pt>
                <c:pt idx="6">
                  <c:v>44986</c:v>
                </c:pt>
              </c:numCache>
              <c:extLst xmlns:c15="http://schemas.microsoft.com/office/drawing/2012/chart"/>
            </c:numRef>
          </c:cat>
          <c:val>
            <c:numRef>
              <c:f>'Q4 - COVID Impact'!$L$139:$L$145</c:f>
              <c:numCache>
                <c:formatCode>0.00%</c:formatCode>
                <c:ptCount val="7"/>
                <c:pt idx="0">
                  <c:v>3.9579967689822228E-2</c:v>
                </c:pt>
                <c:pt idx="1">
                  <c:v>4.1181041181041274E-2</c:v>
                </c:pt>
                <c:pt idx="2">
                  <c:v>4.1044776119402986E-2</c:v>
                </c:pt>
                <c:pt idx="3">
                  <c:v>5.5913978494623741E-2</c:v>
                </c:pt>
                <c:pt idx="4">
                  <c:v>6.5173116089612987E-2</c:v>
                </c:pt>
                <c:pt idx="5">
                  <c:v>6.1185468451242793E-2</c:v>
                </c:pt>
                <c:pt idx="6">
                  <c:v>5.8858858858858928E-2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1-50A1-412A-A728-C10CB4AAD50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4269215"/>
        <c:axId val="1201208591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'Q4 - COVID Impact'!$C$138</c15:sqref>
                        </c15:formulaRef>
                      </c:ext>
                    </c:extLst>
                    <c:strCache>
                      <c:ptCount val="1"/>
                      <c:pt idx="0">
                        <c:v>Health Inflation (R)</c:v>
                      </c:pt>
                    </c:strCache>
                  </c:strRef>
                </c:tx>
                <c:spPr>
                  <a:ln w="28575" cap="rnd">
                    <a:solidFill>
                      <a:srgbClr val="002060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'Q4 - COVID Impact'!$B$139:$B$145</c15:sqref>
                        </c15:formulaRef>
                      </c:ext>
                    </c:extLst>
                    <c:numCache>
                      <c:formatCode>mmm/yyyy</c:formatCode>
                      <c:ptCount val="7"/>
                      <c:pt idx="0">
                        <c:v>42795</c:v>
                      </c:pt>
                      <c:pt idx="1">
                        <c:v>43160</c:v>
                      </c:pt>
                      <c:pt idx="2">
                        <c:v>43525</c:v>
                      </c:pt>
                      <c:pt idx="3">
                        <c:v>43891</c:v>
                      </c:pt>
                      <c:pt idx="4">
                        <c:v>44256</c:v>
                      </c:pt>
                      <c:pt idx="5">
                        <c:v>44621</c:v>
                      </c:pt>
                      <c:pt idx="6">
                        <c:v>44986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'Q4 - COVID Impact'!$C$139:$C$145</c15:sqref>
                        </c15:formulaRef>
                      </c:ext>
                    </c:extLst>
                    <c:numCache>
                      <c:formatCode>0.00%</c:formatCode>
                      <c:ptCount val="7"/>
                      <c:pt idx="0">
                        <c:v>4.6474358974358955E-2</c:v>
                      </c:pt>
                      <c:pt idx="1">
                        <c:v>4.6707503828483876E-2</c:v>
                      </c:pt>
                      <c:pt idx="2">
                        <c:v>0.10021945866861755</c:v>
                      </c:pt>
                      <c:pt idx="3">
                        <c:v>4.1888297872340309E-2</c:v>
                      </c:pt>
                      <c:pt idx="4">
                        <c:v>5.0414805360561622E-2</c:v>
                      </c:pt>
                      <c:pt idx="5">
                        <c:v>6.9258809234507931E-2</c:v>
                      </c:pt>
                      <c:pt idx="6">
                        <c:v>6.0227272727272692E-2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50A1-412A-A728-C10CB4AAD50B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'Q4 - COVID Impact'!$D$138</c15:sqref>
                        </c15:formulaRef>
                      </c:ext>
                    </c:extLst>
                    <c:strCache>
                      <c:ptCount val="1"/>
                      <c:pt idx="0">
                        <c:v>Food Inflation (R)</c:v>
                      </c:pt>
                    </c:strCache>
                  </c:strRef>
                </c:tx>
                <c:spPr>
                  <a:ln w="28575" cap="rnd">
                    <a:solidFill>
                      <a:srgbClr val="7030A0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'Q4 - COVID Impact'!$B$139:$B$145</c15:sqref>
                        </c15:formulaRef>
                      </c:ext>
                    </c:extLst>
                    <c:numCache>
                      <c:formatCode>mmm/yyyy</c:formatCode>
                      <c:ptCount val="7"/>
                      <c:pt idx="0">
                        <c:v>42795</c:v>
                      </c:pt>
                      <c:pt idx="1">
                        <c:v>43160</c:v>
                      </c:pt>
                      <c:pt idx="2">
                        <c:v>43525</c:v>
                      </c:pt>
                      <c:pt idx="3">
                        <c:v>43891</c:v>
                      </c:pt>
                      <c:pt idx="4">
                        <c:v>44256</c:v>
                      </c:pt>
                      <c:pt idx="5">
                        <c:v>44621</c:v>
                      </c:pt>
                      <c:pt idx="6">
                        <c:v>44986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'Q4 - COVID Impact'!$D$139:$D$145</c15:sqref>
                        </c15:formulaRef>
                      </c:ext>
                    </c:extLst>
                    <c:numCache>
                      <c:formatCode>0.00%</c:formatCode>
                      <c:ptCount val="7"/>
                      <c:pt idx="0">
                        <c:v>2.7571989950396152E-2</c:v>
                      </c:pt>
                      <c:pt idx="1">
                        <c:v>3.0280233214218372E-2</c:v>
                      </c:pt>
                      <c:pt idx="2">
                        <c:v>-1.1865644395764671E-2</c:v>
                      </c:pt>
                      <c:pt idx="3">
                        <c:v>7.5435679536916933E-2</c:v>
                      </c:pt>
                      <c:pt idx="4">
                        <c:v>7.1461291800275106E-2</c:v>
                      </c:pt>
                      <c:pt idx="5">
                        <c:v>7.5513039760581477E-2</c:v>
                      </c:pt>
                      <c:pt idx="6">
                        <c:v>3.9006211180124165E-2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50A1-412A-A728-C10CB4AAD50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'Q4 - COVID Impact'!$E$138</c15:sqref>
                        </c15:formulaRef>
                      </c:ext>
                    </c:extLst>
                    <c:strCache>
                      <c:ptCount val="1"/>
                      <c:pt idx="0">
                        <c:v>Fuel and light Inflation (R)</c:v>
                      </c:pt>
                    </c:strCache>
                  </c:strRef>
                </c:tx>
                <c:spPr>
                  <a:ln w="28575" cap="rnd">
                    <a:solidFill>
                      <a:srgbClr val="00B0F0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'Q4 - COVID Impact'!$B$139:$B$145</c15:sqref>
                        </c15:formulaRef>
                      </c:ext>
                    </c:extLst>
                    <c:numCache>
                      <c:formatCode>mmm/yyyy</c:formatCode>
                      <c:ptCount val="7"/>
                      <c:pt idx="0">
                        <c:v>42795</c:v>
                      </c:pt>
                      <c:pt idx="1">
                        <c:v>43160</c:v>
                      </c:pt>
                      <c:pt idx="2">
                        <c:v>43525</c:v>
                      </c:pt>
                      <c:pt idx="3">
                        <c:v>43891</c:v>
                      </c:pt>
                      <c:pt idx="4">
                        <c:v>44256</c:v>
                      </c:pt>
                      <c:pt idx="5">
                        <c:v>44621</c:v>
                      </c:pt>
                      <c:pt idx="6">
                        <c:v>44986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'Q4 - COVID Impact'!$E$139:$E$145</c15:sqref>
                        </c15:formulaRef>
                      </c:ext>
                    </c:extLst>
                    <c:numCache>
                      <c:formatCode>0.00%</c:formatCode>
                      <c:ptCount val="7"/>
                      <c:pt idx="0">
                        <c:v>5.6692913385826681E-2</c:v>
                      </c:pt>
                      <c:pt idx="1">
                        <c:v>6.2593144560357722E-2</c:v>
                      </c:pt>
                      <c:pt idx="2">
                        <c:v>2.6647966339411019E-2</c:v>
                      </c:pt>
                      <c:pt idx="3">
                        <c:v>4.7814207650273222E-2</c:v>
                      </c:pt>
                      <c:pt idx="4">
                        <c:v>1.6949152542372843E-2</c:v>
                      </c:pt>
                      <c:pt idx="5">
                        <c:v>8.2692307692307732E-2</c:v>
                      </c:pt>
                      <c:pt idx="6">
                        <c:v>7.4008288928359978E-2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0A1-412A-A728-C10CB4AAD50B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'Q4 - COVID Impact'!$F$138</c15:sqref>
                        </c15:formulaRef>
                      </c:ext>
                    </c:extLst>
                    <c:strCache>
                      <c:ptCount val="1"/>
                      <c:pt idx="0">
                        <c:v>Transport and communication Inflation (R)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75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'Q4 - COVID Impact'!$B$139:$B$145</c15:sqref>
                        </c15:formulaRef>
                      </c:ext>
                    </c:extLst>
                    <c:numCache>
                      <c:formatCode>mmm/yyyy</c:formatCode>
                      <c:ptCount val="7"/>
                      <c:pt idx="0">
                        <c:v>42795</c:v>
                      </c:pt>
                      <c:pt idx="1">
                        <c:v>43160</c:v>
                      </c:pt>
                      <c:pt idx="2">
                        <c:v>43525</c:v>
                      </c:pt>
                      <c:pt idx="3">
                        <c:v>43891</c:v>
                      </c:pt>
                      <c:pt idx="4">
                        <c:v>44256</c:v>
                      </c:pt>
                      <c:pt idx="5">
                        <c:v>44621</c:v>
                      </c:pt>
                      <c:pt idx="6">
                        <c:v>44986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'Q4 - COVID Impact'!$F$139:$F$145</c15:sqref>
                        </c15:formulaRef>
                      </c:ext>
                    </c:extLst>
                    <c:numCache>
                      <c:formatCode>0.00%</c:formatCode>
                      <c:ptCount val="7"/>
                      <c:pt idx="0">
                        <c:v>5.4577464788732419E-2</c:v>
                      </c:pt>
                      <c:pt idx="1">
                        <c:v>4.0066777963272099E-2</c:v>
                      </c:pt>
                      <c:pt idx="2">
                        <c:v>4.2536115569823528E-2</c:v>
                      </c:pt>
                      <c:pt idx="3">
                        <c:v>4.5419553502694422E-2</c:v>
                      </c:pt>
                      <c:pt idx="4">
                        <c:v>0.11413843888070692</c:v>
                      </c:pt>
                      <c:pt idx="5">
                        <c:v>7.0720423000660865E-2</c:v>
                      </c:pt>
                      <c:pt idx="6">
                        <c:v>4.3209876543209874E-2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0A1-412A-A728-C10CB4AAD50B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'Q4 - COVID Impact'!$G$138</c15:sqref>
                        </c15:formulaRef>
                      </c:ext>
                    </c:extLst>
                    <c:strCache>
                      <c:ptCount val="1"/>
                      <c:pt idx="0">
                        <c:v>General index Inflation (R)</c:v>
                      </c:pt>
                    </c:strCache>
                  </c:strRef>
                </c:tx>
                <c:spPr>
                  <a:ln w="28575" cap="rnd">
                    <a:solidFill>
                      <a:srgbClr val="FF0000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'Q4 - COVID Impact'!$B$139:$B$145</c15:sqref>
                        </c15:formulaRef>
                      </c:ext>
                    </c:extLst>
                    <c:numCache>
                      <c:formatCode>mmm/yyyy</c:formatCode>
                      <c:ptCount val="7"/>
                      <c:pt idx="0">
                        <c:v>42795</c:v>
                      </c:pt>
                      <c:pt idx="1">
                        <c:v>43160</c:v>
                      </c:pt>
                      <c:pt idx="2">
                        <c:v>43525</c:v>
                      </c:pt>
                      <c:pt idx="3">
                        <c:v>43891</c:v>
                      </c:pt>
                      <c:pt idx="4">
                        <c:v>44256</c:v>
                      </c:pt>
                      <c:pt idx="5">
                        <c:v>44621</c:v>
                      </c:pt>
                      <c:pt idx="6">
                        <c:v>44986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'Q4 - COVID Impact'!$G$139:$G$145</c15:sqref>
                        </c15:formulaRef>
                      </c:ext>
                    </c:extLst>
                    <c:numCache>
                      <c:formatCode>0.00%</c:formatCode>
                      <c:ptCount val="7"/>
                      <c:pt idx="0">
                        <c:v>3.7500000000000089E-2</c:v>
                      </c:pt>
                      <c:pt idx="1">
                        <c:v>4.4427710843373318E-2</c:v>
                      </c:pt>
                      <c:pt idx="2">
                        <c:v>1.8024513338139873E-2</c:v>
                      </c:pt>
                      <c:pt idx="3">
                        <c:v>6.090651558073671E-2</c:v>
                      </c:pt>
                      <c:pt idx="4">
                        <c:v>4.6061415220293569E-2</c:v>
                      </c:pt>
                      <c:pt idx="5">
                        <c:v>7.6579451180599875E-2</c:v>
                      </c:pt>
                      <c:pt idx="6">
                        <c:v>5.5127445168939013E-2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0A1-412A-A728-C10CB4AAD50B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v>Health Inflation</c:v>
                </c:tx>
                <c:spPr>
                  <a:ln w="28575" cap="rnd">
                    <a:solidFill>
                      <a:schemeClr val="accent6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'Q4 - COVID Impact'!$B$139:$B$145</c15:sqref>
                        </c15:formulaRef>
                      </c:ext>
                    </c:extLst>
                    <c:numCache>
                      <c:formatCode>mmm/yyyy</c:formatCode>
                      <c:ptCount val="7"/>
                      <c:pt idx="0">
                        <c:v>42795</c:v>
                      </c:pt>
                      <c:pt idx="1">
                        <c:v>43160</c:v>
                      </c:pt>
                      <c:pt idx="2">
                        <c:v>43525</c:v>
                      </c:pt>
                      <c:pt idx="3">
                        <c:v>43891</c:v>
                      </c:pt>
                      <c:pt idx="4">
                        <c:v>44256</c:v>
                      </c:pt>
                      <c:pt idx="5">
                        <c:v>44621</c:v>
                      </c:pt>
                      <c:pt idx="6">
                        <c:v>44986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'Q4 - COVID Impact'!$M$139:$M$145</c15:sqref>
                        </c15:formulaRef>
                      </c:ext>
                    </c:extLst>
                    <c:numCache>
                      <c:formatCode>0.00%</c:formatCode>
                      <c:ptCount val="7"/>
                      <c:pt idx="0">
                        <c:v>3.9869812855980402E-2</c:v>
                      </c:pt>
                      <c:pt idx="1">
                        <c:v>5.0860719874804491E-2</c:v>
                      </c:pt>
                      <c:pt idx="2">
                        <c:v>8.8607594936708681E-2</c:v>
                      </c:pt>
                      <c:pt idx="3">
                        <c:v>4.1723666210670474E-2</c:v>
                      </c:pt>
                      <c:pt idx="4">
                        <c:v>6.1720288903479817E-2</c:v>
                      </c:pt>
                      <c:pt idx="5">
                        <c:v>6.9882498453927105E-2</c:v>
                      </c:pt>
                      <c:pt idx="6">
                        <c:v>6.589595375722547E-2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50A1-412A-A728-C10CB4AAD50B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v>Food Inflation</c:v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'Q4 - COVID Impact'!$B$139:$B$145</c15:sqref>
                        </c15:formulaRef>
                      </c:ext>
                    </c:extLst>
                    <c:numCache>
                      <c:formatCode>mmm/yyyy</c:formatCode>
                      <c:ptCount val="7"/>
                      <c:pt idx="0">
                        <c:v>42795</c:v>
                      </c:pt>
                      <c:pt idx="1">
                        <c:v>43160</c:v>
                      </c:pt>
                      <c:pt idx="2">
                        <c:v>43525</c:v>
                      </c:pt>
                      <c:pt idx="3">
                        <c:v>43891</c:v>
                      </c:pt>
                      <c:pt idx="4">
                        <c:v>44256</c:v>
                      </c:pt>
                      <c:pt idx="5">
                        <c:v>44621</c:v>
                      </c:pt>
                      <c:pt idx="6">
                        <c:v>44986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'Q4 - COVID Impact'!$N$139:$N$145</c15:sqref>
                        </c15:formulaRef>
                      </c:ext>
                    </c:extLst>
                    <c:numCache>
                      <c:formatCode>0.00%</c:formatCode>
                      <c:ptCount val="7"/>
                      <c:pt idx="0">
                        <c:v>2.6142099132910632E-2</c:v>
                      </c:pt>
                      <c:pt idx="1">
                        <c:v>2.0809685962920921E-2</c:v>
                      </c:pt>
                      <c:pt idx="2">
                        <c:v>3.7064492216456633E-3</c:v>
                      </c:pt>
                      <c:pt idx="3">
                        <c:v>7.4901526341703481E-2</c:v>
                      </c:pt>
                      <c:pt idx="4">
                        <c:v>7.7984540509590569E-2</c:v>
                      </c:pt>
                      <c:pt idx="5">
                        <c:v>7.069634036224591E-2</c:v>
                      </c:pt>
                      <c:pt idx="6">
                        <c:v>4.286139497966044E-2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50A1-412A-A728-C10CB4AAD50B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v>Fuel and Light Inflation</c:v>
                </c:tx>
                <c:spPr>
                  <a:ln w="28575" cap="rnd">
                    <a:solidFill>
                      <a:srgbClr val="002060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'Q4 - COVID Impact'!$B$139:$B$145</c15:sqref>
                        </c15:formulaRef>
                      </c:ext>
                    </c:extLst>
                    <c:numCache>
                      <c:formatCode>mmm/yyyy</c:formatCode>
                      <c:ptCount val="7"/>
                      <c:pt idx="0">
                        <c:v>42795</c:v>
                      </c:pt>
                      <c:pt idx="1">
                        <c:v>43160</c:v>
                      </c:pt>
                      <c:pt idx="2">
                        <c:v>43525</c:v>
                      </c:pt>
                      <c:pt idx="3">
                        <c:v>43891</c:v>
                      </c:pt>
                      <c:pt idx="4">
                        <c:v>44256</c:v>
                      </c:pt>
                      <c:pt idx="5">
                        <c:v>44621</c:v>
                      </c:pt>
                      <c:pt idx="6">
                        <c:v>44986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'Q4 - COVID Impact'!$O$139:$O$145</c15:sqref>
                        </c15:formulaRef>
                      </c:ext>
                    </c:extLst>
                    <c:numCache>
                      <c:formatCode>0.00%</c:formatCode>
                      <c:ptCount val="7"/>
                      <c:pt idx="0">
                        <c:v>5.4738562091503171E-2</c:v>
                      </c:pt>
                      <c:pt idx="1">
                        <c:v>5.7319907048799426E-2</c:v>
                      </c:pt>
                      <c:pt idx="2">
                        <c:v>2.344322344322336E-2</c:v>
                      </c:pt>
                      <c:pt idx="3">
                        <c:v>6.585540443808173E-2</c:v>
                      </c:pt>
                      <c:pt idx="4">
                        <c:v>4.4325050369375382E-2</c:v>
                      </c:pt>
                      <c:pt idx="5">
                        <c:v>7.5241157556270019E-2</c:v>
                      </c:pt>
                      <c:pt idx="6">
                        <c:v>8.7918660287081452E-2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50A1-412A-A728-C10CB4AAD50B}"/>
                  </c:ext>
                </c:extLst>
              </c15:ser>
            </c15:filteredLineSeries>
            <c15:filteredLineSeries>
              <c15:ser>
                <c:idx val="13"/>
                <c:order val="13"/>
                <c:tx>
                  <c:v>Transport and Communication Inflation</c:v>
                </c:tx>
                <c:spPr>
                  <a:ln w="28575" cap="rnd">
                    <a:solidFill>
                      <a:srgbClr val="0070C0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'Q4 - COVID Impact'!$B$139:$B$145</c15:sqref>
                        </c15:formulaRef>
                      </c:ext>
                    </c:extLst>
                    <c:numCache>
                      <c:formatCode>mmm/yyyy</c:formatCode>
                      <c:ptCount val="7"/>
                      <c:pt idx="0">
                        <c:v>42795</c:v>
                      </c:pt>
                      <c:pt idx="1">
                        <c:v>43160</c:v>
                      </c:pt>
                      <c:pt idx="2">
                        <c:v>43525</c:v>
                      </c:pt>
                      <c:pt idx="3">
                        <c:v>43891</c:v>
                      </c:pt>
                      <c:pt idx="4">
                        <c:v>44256</c:v>
                      </c:pt>
                      <c:pt idx="5">
                        <c:v>44621</c:v>
                      </c:pt>
                      <c:pt idx="6">
                        <c:v>44986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'Q4 - COVID Impact'!$P$139:$P$145</c15:sqref>
                        </c15:formulaRef>
                      </c:ext>
                    </c:extLst>
                    <c:numCache>
                      <c:formatCode>0.00%</c:formatCode>
                      <c:ptCount val="7"/>
                      <c:pt idx="0">
                        <c:v>6.0414788097384924E-2</c:v>
                      </c:pt>
                      <c:pt idx="1">
                        <c:v>2.891156462585039E-2</c:v>
                      </c:pt>
                      <c:pt idx="2">
                        <c:v>2.9752066115702431E-2</c:v>
                      </c:pt>
                      <c:pt idx="3">
                        <c:v>4.2536115569823528E-2</c:v>
                      </c:pt>
                      <c:pt idx="4">
                        <c:v>0.12548113933795213</c:v>
                      </c:pt>
                      <c:pt idx="5">
                        <c:v>8.0027359781121868E-2</c:v>
                      </c:pt>
                      <c:pt idx="6">
                        <c:v>3.9898670044331744E-2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50A1-412A-A728-C10CB4AAD50B}"/>
                  </c:ext>
                </c:extLst>
              </c15:ser>
            </c15:filteredLineSeries>
            <c15:filteredLineSeries>
              <c15:ser>
                <c:idx val="14"/>
                <c:order val="14"/>
                <c:tx>
                  <c:v>General Index Inflation</c:v>
                </c:tx>
                <c:spPr>
                  <a:ln w="28575" cap="rnd">
                    <a:solidFill>
                      <a:srgbClr val="C00000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'Q4 - COVID Impact'!$B$139:$B$145</c15:sqref>
                        </c15:formulaRef>
                      </c:ext>
                    </c:extLst>
                    <c:numCache>
                      <c:formatCode>mmm/yyyy</c:formatCode>
                      <c:ptCount val="7"/>
                      <c:pt idx="0">
                        <c:v>42795</c:v>
                      </c:pt>
                      <c:pt idx="1">
                        <c:v>43160</c:v>
                      </c:pt>
                      <c:pt idx="2">
                        <c:v>43525</c:v>
                      </c:pt>
                      <c:pt idx="3">
                        <c:v>43891</c:v>
                      </c:pt>
                      <c:pt idx="4">
                        <c:v>44256</c:v>
                      </c:pt>
                      <c:pt idx="5">
                        <c:v>44621</c:v>
                      </c:pt>
                      <c:pt idx="6">
                        <c:v>44986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'Q4 - COVID Impact'!$Q$139:$Q$145</c15:sqref>
                        </c15:formulaRef>
                      </c:ext>
                    </c:extLst>
                    <c:numCache>
                      <c:formatCode>0.00%</c:formatCode>
                      <c:ptCount val="7"/>
                      <c:pt idx="0">
                        <c:v>3.8888888888888931E-2</c:v>
                      </c:pt>
                      <c:pt idx="1">
                        <c:v>4.278074866310156E-2</c:v>
                      </c:pt>
                      <c:pt idx="2">
                        <c:v>2.8571428571428612E-2</c:v>
                      </c:pt>
                      <c:pt idx="3">
                        <c:v>5.840455840455832E-2</c:v>
                      </c:pt>
                      <c:pt idx="4">
                        <c:v>5.5181695827725558E-2</c:v>
                      </c:pt>
                      <c:pt idx="5">
                        <c:v>6.9515306122448828E-2</c:v>
                      </c:pt>
                      <c:pt idx="6">
                        <c:v>5.6648777579010143E-2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50A1-412A-A728-C10CB4AAD50B}"/>
                  </c:ext>
                </c:extLst>
              </c15:ser>
            </c15:filteredLineSeries>
          </c:ext>
        </c:extLst>
      </c:lineChart>
      <c:catAx>
        <c:axId val="154269215"/>
        <c:scaling>
          <c:orientation val="minMax"/>
        </c:scaling>
        <c:delete val="0"/>
        <c:axPos val="b"/>
        <c:numFmt formatCode="mmm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208591"/>
        <c:crossesAt val="0"/>
        <c:auto val="0"/>
        <c:lblAlgn val="ctr"/>
        <c:lblOffset val="100"/>
        <c:noMultiLvlLbl val="0"/>
      </c:catAx>
      <c:valAx>
        <c:axId val="1201208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269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Health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'Q4 - COVID Impact'!$B$139:$B$145</c:f>
              <c:numCache>
                <c:formatCode>mmm/yyyy</c:formatCode>
                <c:ptCount val="7"/>
                <c:pt idx="0">
                  <c:v>42795</c:v>
                </c:pt>
                <c:pt idx="1">
                  <c:v>43160</c:v>
                </c:pt>
                <c:pt idx="2">
                  <c:v>43525</c:v>
                </c:pt>
                <c:pt idx="3">
                  <c:v>43891</c:v>
                </c:pt>
                <c:pt idx="4">
                  <c:v>44256</c:v>
                </c:pt>
                <c:pt idx="5">
                  <c:v>44621</c:v>
                </c:pt>
                <c:pt idx="6">
                  <c:v>44986</c:v>
                </c:pt>
              </c:numCache>
              <c:extLst xmlns:c15="http://schemas.microsoft.com/office/drawing/2012/chart"/>
            </c:numRef>
          </c:cat>
          <c:val>
            <c:numRef>
              <c:f>'Q4 - COVID Impact'!$C$139:$C$145</c:f>
              <c:numCache>
                <c:formatCode>0.00%</c:formatCode>
                <c:ptCount val="7"/>
                <c:pt idx="0">
                  <c:v>4.6474358974358955E-2</c:v>
                </c:pt>
                <c:pt idx="1">
                  <c:v>4.6707503828483876E-2</c:v>
                </c:pt>
                <c:pt idx="2">
                  <c:v>0.10021945866861755</c:v>
                </c:pt>
                <c:pt idx="3">
                  <c:v>4.1888297872340309E-2</c:v>
                </c:pt>
                <c:pt idx="4">
                  <c:v>5.0414805360561622E-2</c:v>
                </c:pt>
                <c:pt idx="5">
                  <c:v>6.9258809234507931E-2</c:v>
                </c:pt>
                <c:pt idx="6">
                  <c:v>6.0227272727272692E-2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50A1-412A-A728-C10CB4AAD50B}"/>
            </c:ext>
          </c:extLst>
        </c:ser>
        <c:ser>
          <c:idx val="1"/>
          <c:order val="1"/>
          <c:tx>
            <c:v>Food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'Q4 - COVID Impact'!$B$139:$B$145</c:f>
              <c:numCache>
                <c:formatCode>mmm/yyyy</c:formatCode>
                <c:ptCount val="7"/>
                <c:pt idx="0">
                  <c:v>42795</c:v>
                </c:pt>
                <c:pt idx="1">
                  <c:v>43160</c:v>
                </c:pt>
                <c:pt idx="2">
                  <c:v>43525</c:v>
                </c:pt>
                <c:pt idx="3">
                  <c:v>43891</c:v>
                </c:pt>
                <c:pt idx="4">
                  <c:v>44256</c:v>
                </c:pt>
                <c:pt idx="5">
                  <c:v>44621</c:v>
                </c:pt>
                <c:pt idx="6">
                  <c:v>44986</c:v>
                </c:pt>
              </c:numCache>
              <c:extLst xmlns:c15="http://schemas.microsoft.com/office/drawing/2012/chart"/>
            </c:numRef>
          </c:cat>
          <c:val>
            <c:numRef>
              <c:f>'Q4 - COVID Impact'!$D$139:$D$145</c:f>
              <c:numCache>
                <c:formatCode>0.00%</c:formatCode>
                <c:ptCount val="7"/>
                <c:pt idx="0">
                  <c:v>2.7571989950396152E-2</c:v>
                </c:pt>
                <c:pt idx="1">
                  <c:v>3.0280233214218372E-2</c:v>
                </c:pt>
                <c:pt idx="2">
                  <c:v>-1.1865644395764671E-2</c:v>
                </c:pt>
                <c:pt idx="3">
                  <c:v>7.5435679536916933E-2</c:v>
                </c:pt>
                <c:pt idx="4">
                  <c:v>7.1461291800275106E-2</c:v>
                </c:pt>
                <c:pt idx="5">
                  <c:v>7.5513039760581477E-2</c:v>
                </c:pt>
                <c:pt idx="6">
                  <c:v>3.9006211180124165E-2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50A1-412A-A728-C10CB4AAD50B}"/>
            </c:ext>
          </c:extLst>
        </c:ser>
        <c:ser>
          <c:idx val="2"/>
          <c:order val="2"/>
          <c:tx>
            <c:v>Fuel and Light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'Q4 - COVID Impact'!$B$139:$B$145</c:f>
              <c:numCache>
                <c:formatCode>mmm/yyyy</c:formatCode>
                <c:ptCount val="7"/>
                <c:pt idx="0">
                  <c:v>42795</c:v>
                </c:pt>
                <c:pt idx="1">
                  <c:v>43160</c:v>
                </c:pt>
                <c:pt idx="2">
                  <c:v>43525</c:v>
                </c:pt>
                <c:pt idx="3">
                  <c:v>43891</c:v>
                </c:pt>
                <c:pt idx="4">
                  <c:v>44256</c:v>
                </c:pt>
                <c:pt idx="5">
                  <c:v>44621</c:v>
                </c:pt>
                <c:pt idx="6">
                  <c:v>44986</c:v>
                </c:pt>
              </c:numCache>
              <c:extLst xmlns:c15="http://schemas.microsoft.com/office/drawing/2012/chart"/>
            </c:numRef>
          </c:cat>
          <c:val>
            <c:numRef>
              <c:f>'Q4 - COVID Impact'!$E$139:$E$145</c:f>
              <c:numCache>
                <c:formatCode>0.00%</c:formatCode>
                <c:ptCount val="7"/>
                <c:pt idx="0">
                  <c:v>5.6692913385826681E-2</c:v>
                </c:pt>
                <c:pt idx="1">
                  <c:v>6.2593144560357722E-2</c:v>
                </c:pt>
                <c:pt idx="2">
                  <c:v>2.6647966339411019E-2</c:v>
                </c:pt>
                <c:pt idx="3">
                  <c:v>4.7814207650273222E-2</c:v>
                </c:pt>
                <c:pt idx="4">
                  <c:v>1.6949152542372843E-2</c:v>
                </c:pt>
                <c:pt idx="5">
                  <c:v>8.2692307692307732E-2</c:v>
                </c:pt>
                <c:pt idx="6">
                  <c:v>7.4008288928359978E-2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50A1-412A-A728-C10CB4AAD50B}"/>
            </c:ext>
          </c:extLst>
        </c:ser>
        <c:ser>
          <c:idx val="3"/>
          <c:order val="3"/>
          <c:tx>
            <c:v>Transport and Communication</c:v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'Q4 - COVID Impact'!$B$139:$B$145</c:f>
              <c:numCache>
                <c:formatCode>mmm/yyyy</c:formatCode>
                <c:ptCount val="7"/>
                <c:pt idx="0">
                  <c:v>42795</c:v>
                </c:pt>
                <c:pt idx="1">
                  <c:v>43160</c:v>
                </c:pt>
                <c:pt idx="2">
                  <c:v>43525</c:v>
                </c:pt>
                <c:pt idx="3">
                  <c:v>43891</c:v>
                </c:pt>
                <c:pt idx="4">
                  <c:v>44256</c:v>
                </c:pt>
                <c:pt idx="5">
                  <c:v>44621</c:v>
                </c:pt>
                <c:pt idx="6">
                  <c:v>44986</c:v>
                </c:pt>
              </c:numCache>
              <c:extLst xmlns:c15="http://schemas.microsoft.com/office/drawing/2012/chart"/>
            </c:numRef>
          </c:cat>
          <c:val>
            <c:numRef>
              <c:f>'Q4 - COVID Impact'!$F$139:$F$145</c:f>
              <c:numCache>
                <c:formatCode>0.00%</c:formatCode>
                <c:ptCount val="7"/>
                <c:pt idx="0">
                  <c:v>5.4577464788732419E-2</c:v>
                </c:pt>
                <c:pt idx="1">
                  <c:v>4.0066777963272099E-2</c:v>
                </c:pt>
                <c:pt idx="2">
                  <c:v>4.2536115569823528E-2</c:v>
                </c:pt>
                <c:pt idx="3">
                  <c:v>4.5419553502694422E-2</c:v>
                </c:pt>
                <c:pt idx="4">
                  <c:v>0.11413843888070692</c:v>
                </c:pt>
                <c:pt idx="5">
                  <c:v>7.0720423000660865E-2</c:v>
                </c:pt>
                <c:pt idx="6">
                  <c:v>4.3209876543209874E-2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50A1-412A-A728-C10CB4AAD50B}"/>
            </c:ext>
          </c:extLst>
        </c:ser>
        <c:ser>
          <c:idx val="4"/>
          <c:order val="4"/>
          <c:tx>
            <c:v>General Index</c:v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'Q4 - COVID Impact'!$B$139:$B$145</c:f>
              <c:numCache>
                <c:formatCode>mmm/yyyy</c:formatCode>
                <c:ptCount val="7"/>
                <c:pt idx="0">
                  <c:v>42795</c:v>
                </c:pt>
                <c:pt idx="1">
                  <c:v>43160</c:v>
                </c:pt>
                <c:pt idx="2">
                  <c:v>43525</c:v>
                </c:pt>
                <c:pt idx="3">
                  <c:v>43891</c:v>
                </c:pt>
                <c:pt idx="4">
                  <c:v>44256</c:v>
                </c:pt>
                <c:pt idx="5">
                  <c:v>44621</c:v>
                </c:pt>
                <c:pt idx="6">
                  <c:v>44986</c:v>
                </c:pt>
              </c:numCache>
              <c:extLst xmlns:c15="http://schemas.microsoft.com/office/drawing/2012/chart"/>
            </c:numRef>
          </c:cat>
          <c:val>
            <c:numRef>
              <c:f>'Q4 - COVID Impact'!$G$139:$G$145</c:f>
              <c:numCache>
                <c:formatCode>0.00%</c:formatCode>
                <c:ptCount val="7"/>
                <c:pt idx="0">
                  <c:v>3.7500000000000089E-2</c:v>
                </c:pt>
                <c:pt idx="1">
                  <c:v>4.4427710843373318E-2</c:v>
                </c:pt>
                <c:pt idx="2">
                  <c:v>1.8024513338139873E-2</c:v>
                </c:pt>
                <c:pt idx="3">
                  <c:v>6.090651558073671E-2</c:v>
                </c:pt>
                <c:pt idx="4">
                  <c:v>4.6061415220293569E-2</c:v>
                </c:pt>
                <c:pt idx="5">
                  <c:v>7.6579451180599875E-2</c:v>
                </c:pt>
                <c:pt idx="6">
                  <c:v>5.5127445168939013E-2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50A1-412A-A728-C10CB4AAD50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4269215"/>
        <c:axId val="1201208591"/>
        <c:extLst>
          <c:ext xmlns:c15="http://schemas.microsoft.com/office/drawing/2012/chart" uri="{02D57815-91ED-43cb-92C2-25804820EDAC}">
            <c15:filteredLine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'Q4 - COVID Impact'!$H$138</c15:sqref>
                        </c15:formulaRef>
                      </c:ext>
                    </c:extLst>
                    <c:strCache>
                      <c:ptCount val="1"/>
                      <c:pt idx="0">
                        <c:v>Health Inflation (U)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'Q4 - COVID Impact'!$B$139:$B$145</c15:sqref>
                        </c15:formulaRef>
                      </c:ext>
                    </c:extLst>
                    <c:numCache>
                      <c:formatCode>mmm/yyyy</c:formatCode>
                      <c:ptCount val="7"/>
                      <c:pt idx="0">
                        <c:v>42795</c:v>
                      </c:pt>
                      <c:pt idx="1">
                        <c:v>43160</c:v>
                      </c:pt>
                      <c:pt idx="2">
                        <c:v>43525</c:v>
                      </c:pt>
                      <c:pt idx="3">
                        <c:v>43891</c:v>
                      </c:pt>
                      <c:pt idx="4">
                        <c:v>44256</c:v>
                      </c:pt>
                      <c:pt idx="5">
                        <c:v>44621</c:v>
                      </c:pt>
                      <c:pt idx="6">
                        <c:v>44986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'Q4 - COVID Impact'!$H$139:$H$145</c15:sqref>
                        </c15:formulaRef>
                      </c:ext>
                    </c:extLst>
                    <c:numCache>
                      <c:formatCode>0.00%</c:formatCode>
                      <c:ptCount val="7"/>
                      <c:pt idx="0">
                        <c:v>2.8404344193817807E-2</c:v>
                      </c:pt>
                      <c:pt idx="1">
                        <c:v>6.0113728675873321E-2</c:v>
                      </c:pt>
                      <c:pt idx="2">
                        <c:v>6.6666666666666582E-2</c:v>
                      </c:pt>
                      <c:pt idx="3">
                        <c:v>4.1666666666666755E-2</c:v>
                      </c:pt>
                      <c:pt idx="4">
                        <c:v>8.2068965517241424E-2</c:v>
                      </c:pt>
                      <c:pt idx="5">
                        <c:v>7.2020395156150302E-2</c:v>
                      </c:pt>
                      <c:pt idx="6">
                        <c:v>7.4910820451843191E-2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50A1-412A-A728-C10CB4AAD50B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'Q4 - COVID Impact'!$I$138</c15:sqref>
                        </c15:formulaRef>
                      </c:ext>
                    </c:extLst>
                    <c:strCache>
                      <c:ptCount val="1"/>
                      <c:pt idx="0">
                        <c:v>Food Inflation (U)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'Q4 - COVID Impact'!$B$139:$B$145</c15:sqref>
                        </c15:formulaRef>
                      </c:ext>
                    </c:extLst>
                    <c:numCache>
                      <c:formatCode>mmm/yyyy</c:formatCode>
                      <c:ptCount val="7"/>
                      <c:pt idx="0">
                        <c:v>42795</c:v>
                      </c:pt>
                      <c:pt idx="1">
                        <c:v>43160</c:v>
                      </c:pt>
                      <c:pt idx="2">
                        <c:v>43525</c:v>
                      </c:pt>
                      <c:pt idx="3">
                        <c:v>43891</c:v>
                      </c:pt>
                      <c:pt idx="4">
                        <c:v>44256</c:v>
                      </c:pt>
                      <c:pt idx="5">
                        <c:v>44621</c:v>
                      </c:pt>
                      <c:pt idx="6">
                        <c:v>44986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'Q4 - COVID Impact'!$I$139:$I$145</c15:sqref>
                        </c15:formulaRef>
                      </c:ext>
                    </c:extLst>
                    <c:numCache>
                      <c:formatCode>0.00%</c:formatCode>
                      <c:ptCount val="7"/>
                      <c:pt idx="0">
                        <c:v>2.2356534737115807E-2</c:v>
                      </c:pt>
                      <c:pt idx="1">
                        <c:v>4.8312249698047862E-3</c:v>
                      </c:pt>
                      <c:pt idx="2">
                        <c:v>3.0429556525590089E-2</c:v>
                      </c:pt>
                      <c:pt idx="3">
                        <c:v>7.3428290766208257E-2</c:v>
                      </c:pt>
                      <c:pt idx="4">
                        <c:v>8.9052848318462344E-2</c:v>
                      </c:pt>
                      <c:pt idx="5">
                        <c:v>6.3389527860931882E-2</c:v>
                      </c:pt>
                      <c:pt idx="6">
                        <c:v>4.8301066772026731E-2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50A1-412A-A728-C10CB4AAD50B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'Q4 - COVID Impact'!$J$138</c15:sqref>
                        </c15:formulaRef>
                      </c:ext>
                    </c:extLst>
                    <c:strCache>
                      <c:ptCount val="1"/>
                      <c:pt idx="0">
                        <c:v>Fuel and light Inflation (U)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'Q4 - COVID Impact'!$B$139:$B$145</c15:sqref>
                        </c15:formulaRef>
                      </c:ext>
                    </c:extLst>
                    <c:numCache>
                      <c:formatCode>mmm/yyyy</c:formatCode>
                      <c:ptCount val="7"/>
                      <c:pt idx="0">
                        <c:v>42795</c:v>
                      </c:pt>
                      <c:pt idx="1">
                        <c:v>43160</c:v>
                      </c:pt>
                      <c:pt idx="2">
                        <c:v>43525</c:v>
                      </c:pt>
                      <c:pt idx="3">
                        <c:v>43891</c:v>
                      </c:pt>
                      <c:pt idx="4">
                        <c:v>44256</c:v>
                      </c:pt>
                      <c:pt idx="5">
                        <c:v>44621</c:v>
                      </c:pt>
                      <c:pt idx="6">
                        <c:v>44986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'Q4 - COVID Impact'!$J$139:$J$145</c15:sqref>
                        </c15:formulaRef>
                      </c:ext>
                    </c:extLst>
                    <c:numCache>
                      <c:formatCode>0.00%</c:formatCode>
                      <c:ptCount val="7"/>
                      <c:pt idx="0">
                        <c:v>5.2264808362369339E-2</c:v>
                      </c:pt>
                      <c:pt idx="1">
                        <c:v>4.6357615894039805E-2</c:v>
                      </c:pt>
                      <c:pt idx="2">
                        <c:v>1.8987341772151944E-2</c:v>
                      </c:pt>
                      <c:pt idx="3">
                        <c:v>9.7826086956521688E-2</c:v>
                      </c:pt>
                      <c:pt idx="4">
                        <c:v>9.4766619519094805E-2</c:v>
                      </c:pt>
                      <c:pt idx="5">
                        <c:v>6.2661498708010258E-2</c:v>
                      </c:pt>
                      <c:pt idx="6">
                        <c:v>0.11003039513677808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50A1-412A-A728-C10CB4AAD50B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'Q4 - COVID Impact'!$K$138</c15:sqref>
                        </c15:formulaRef>
                      </c:ext>
                    </c:extLst>
                    <c:strCache>
                      <c:ptCount val="1"/>
                      <c:pt idx="0">
                        <c:v>Transport and communication Inflation (U)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'Q4 - COVID Impact'!$B$139:$B$145</c15:sqref>
                        </c15:formulaRef>
                      </c:ext>
                    </c:extLst>
                    <c:numCache>
                      <c:formatCode>mmm/yyyy</c:formatCode>
                      <c:ptCount val="7"/>
                      <c:pt idx="0">
                        <c:v>42795</c:v>
                      </c:pt>
                      <c:pt idx="1">
                        <c:v>43160</c:v>
                      </c:pt>
                      <c:pt idx="2">
                        <c:v>43525</c:v>
                      </c:pt>
                      <c:pt idx="3">
                        <c:v>43891</c:v>
                      </c:pt>
                      <c:pt idx="4">
                        <c:v>44256</c:v>
                      </c:pt>
                      <c:pt idx="5">
                        <c:v>44621</c:v>
                      </c:pt>
                      <c:pt idx="6">
                        <c:v>44986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'Q4 - COVID Impact'!$K$139:$K$145</c15:sqref>
                        </c15:formulaRef>
                      </c:ext>
                    </c:extLst>
                    <c:numCache>
                      <c:formatCode>0.00%</c:formatCode>
                      <c:ptCount val="7"/>
                      <c:pt idx="0">
                        <c:v>6.5437788018433127E-2</c:v>
                      </c:pt>
                      <c:pt idx="1">
                        <c:v>1.9031141868512135E-2</c:v>
                      </c:pt>
                      <c:pt idx="2">
                        <c:v>1.7826825127334536E-2</c:v>
                      </c:pt>
                      <c:pt idx="3">
                        <c:v>3.9199332777314334E-2</c:v>
                      </c:pt>
                      <c:pt idx="4">
                        <c:v>0.13723916532905292</c:v>
                      </c:pt>
                      <c:pt idx="5">
                        <c:v>8.8214537755822164E-2</c:v>
                      </c:pt>
                      <c:pt idx="6">
                        <c:v>3.6316472114137632E-2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50A1-412A-A728-C10CB4AAD50B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'Q4 - COVID Impact'!$L$138</c15:sqref>
                        </c15:formulaRef>
                      </c:ext>
                    </c:extLst>
                    <c:strCache>
                      <c:ptCount val="1"/>
                      <c:pt idx="0">
                        <c:v>General index Inflation (U)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'Q4 - COVID Impact'!$B$139:$B$145</c15:sqref>
                        </c15:formulaRef>
                      </c:ext>
                    </c:extLst>
                    <c:numCache>
                      <c:formatCode>mmm/yyyy</c:formatCode>
                      <c:ptCount val="7"/>
                      <c:pt idx="0">
                        <c:v>42795</c:v>
                      </c:pt>
                      <c:pt idx="1">
                        <c:v>43160</c:v>
                      </c:pt>
                      <c:pt idx="2">
                        <c:v>43525</c:v>
                      </c:pt>
                      <c:pt idx="3">
                        <c:v>43891</c:v>
                      </c:pt>
                      <c:pt idx="4">
                        <c:v>44256</c:v>
                      </c:pt>
                      <c:pt idx="5">
                        <c:v>44621</c:v>
                      </c:pt>
                      <c:pt idx="6">
                        <c:v>44986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'Q4 - COVID Impact'!$L$139:$L$145</c15:sqref>
                        </c15:formulaRef>
                      </c:ext>
                    </c:extLst>
                    <c:numCache>
                      <c:formatCode>0.00%</c:formatCode>
                      <c:ptCount val="7"/>
                      <c:pt idx="0">
                        <c:v>3.9579967689822228E-2</c:v>
                      </c:pt>
                      <c:pt idx="1">
                        <c:v>4.1181041181041274E-2</c:v>
                      </c:pt>
                      <c:pt idx="2">
                        <c:v>4.1044776119402986E-2</c:v>
                      </c:pt>
                      <c:pt idx="3">
                        <c:v>5.5913978494623741E-2</c:v>
                      </c:pt>
                      <c:pt idx="4">
                        <c:v>6.5173116089612987E-2</c:v>
                      </c:pt>
                      <c:pt idx="5">
                        <c:v>6.1185468451242793E-2</c:v>
                      </c:pt>
                      <c:pt idx="6">
                        <c:v>5.8858858858858928E-2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50A1-412A-A728-C10CB4AAD50B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v>Health Inflation</c:v>
                </c:tx>
                <c:spPr>
                  <a:ln w="28575" cap="rnd">
                    <a:solidFill>
                      <a:schemeClr val="accent6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'Q4 - COVID Impact'!$B$139:$B$145</c15:sqref>
                        </c15:formulaRef>
                      </c:ext>
                    </c:extLst>
                    <c:numCache>
                      <c:formatCode>mmm/yyyy</c:formatCode>
                      <c:ptCount val="7"/>
                      <c:pt idx="0">
                        <c:v>42795</c:v>
                      </c:pt>
                      <c:pt idx="1">
                        <c:v>43160</c:v>
                      </c:pt>
                      <c:pt idx="2">
                        <c:v>43525</c:v>
                      </c:pt>
                      <c:pt idx="3">
                        <c:v>43891</c:v>
                      </c:pt>
                      <c:pt idx="4">
                        <c:v>44256</c:v>
                      </c:pt>
                      <c:pt idx="5">
                        <c:v>44621</c:v>
                      </c:pt>
                      <c:pt idx="6">
                        <c:v>44986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'Q4 - COVID Impact'!$M$139:$M$145</c15:sqref>
                        </c15:formulaRef>
                      </c:ext>
                    </c:extLst>
                    <c:numCache>
                      <c:formatCode>0.00%</c:formatCode>
                      <c:ptCount val="7"/>
                      <c:pt idx="0">
                        <c:v>3.9869812855980402E-2</c:v>
                      </c:pt>
                      <c:pt idx="1">
                        <c:v>5.0860719874804491E-2</c:v>
                      </c:pt>
                      <c:pt idx="2">
                        <c:v>8.8607594936708681E-2</c:v>
                      </c:pt>
                      <c:pt idx="3">
                        <c:v>4.1723666210670474E-2</c:v>
                      </c:pt>
                      <c:pt idx="4">
                        <c:v>6.1720288903479817E-2</c:v>
                      </c:pt>
                      <c:pt idx="5">
                        <c:v>6.9882498453927105E-2</c:v>
                      </c:pt>
                      <c:pt idx="6">
                        <c:v>6.589595375722547E-2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50A1-412A-A728-C10CB4AAD50B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v>Food Inflation</c:v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'Q4 - COVID Impact'!$B$139:$B$145</c15:sqref>
                        </c15:formulaRef>
                      </c:ext>
                    </c:extLst>
                    <c:numCache>
                      <c:formatCode>mmm/yyyy</c:formatCode>
                      <c:ptCount val="7"/>
                      <c:pt idx="0">
                        <c:v>42795</c:v>
                      </c:pt>
                      <c:pt idx="1">
                        <c:v>43160</c:v>
                      </c:pt>
                      <c:pt idx="2">
                        <c:v>43525</c:v>
                      </c:pt>
                      <c:pt idx="3">
                        <c:v>43891</c:v>
                      </c:pt>
                      <c:pt idx="4">
                        <c:v>44256</c:v>
                      </c:pt>
                      <c:pt idx="5">
                        <c:v>44621</c:v>
                      </c:pt>
                      <c:pt idx="6">
                        <c:v>44986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'Q4 - COVID Impact'!$N$139:$N$145</c15:sqref>
                        </c15:formulaRef>
                      </c:ext>
                    </c:extLst>
                    <c:numCache>
                      <c:formatCode>0.00%</c:formatCode>
                      <c:ptCount val="7"/>
                      <c:pt idx="0">
                        <c:v>2.6142099132910632E-2</c:v>
                      </c:pt>
                      <c:pt idx="1">
                        <c:v>2.0809685962920921E-2</c:v>
                      </c:pt>
                      <c:pt idx="2">
                        <c:v>3.7064492216456633E-3</c:v>
                      </c:pt>
                      <c:pt idx="3">
                        <c:v>7.4901526341703481E-2</c:v>
                      </c:pt>
                      <c:pt idx="4">
                        <c:v>7.7984540509590569E-2</c:v>
                      </c:pt>
                      <c:pt idx="5">
                        <c:v>7.069634036224591E-2</c:v>
                      </c:pt>
                      <c:pt idx="6">
                        <c:v>4.286139497966044E-2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50A1-412A-A728-C10CB4AAD50B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v>Fuel and Light Inflation</c:v>
                </c:tx>
                <c:spPr>
                  <a:ln w="28575" cap="rnd">
                    <a:solidFill>
                      <a:srgbClr val="002060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'Q4 - COVID Impact'!$B$139:$B$145</c15:sqref>
                        </c15:formulaRef>
                      </c:ext>
                    </c:extLst>
                    <c:numCache>
                      <c:formatCode>mmm/yyyy</c:formatCode>
                      <c:ptCount val="7"/>
                      <c:pt idx="0">
                        <c:v>42795</c:v>
                      </c:pt>
                      <c:pt idx="1">
                        <c:v>43160</c:v>
                      </c:pt>
                      <c:pt idx="2">
                        <c:v>43525</c:v>
                      </c:pt>
                      <c:pt idx="3">
                        <c:v>43891</c:v>
                      </c:pt>
                      <c:pt idx="4">
                        <c:v>44256</c:v>
                      </c:pt>
                      <c:pt idx="5">
                        <c:v>44621</c:v>
                      </c:pt>
                      <c:pt idx="6">
                        <c:v>44986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'Q4 - COVID Impact'!$O$139:$O$145</c15:sqref>
                        </c15:formulaRef>
                      </c:ext>
                    </c:extLst>
                    <c:numCache>
                      <c:formatCode>0.00%</c:formatCode>
                      <c:ptCount val="7"/>
                      <c:pt idx="0">
                        <c:v>5.4738562091503171E-2</c:v>
                      </c:pt>
                      <c:pt idx="1">
                        <c:v>5.7319907048799426E-2</c:v>
                      </c:pt>
                      <c:pt idx="2">
                        <c:v>2.344322344322336E-2</c:v>
                      </c:pt>
                      <c:pt idx="3">
                        <c:v>6.585540443808173E-2</c:v>
                      </c:pt>
                      <c:pt idx="4">
                        <c:v>4.4325050369375382E-2</c:v>
                      </c:pt>
                      <c:pt idx="5">
                        <c:v>7.5241157556270019E-2</c:v>
                      </c:pt>
                      <c:pt idx="6">
                        <c:v>8.7918660287081452E-2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50A1-412A-A728-C10CB4AAD50B}"/>
                  </c:ext>
                </c:extLst>
              </c15:ser>
            </c15:filteredLineSeries>
            <c15:filteredLineSeries>
              <c15:ser>
                <c:idx val="13"/>
                <c:order val="13"/>
                <c:tx>
                  <c:v>Transport and Communication Inflation</c:v>
                </c:tx>
                <c:spPr>
                  <a:ln w="28575" cap="rnd">
                    <a:solidFill>
                      <a:srgbClr val="0070C0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'Q4 - COVID Impact'!$B$139:$B$145</c15:sqref>
                        </c15:formulaRef>
                      </c:ext>
                    </c:extLst>
                    <c:numCache>
                      <c:formatCode>mmm/yyyy</c:formatCode>
                      <c:ptCount val="7"/>
                      <c:pt idx="0">
                        <c:v>42795</c:v>
                      </c:pt>
                      <c:pt idx="1">
                        <c:v>43160</c:v>
                      </c:pt>
                      <c:pt idx="2">
                        <c:v>43525</c:v>
                      </c:pt>
                      <c:pt idx="3">
                        <c:v>43891</c:v>
                      </c:pt>
                      <c:pt idx="4">
                        <c:v>44256</c:v>
                      </c:pt>
                      <c:pt idx="5">
                        <c:v>44621</c:v>
                      </c:pt>
                      <c:pt idx="6">
                        <c:v>44986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'Q4 - COVID Impact'!$P$139:$P$145</c15:sqref>
                        </c15:formulaRef>
                      </c:ext>
                    </c:extLst>
                    <c:numCache>
                      <c:formatCode>0.00%</c:formatCode>
                      <c:ptCount val="7"/>
                      <c:pt idx="0">
                        <c:v>6.0414788097384924E-2</c:v>
                      </c:pt>
                      <c:pt idx="1">
                        <c:v>2.891156462585039E-2</c:v>
                      </c:pt>
                      <c:pt idx="2">
                        <c:v>2.9752066115702431E-2</c:v>
                      </c:pt>
                      <c:pt idx="3">
                        <c:v>4.2536115569823528E-2</c:v>
                      </c:pt>
                      <c:pt idx="4">
                        <c:v>0.12548113933795213</c:v>
                      </c:pt>
                      <c:pt idx="5">
                        <c:v>8.0027359781121868E-2</c:v>
                      </c:pt>
                      <c:pt idx="6">
                        <c:v>3.9898670044331744E-2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50A1-412A-A728-C10CB4AAD50B}"/>
                  </c:ext>
                </c:extLst>
              </c15:ser>
            </c15:filteredLineSeries>
            <c15:filteredLineSeries>
              <c15:ser>
                <c:idx val="14"/>
                <c:order val="14"/>
                <c:tx>
                  <c:v>General Index Inflation</c:v>
                </c:tx>
                <c:spPr>
                  <a:ln w="28575" cap="rnd">
                    <a:solidFill>
                      <a:srgbClr val="C00000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'Q4 - COVID Impact'!$B$139:$B$145</c15:sqref>
                        </c15:formulaRef>
                      </c:ext>
                    </c:extLst>
                    <c:numCache>
                      <c:formatCode>mmm/yyyy</c:formatCode>
                      <c:ptCount val="7"/>
                      <c:pt idx="0">
                        <c:v>42795</c:v>
                      </c:pt>
                      <c:pt idx="1">
                        <c:v>43160</c:v>
                      </c:pt>
                      <c:pt idx="2">
                        <c:v>43525</c:v>
                      </c:pt>
                      <c:pt idx="3">
                        <c:v>43891</c:v>
                      </c:pt>
                      <c:pt idx="4">
                        <c:v>44256</c:v>
                      </c:pt>
                      <c:pt idx="5">
                        <c:v>44621</c:v>
                      </c:pt>
                      <c:pt idx="6">
                        <c:v>44986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'Q4 - COVID Impact'!$Q$139:$Q$145</c15:sqref>
                        </c15:formulaRef>
                      </c:ext>
                    </c:extLst>
                    <c:numCache>
                      <c:formatCode>0.00%</c:formatCode>
                      <c:ptCount val="7"/>
                      <c:pt idx="0">
                        <c:v>3.8888888888888931E-2</c:v>
                      </c:pt>
                      <c:pt idx="1">
                        <c:v>4.278074866310156E-2</c:v>
                      </c:pt>
                      <c:pt idx="2">
                        <c:v>2.8571428571428612E-2</c:v>
                      </c:pt>
                      <c:pt idx="3">
                        <c:v>5.840455840455832E-2</c:v>
                      </c:pt>
                      <c:pt idx="4">
                        <c:v>5.5181695827725558E-2</c:v>
                      </c:pt>
                      <c:pt idx="5">
                        <c:v>6.9515306122448828E-2</c:v>
                      </c:pt>
                      <c:pt idx="6">
                        <c:v>5.6648777579010143E-2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50A1-412A-A728-C10CB4AAD50B}"/>
                  </c:ext>
                </c:extLst>
              </c15:ser>
            </c15:filteredLineSeries>
          </c:ext>
        </c:extLst>
      </c:lineChart>
      <c:catAx>
        <c:axId val="154269215"/>
        <c:scaling>
          <c:orientation val="minMax"/>
        </c:scaling>
        <c:delete val="0"/>
        <c:axPos val="b"/>
        <c:numFmt formatCode="mmm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208591"/>
        <c:crossesAt val="0"/>
        <c:auto val="0"/>
        <c:lblAlgn val="ctr"/>
        <c:lblOffset val="100"/>
        <c:noMultiLvlLbl val="0"/>
      </c:catAx>
      <c:valAx>
        <c:axId val="1201208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269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'Q5 - Oil Impact'!$C$36</c:f>
              <c:strCache>
                <c:ptCount val="1"/>
                <c:pt idx="0">
                  <c:v>Correlation with Imported Crude Oil</c:v>
                </c:pt>
              </c:strCache>
            </c:strRef>
          </c:tx>
          <c:spPr>
            <a:solidFill>
              <a:srgbClr val="7030A0">
                <a:alpha val="85000"/>
              </a:srgbClr>
            </a:solidFill>
            <a:ln w="9525" cap="flat" cmpd="sng" algn="ctr">
              <a:noFill/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7030A0">
                  <a:alpha val="85000"/>
                </a:srgbClr>
              </a:soli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5-1421-4BFF-962C-F4691700CD7E}"/>
              </c:ext>
            </c:extLst>
          </c:dPt>
          <c:dPt>
            <c:idx val="1"/>
            <c:invertIfNegative val="0"/>
            <c:bubble3D val="0"/>
            <c:spPr>
              <a:solidFill>
                <a:srgbClr val="7030A0">
                  <a:alpha val="85000"/>
                </a:srgbClr>
              </a:soli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A-1421-4BFF-962C-F4691700CD7E}"/>
              </c:ext>
            </c:extLst>
          </c:dPt>
          <c:dPt>
            <c:idx val="2"/>
            <c:invertIfNegative val="0"/>
            <c:bubble3D val="0"/>
            <c:spPr>
              <a:solidFill>
                <a:srgbClr val="7030A0">
                  <a:alpha val="85000"/>
                </a:srgbClr>
              </a:soli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4-1421-4BFF-962C-F4691700CD7E}"/>
              </c:ext>
            </c:extLst>
          </c:dPt>
          <c:dPt>
            <c:idx val="3"/>
            <c:invertIfNegative val="0"/>
            <c:bubble3D val="0"/>
            <c:spPr>
              <a:solidFill>
                <a:srgbClr val="7030A0">
                  <a:alpha val="85000"/>
                </a:srgbClr>
              </a:soli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3-1421-4BFF-962C-F4691700CD7E}"/>
              </c:ext>
            </c:extLst>
          </c:dPt>
          <c:dPt>
            <c:idx val="4"/>
            <c:invertIfNegative val="0"/>
            <c:bubble3D val="0"/>
            <c:spPr>
              <a:solidFill>
                <a:srgbClr val="7030A0">
                  <a:alpha val="85000"/>
                </a:srgbClr>
              </a:soli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9-1421-4BFF-962C-F4691700CD7E}"/>
              </c:ext>
            </c:extLst>
          </c:dPt>
          <c:dPt>
            <c:idx val="5"/>
            <c:invertIfNegative val="0"/>
            <c:bubble3D val="0"/>
            <c:spPr>
              <a:solidFill>
                <a:srgbClr val="7030A0">
                  <a:alpha val="85000"/>
                </a:srgbClr>
              </a:soli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8-1421-4BFF-962C-F4691700CD7E}"/>
              </c:ext>
            </c:extLst>
          </c:dPt>
          <c:dPt>
            <c:idx val="6"/>
            <c:invertIfNegative val="0"/>
            <c:bubble3D val="0"/>
            <c:spPr>
              <a:solidFill>
                <a:srgbClr val="7030A0">
                  <a:alpha val="85000"/>
                </a:srgbClr>
              </a:soli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2-1421-4BFF-962C-F4691700CD7E}"/>
              </c:ext>
            </c:extLst>
          </c:dPt>
          <c:dPt>
            <c:idx val="7"/>
            <c:invertIfNegative val="0"/>
            <c:bubble3D val="0"/>
            <c:spPr>
              <a:solidFill>
                <a:srgbClr val="7030A0">
                  <a:alpha val="85000"/>
                </a:srgbClr>
              </a:soli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1-1421-4BFF-962C-F4691700CD7E}"/>
              </c:ext>
            </c:extLst>
          </c:dPt>
          <c:dPt>
            <c:idx val="8"/>
            <c:invertIfNegative val="0"/>
            <c:bubble3D val="0"/>
            <c:spPr>
              <a:solidFill>
                <a:srgbClr val="7030A0">
                  <a:alpha val="85000"/>
                </a:srgbClr>
              </a:soli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0-1421-4BFF-962C-F4691700CD7E}"/>
              </c:ext>
            </c:extLst>
          </c:dPt>
          <c:dPt>
            <c:idx val="9"/>
            <c:invertIfNegative val="0"/>
            <c:bubble3D val="0"/>
            <c:spPr>
              <a:solidFill>
                <a:srgbClr val="7030A0">
                  <a:alpha val="85000"/>
                </a:srgbClr>
              </a:soli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F-1421-4BFF-962C-F4691700CD7E}"/>
              </c:ext>
            </c:extLst>
          </c:dPt>
          <c:dPt>
            <c:idx val="10"/>
            <c:invertIfNegative val="0"/>
            <c:bubble3D val="0"/>
            <c:spPr>
              <a:solidFill>
                <a:srgbClr val="7030A0">
                  <a:alpha val="85000"/>
                </a:srgbClr>
              </a:soli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7-1421-4BFF-962C-F4691700CD7E}"/>
              </c:ext>
            </c:extLst>
          </c:dPt>
          <c:dPt>
            <c:idx val="11"/>
            <c:invertIfNegative val="0"/>
            <c:bubble3D val="0"/>
            <c:spPr>
              <a:solidFill>
                <a:srgbClr val="7030A0">
                  <a:alpha val="85000"/>
                </a:srgbClr>
              </a:soli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6-1421-4BFF-962C-F4691700CD7E}"/>
              </c:ext>
            </c:extLst>
          </c:dPt>
          <c:dPt>
            <c:idx val="12"/>
            <c:invertIfNegative val="0"/>
            <c:bubble3D val="0"/>
            <c:spPr>
              <a:solidFill>
                <a:srgbClr val="7030A0">
                  <a:alpha val="85000"/>
                </a:srgbClr>
              </a:soli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E-1421-4BFF-962C-F4691700CD7E}"/>
              </c:ext>
            </c:extLst>
          </c:dPt>
          <c:dPt>
            <c:idx val="13"/>
            <c:invertIfNegative val="0"/>
            <c:bubble3D val="0"/>
            <c:spPr>
              <a:solidFill>
                <a:srgbClr val="7030A0">
                  <a:alpha val="85000"/>
                </a:srgbClr>
              </a:soli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1421-4BFF-962C-F4691700CD7E}"/>
              </c:ext>
            </c:extLst>
          </c:dPt>
          <c:dPt>
            <c:idx val="14"/>
            <c:invertIfNegative val="0"/>
            <c:bubble3D val="0"/>
            <c:spPr>
              <a:solidFill>
                <a:srgbClr val="7030A0">
                  <a:alpha val="85000"/>
                </a:srgbClr>
              </a:soli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4-1421-4BFF-962C-F4691700CD7E}"/>
              </c:ext>
            </c:extLst>
          </c:dPt>
          <c:dPt>
            <c:idx val="15"/>
            <c:invertIfNegative val="0"/>
            <c:bubble3D val="0"/>
            <c:spPr>
              <a:solidFill>
                <a:srgbClr val="7030A0">
                  <a:alpha val="85000"/>
                </a:srgbClr>
              </a:soli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1421-4BFF-962C-F4691700CD7E}"/>
              </c:ext>
            </c:extLst>
          </c:dPt>
          <c:dPt>
            <c:idx val="16"/>
            <c:invertIfNegative val="0"/>
            <c:bubble3D val="0"/>
            <c:spPr>
              <a:solidFill>
                <a:srgbClr val="7030A0">
                  <a:alpha val="85000"/>
                </a:srgbClr>
              </a:soli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2-1421-4BFF-962C-F4691700CD7E}"/>
              </c:ext>
            </c:extLst>
          </c:dPt>
          <c:dPt>
            <c:idx val="17"/>
            <c:invertIfNegative val="0"/>
            <c:bubble3D val="0"/>
            <c:spPr>
              <a:solidFill>
                <a:srgbClr val="7030A0">
                  <a:alpha val="85000"/>
                </a:srgbClr>
              </a:soli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1421-4BFF-962C-F4691700CD7E}"/>
              </c:ext>
            </c:extLst>
          </c:dPt>
          <c:dPt>
            <c:idx val="18"/>
            <c:invertIfNegative val="0"/>
            <c:bubble3D val="0"/>
            <c:spPr>
              <a:solidFill>
                <a:srgbClr val="7030A0">
                  <a:alpha val="85000"/>
                </a:srgbClr>
              </a:soli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0-1421-4BFF-962C-F4691700CD7E}"/>
              </c:ext>
            </c:extLst>
          </c:dPt>
          <c:dPt>
            <c:idx val="19"/>
            <c:invertIfNegative val="0"/>
            <c:bubble3D val="0"/>
            <c:spPr>
              <a:solidFill>
                <a:srgbClr val="7030A0">
                  <a:alpha val="85000"/>
                </a:srgbClr>
              </a:soli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D-1421-4BFF-962C-F4691700CD7E}"/>
              </c:ext>
            </c:extLst>
          </c:dPt>
          <c:dPt>
            <c:idx val="20"/>
            <c:invertIfNegative val="0"/>
            <c:bubble3D val="0"/>
            <c:spPr>
              <a:solidFill>
                <a:srgbClr val="7030A0">
                  <a:alpha val="85000"/>
                </a:srgbClr>
              </a:soli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1421-4BFF-962C-F4691700CD7E}"/>
              </c:ext>
            </c:extLst>
          </c:dPt>
          <c:dPt>
            <c:idx val="21"/>
            <c:invertIfNegative val="0"/>
            <c:bubble3D val="0"/>
            <c:spPr>
              <a:solidFill>
                <a:srgbClr val="7030A0">
                  <a:alpha val="85000"/>
                </a:srgbClr>
              </a:soli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E-1421-4BFF-962C-F4691700CD7E}"/>
              </c:ext>
            </c:extLst>
          </c:dPt>
          <c:dPt>
            <c:idx val="22"/>
            <c:invertIfNegative val="0"/>
            <c:bubble3D val="0"/>
            <c:spPr>
              <a:solidFill>
                <a:srgbClr val="7030A0">
                  <a:alpha val="85000"/>
                </a:srgbClr>
              </a:soli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1421-4BFF-962C-F4691700CD7E}"/>
              </c:ext>
            </c:extLst>
          </c:dPt>
          <c:dPt>
            <c:idx val="23"/>
            <c:invertIfNegative val="0"/>
            <c:bubble3D val="0"/>
            <c:spPr>
              <a:solidFill>
                <a:srgbClr val="7030A0">
                  <a:alpha val="85000"/>
                </a:srgbClr>
              </a:soli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C-1421-4BFF-962C-F4691700CD7E}"/>
              </c:ext>
            </c:extLst>
          </c:dPt>
          <c:dPt>
            <c:idx val="24"/>
            <c:invertIfNegative val="0"/>
            <c:bubble3D val="0"/>
            <c:spPr>
              <a:solidFill>
                <a:srgbClr val="7030A0">
                  <a:alpha val="85000"/>
                </a:srgbClr>
              </a:soli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B-1421-4BFF-962C-F4691700CD7E}"/>
              </c:ext>
            </c:extLst>
          </c:dPt>
          <c:dPt>
            <c:idx val="25"/>
            <c:invertIfNegative val="0"/>
            <c:bubble3D val="0"/>
            <c:spPr>
              <a:solidFill>
                <a:srgbClr val="7030A0">
                  <a:alpha val="85000"/>
                </a:srgbClr>
              </a:soli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C-1421-4BFF-962C-F4691700CD7E}"/>
              </c:ext>
            </c:extLst>
          </c:dPt>
          <c:dPt>
            <c:idx val="26"/>
            <c:invertIfNegative val="0"/>
            <c:bubble3D val="0"/>
            <c:spPr>
              <a:solidFill>
                <a:srgbClr val="7030A0">
                  <a:alpha val="85000"/>
                </a:srgbClr>
              </a:soli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1421-4BFF-962C-F4691700CD7E}"/>
              </c:ext>
            </c:extLst>
          </c:dPt>
          <c:cat>
            <c:strRef>
              <c:f>'Q5 - Oil Impact'!$B$37:$B$63</c:f>
              <c:strCache>
                <c:ptCount val="27"/>
                <c:pt idx="0">
                  <c:v>Oils and fats</c:v>
                </c:pt>
                <c:pt idx="1">
                  <c:v>Meat and fish</c:v>
                </c:pt>
                <c:pt idx="2">
                  <c:v>Non-alcoholic beverages</c:v>
                </c:pt>
                <c:pt idx="3">
                  <c:v>Pan, tobacco and intoxicants</c:v>
                </c:pt>
                <c:pt idx="4">
                  <c:v>Footwear</c:v>
                </c:pt>
                <c:pt idx="5">
                  <c:v>Fuel and light</c:v>
                </c:pt>
                <c:pt idx="6">
                  <c:v>Recreation and amusement</c:v>
                </c:pt>
                <c:pt idx="7">
                  <c:v>Transport and communication</c:v>
                </c:pt>
                <c:pt idx="8">
                  <c:v>Clothing and footwear</c:v>
                </c:pt>
                <c:pt idx="9">
                  <c:v>Health</c:v>
                </c:pt>
                <c:pt idx="10">
                  <c:v>Prepared meals, snacks, sweets etc.</c:v>
                </c:pt>
                <c:pt idx="11">
                  <c:v>Miscellaneous</c:v>
                </c:pt>
                <c:pt idx="12">
                  <c:v>Clothing</c:v>
                </c:pt>
                <c:pt idx="13">
                  <c:v>Fruits</c:v>
                </c:pt>
                <c:pt idx="14">
                  <c:v>Housing</c:v>
                </c:pt>
                <c:pt idx="15">
                  <c:v>General index</c:v>
                </c:pt>
                <c:pt idx="16">
                  <c:v>Personal care and effects</c:v>
                </c:pt>
                <c:pt idx="17">
                  <c:v>Food and beverages</c:v>
                </c:pt>
                <c:pt idx="18">
                  <c:v>Household goods and services</c:v>
                </c:pt>
                <c:pt idx="19">
                  <c:v>Vegetables</c:v>
                </c:pt>
                <c:pt idx="20">
                  <c:v>Education</c:v>
                </c:pt>
                <c:pt idx="21">
                  <c:v>Spices</c:v>
                </c:pt>
                <c:pt idx="22">
                  <c:v>Sugar and Confectionery</c:v>
                </c:pt>
                <c:pt idx="23">
                  <c:v>Pulses and products</c:v>
                </c:pt>
                <c:pt idx="24">
                  <c:v>Egg</c:v>
                </c:pt>
                <c:pt idx="25">
                  <c:v>Cereals and products</c:v>
                </c:pt>
                <c:pt idx="26">
                  <c:v>Milk and products</c:v>
                </c:pt>
              </c:strCache>
            </c:strRef>
          </c:cat>
          <c:val>
            <c:numRef>
              <c:f>'Q5 - Oil Impact'!$C$37:$C$63</c:f>
              <c:numCache>
                <c:formatCode>0.00</c:formatCode>
                <c:ptCount val="27"/>
                <c:pt idx="0">
                  <c:v>0.40456504998927784</c:v>
                </c:pt>
                <c:pt idx="1">
                  <c:v>0.37458490024896307</c:v>
                </c:pt>
                <c:pt idx="2">
                  <c:v>0.23652440450669523</c:v>
                </c:pt>
                <c:pt idx="3">
                  <c:v>0.18028143743209044</c:v>
                </c:pt>
                <c:pt idx="4">
                  <c:v>0.16266408297771645</c:v>
                </c:pt>
                <c:pt idx="5">
                  <c:v>0.16050751039461716</c:v>
                </c:pt>
                <c:pt idx="6">
                  <c:v>0.14963439758570957</c:v>
                </c:pt>
                <c:pt idx="7">
                  <c:v>0.11767179545618119</c:v>
                </c:pt>
                <c:pt idx="8">
                  <c:v>0.10364372436504027</c:v>
                </c:pt>
                <c:pt idx="9">
                  <c:v>8.9523718647472772E-2</c:v>
                </c:pt>
                <c:pt idx="10">
                  <c:v>8.9416301013637747E-2</c:v>
                </c:pt>
                <c:pt idx="11">
                  <c:v>8.6597424465471362E-2</c:v>
                </c:pt>
                <c:pt idx="12">
                  <c:v>7.7276759603151099E-2</c:v>
                </c:pt>
                <c:pt idx="13">
                  <c:v>7.1051677185187775E-2</c:v>
                </c:pt>
                <c:pt idx="14">
                  <c:v>6.728945984643038E-2</c:v>
                </c:pt>
                <c:pt idx="15">
                  <c:v>1.7252377947013741E-2</c:v>
                </c:pt>
                <c:pt idx="16">
                  <c:v>-1.0557838687770977E-2</c:v>
                </c:pt>
                <c:pt idx="17">
                  <c:v>-1.1741139191838609E-2</c:v>
                </c:pt>
                <c:pt idx="18">
                  <c:v>-2.646993127090886E-2</c:v>
                </c:pt>
                <c:pt idx="19">
                  <c:v>-4.6686398171739266E-2</c:v>
                </c:pt>
                <c:pt idx="20">
                  <c:v>-0.16459429056602154</c:v>
                </c:pt>
                <c:pt idx="21">
                  <c:v>-0.18651775055476805</c:v>
                </c:pt>
                <c:pt idx="22">
                  <c:v>-0.21310276300143885</c:v>
                </c:pt>
                <c:pt idx="23">
                  <c:v>-0.21327999310201615</c:v>
                </c:pt>
                <c:pt idx="24">
                  <c:v>-0.23585559324293745</c:v>
                </c:pt>
                <c:pt idx="25">
                  <c:v>-0.27557439823012708</c:v>
                </c:pt>
                <c:pt idx="26">
                  <c:v>-0.28956707618768684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21-4BFF-962C-F4691700CD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axId val="364717215"/>
        <c:axId val="1708607023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'Q5 - Oil Impact'!$D$36</c15:sqref>
                        </c15:formulaRef>
                      </c:ext>
                    </c:extLst>
                    <c:strCache>
                      <c:ptCount val="1"/>
                      <c:pt idx="0">
                        <c:v>Correlation</c:v>
                      </c:pt>
                    </c:strCache>
                  </c:strRef>
                </c:tx>
                <c:spPr>
                  <a:solidFill>
                    <a:srgbClr val="002060">
                      <a:alpha val="85000"/>
                    </a:srgbClr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'Q5 - Oil Impact'!$B$37:$B$63</c15:sqref>
                        </c15:formulaRef>
                      </c:ext>
                    </c:extLst>
                    <c:strCache>
                      <c:ptCount val="27"/>
                      <c:pt idx="0">
                        <c:v>Oils and fats</c:v>
                      </c:pt>
                      <c:pt idx="1">
                        <c:v>Meat and fish</c:v>
                      </c:pt>
                      <c:pt idx="2">
                        <c:v>Non-alcoholic beverages</c:v>
                      </c:pt>
                      <c:pt idx="3">
                        <c:v>Pan, tobacco and intoxicants</c:v>
                      </c:pt>
                      <c:pt idx="4">
                        <c:v>Footwear</c:v>
                      </c:pt>
                      <c:pt idx="5">
                        <c:v>Fuel and light</c:v>
                      </c:pt>
                      <c:pt idx="6">
                        <c:v>Recreation and amusement</c:v>
                      </c:pt>
                      <c:pt idx="7">
                        <c:v>Transport and communication</c:v>
                      </c:pt>
                      <c:pt idx="8">
                        <c:v>Clothing and footwear</c:v>
                      </c:pt>
                      <c:pt idx="9">
                        <c:v>Health</c:v>
                      </c:pt>
                      <c:pt idx="10">
                        <c:v>Prepared meals, snacks, sweets etc.</c:v>
                      </c:pt>
                      <c:pt idx="11">
                        <c:v>Miscellaneous</c:v>
                      </c:pt>
                      <c:pt idx="12">
                        <c:v>Clothing</c:v>
                      </c:pt>
                      <c:pt idx="13">
                        <c:v>Fruits</c:v>
                      </c:pt>
                      <c:pt idx="14">
                        <c:v>Housing</c:v>
                      </c:pt>
                      <c:pt idx="15">
                        <c:v>General index</c:v>
                      </c:pt>
                      <c:pt idx="16">
                        <c:v>Personal care and effects</c:v>
                      </c:pt>
                      <c:pt idx="17">
                        <c:v>Food and beverages</c:v>
                      </c:pt>
                      <c:pt idx="18">
                        <c:v>Household goods and services</c:v>
                      </c:pt>
                      <c:pt idx="19">
                        <c:v>Vegetables</c:v>
                      </c:pt>
                      <c:pt idx="20">
                        <c:v>Education</c:v>
                      </c:pt>
                      <c:pt idx="21">
                        <c:v>Spices</c:v>
                      </c:pt>
                      <c:pt idx="22">
                        <c:v>Sugar and Confectionery</c:v>
                      </c:pt>
                      <c:pt idx="23">
                        <c:v>Pulses and products</c:v>
                      </c:pt>
                      <c:pt idx="24">
                        <c:v>Egg</c:v>
                      </c:pt>
                      <c:pt idx="25">
                        <c:v>Cereals and products</c:v>
                      </c:pt>
                      <c:pt idx="26">
                        <c:v>Milk and products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'Q5 - Oil Impact'!$D$37:$D$63</c15:sqref>
                        </c15:formulaRef>
                      </c:ext>
                    </c:extLst>
                    <c:numCache>
                      <c:formatCode>0.00</c:formatCode>
                      <c:ptCount val="27"/>
                      <c:pt idx="0">
                        <c:v>0.40456504998927784</c:v>
                      </c:pt>
                      <c:pt idx="1">
                        <c:v>0.37458490024896307</c:v>
                      </c:pt>
                      <c:pt idx="2">
                        <c:v>0.23652440450669523</c:v>
                      </c:pt>
                      <c:pt idx="3">
                        <c:v>0.18028143743209044</c:v>
                      </c:pt>
                      <c:pt idx="4">
                        <c:v>0.16266408297771645</c:v>
                      </c:pt>
                      <c:pt idx="5">
                        <c:v>0.16050751039461716</c:v>
                      </c:pt>
                      <c:pt idx="6">
                        <c:v>0.14963439758570957</c:v>
                      </c:pt>
                      <c:pt idx="7">
                        <c:v>0.11767179545618119</c:v>
                      </c:pt>
                      <c:pt idx="8">
                        <c:v>0.10364372436504027</c:v>
                      </c:pt>
                      <c:pt idx="9">
                        <c:v>8.9523718647472772E-2</c:v>
                      </c:pt>
                      <c:pt idx="10">
                        <c:v>8.9416301013637747E-2</c:v>
                      </c:pt>
                      <c:pt idx="11">
                        <c:v>8.6597424465471362E-2</c:v>
                      </c:pt>
                      <c:pt idx="12">
                        <c:v>7.7276759603151099E-2</c:v>
                      </c:pt>
                      <c:pt idx="13">
                        <c:v>7.1051677185187775E-2</c:v>
                      </c:pt>
                      <c:pt idx="14">
                        <c:v>6.728945984643038E-2</c:v>
                      </c:pt>
                      <c:pt idx="15">
                        <c:v>1.7252377947013741E-2</c:v>
                      </c:pt>
                      <c:pt idx="16">
                        <c:v>-1.0557838687770977E-2</c:v>
                      </c:pt>
                      <c:pt idx="17">
                        <c:v>-1.1741139191838609E-2</c:v>
                      </c:pt>
                      <c:pt idx="18">
                        <c:v>-2.646993127090886E-2</c:v>
                      </c:pt>
                      <c:pt idx="19">
                        <c:v>-4.6686398171739266E-2</c:v>
                      </c:pt>
                      <c:pt idx="20">
                        <c:v>-0.16459429056602154</c:v>
                      </c:pt>
                      <c:pt idx="21">
                        <c:v>-0.18651775055476805</c:v>
                      </c:pt>
                      <c:pt idx="22">
                        <c:v>-0.21310276300143885</c:v>
                      </c:pt>
                      <c:pt idx="23">
                        <c:v>-0.21327999310201615</c:v>
                      </c:pt>
                      <c:pt idx="24">
                        <c:v>-0.23585559324293745</c:v>
                      </c:pt>
                      <c:pt idx="25">
                        <c:v>-0.27557439823012708</c:v>
                      </c:pt>
                      <c:pt idx="26">
                        <c:v>-0.28956707618768684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36-75D8-4CEC-9714-1E4D01EAFC2B}"/>
                  </c:ext>
                </c:extLst>
              </c15:ser>
            </c15:filteredBarSeries>
          </c:ext>
        </c:extLst>
      </c:barChart>
      <c:catAx>
        <c:axId val="3647172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8607023"/>
        <c:crosses val="autoZero"/>
        <c:auto val="1"/>
        <c:lblAlgn val="ctr"/>
        <c:lblOffset val="100"/>
        <c:noMultiLvlLbl val="0"/>
      </c:catAx>
      <c:valAx>
        <c:axId val="170860702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4717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'Q5 - Oil Impact'!$C$101</c:f>
              <c:strCache>
                <c:ptCount val="1"/>
                <c:pt idx="0">
                  <c:v>Oil Price change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6DAA-425B-A1B0-92A98C4BC3C5}"/>
                </c:ext>
              </c:extLst>
            </c:dLbl>
            <c:dLbl>
              <c:idx val="1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6DAA-425B-A1B0-92A98C4BC3C5}"/>
                </c:ext>
              </c:extLst>
            </c:dLbl>
            <c:dLbl>
              <c:idx val="3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6DAA-425B-A1B0-92A98C4BC3C5}"/>
                </c:ext>
              </c:extLst>
            </c:dLbl>
            <c:dLbl>
              <c:idx val="4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6DAA-425B-A1B0-92A98C4BC3C5}"/>
                </c:ext>
              </c:extLst>
            </c:dLbl>
            <c:dLbl>
              <c:idx val="5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6DAA-425B-A1B0-92A98C4BC3C5}"/>
                </c:ext>
              </c:extLst>
            </c:dLbl>
            <c:dLbl>
              <c:idx val="6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6DAA-425B-A1B0-92A98C4BC3C5}"/>
                </c:ext>
              </c:extLst>
            </c:dLbl>
            <c:dLbl>
              <c:idx val="7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6DAA-425B-A1B0-92A98C4BC3C5}"/>
                </c:ext>
              </c:extLst>
            </c:dLbl>
            <c:dLbl>
              <c:idx val="9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6DAA-425B-A1B0-92A98C4BC3C5}"/>
                </c:ext>
              </c:extLst>
            </c:dLbl>
            <c:dLbl>
              <c:idx val="11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6DAA-425B-A1B0-92A98C4BC3C5}"/>
                </c:ext>
              </c:extLst>
            </c:dLbl>
            <c:dLbl>
              <c:idx val="12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6DAA-425B-A1B0-92A98C4BC3C5}"/>
                </c:ext>
              </c:extLst>
            </c:dLbl>
            <c:dLbl>
              <c:idx val="13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6DAA-425B-A1B0-92A98C4BC3C5}"/>
                </c:ext>
              </c:extLst>
            </c:dLbl>
            <c:dLbl>
              <c:idx val="14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6DAA-425B-A1B0-92A98C4BC3C5}"/>
                </c:ext>
              </c:extLst>
            </c:dLbl>
            <c:dLbl>
              <c:idx val="15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6DAA-425B-A1B0-92A98C4BC3C5}"/>
                </c:ext>
              </c:extLst>
            </c:dLbl>
            <c:dLbl>
              <c:idx val="17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6DAA-425B-A1B0-92A98C4BC3C5}"/>
                </c:ext>
              </c:extLst>
            </c:dLbl>
            <c:dLbl>
              <c:idx val="18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6DAA-425B-A1B0-92A98C4BC3C5}"/>
                </c:ext>
              </c:extLst>
            </c:dLbl>
            <c:dLbl>
              <c:idx val="19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6DAA-425B-A1B0-92A98C4BC3C5}"/>
                </c:ext>
              </c:extLst>
            </c:dLbl>
            <c:dLbl>
              <c:idx val="20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6DAA-425B-A1B0-92A98C4BC3C5}"/>
                </c:ext>
              </c:extLst>
            </c:dLbl>
            <c:dLbl>
              <c:idx val="21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6DAA-425B-A1B0-92A98C4BC3C5}"/>
                </c:ext>
              </c:extLst>
            </c:dLbl>
            <c:dLbl>
              <c:idx val="23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6DAA-425B-A1B0-92A98C4BC3C5}"/>
                </c:ext>
              </c:extLst>
            </c:dLbl>
            <c:dLbl>
              <c:idx val="24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6DAA-425B-A1B0-92A98C4BC3C5}"/>
                </c:ext>
              </c:extLst>
            </c:dLbl>
            <c:dLbl>
              <c:idx val="25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6DAA-425B-A1B0-92A98C4BC3C5}"/>
                </c:ext>
              </c:extLst>
            </c:dLbl>
            <c:dLbl>
              <c:idx val="26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6DAA-425B-A1B0-92A98C4BC3C5}"/>
                </c:ext>
              </c:extLst>
            </c:dLbl>
            <c:dLbl>
              <c:idx val="27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6DAA-425B-A1B0-92A98C4BC3C5}"/>
                </c:ext>
              </c:extLst>
            </c:dLbl>
            <c:dLbl>
              <c:idx val="28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6DAA-425B-A1B0-92A98C4BC3C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'Q5 - Oil Impact'!$B$102:$B$130</c:f>
              <c:numCache>
                <c:formatCode>mmm/yyyy</c:formatCode>
                <c:ptCount val="29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</c:numCache>
            </c:numRef>
          </c:cat>
          <c:val>
            <c:numRef>
              <c:f>'Q5 - Oil Impact'!$C$102:$C$130</c:f>
              <c:numCache>
                <c:formatCode>0.00%</c:formatCode>
                <c:ptCount val="29"/>
                <c:pt idx="0">
                  <c:v>9.9413540730958747E-2</c:v>
                </c:pt>
                <c:pt idx="1">
                  <c:v>0.11719313991187642</c:v>
                </c:pt>
                <c:pt idx="2">
                  <c:v>5.7393046940909617E-2</c:v>
                </c:pt>
                <c:pt idx="3">
                  <c:v>-2.0585982416700527E-2</c:v>
                </c:pt>
                <c:pt idx="4">
                  <c:v>5.6092712133380143E-2</c:v>
                </c:pt>
                <c:pt idx="5">
                  <c:v>7.512070034381102E-2</c:v>
                </c:pt>
                <c:pt idx="6">
                  <c:v>2.1622058941749817E-2</c:v>
                </c:pt>
                <c:pt idx="7">
                  <c:v>-5.078030739324535E-2</c:v>
                </c:pt>
                <c:pt idx="8">
                  <c:v>4.7647403493843964E-2</c:v>
                </c:pt>
                <c:pt idx="9">
                  <c:v>0.122748049582014</c:v>
                </c:pt>
                <c:pt idx="10">
                  <c:v>-1.7904511325026917E-2</c:v>
                </c:pt>
                <c:pt idx="11">
                  <c:v>-9.1005991108670498E-2</c:v>
                </c:pt>
                <c:pt idx="12">
                  <c:v>0.15508428007030658</c:v>
                </c:pt>
                <c:pt idx="13">
                  <c:v>0.11104057112312367</c:v>
                </c:pt>
                <c:pt idx="14">
                  <c:v>0.19993126557988886</c:v>
                </c:pt>
                <c:pt idx="15">
                  <c:v>-8.7785717712309114E-2</c:v>
                </c:pt>
                <c:pt idx="16">
                  <c:v>6.3506788685496113E-2</c:v>
                </c:pt>
                <c:pt idx="17">
                  <c:v>5.9415963389681525E-2</c:v>
                </c:pt>
                <c:pt idx="18">
                  <c:v>-9.0681941866876919E-2</c:v>
                </c:pt>
                <c:pt idx="19">
                  <c:v>-7.6658321402549315E-2</c:v>
                </c:pt>
                <c:pt idx="20">
                  <c:v>-6.8766052866020555E-2</c:v>
                </c:pt>
                <c:pt idx="21">
                  <c:v>1.0943048058662044E-2</c:v>
                </c:pt>
                <c:pt idx="22">
                  <c:v>-4.5220612565410795E-2</c:v>
                </c:pt>
                <c:pt idx="23">
                  <c:v>-0.1079506472833215</c:v>
                </c:pt>
                <c:pt idx="24">
                  <c:v>3.6124114857364886E-2</c:v>
                </c:pt>
                <c:pt idx="25">
                  <c:v>1.676222127830582E-2</c:v>
                </c:pt>
                <c:pt idx="26">
                  <c:v>-4.5445857664744529E-2</c:v>
                </c:pt>
                <c:pt idx="27">
                  <c:v>6.6410907167830421E-2</c:v>
                </c:pt>
                <c:pt idx="28">
                  <c:v>-0.10475521515911457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AA-425B-A1B0-92A98C4BC3C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9604400"/>
        <c:axId val="1228754415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'Q5 - Oil Impact'!$D$101</c15:sqref>
                        </c15:formulaRef>
                      </c:ext>
                    </c:extLst>
                    <c:strCache>
                      <c:ptCount val="1"/>
                      <c:pt idx="0">
                        <c:v>Cereals and products inflation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'Q5 - Oil Impact'!$B$102:$B$130</c15:sqref>
                        </c15:formulaRef>
                      </c:ext>
                    </c:extLst>
                    <c:numCache>
                      <c:formatCode>mmm/yyyy</c:formatCode>
                      <c:ptCount val="29"/>
                      <c:pt idx="0">
                        <c:v>44197</c:v>
                      </c:pt>
                      <c:pt idx="1">
                        <c:v>44228</c:v>
                      </c:pt>
                      <c:pt idx="2">
                        <c:v>44256</c:v>
                      </c:pt>
                      <c:pt idx="3">
                        <c:v>44287</c:v>
                      </c:pt>
                      <c:pt idx="4">
                        <c:v>44317</c:v>
                      </c:pt>
                      <c:pt idx="5">
                        <c:v>44348</c:v>
                      </c:pt>
                      <c:pt idx="6">
                        <c:v>44378</c:v>
                      </c:pt>
                      <c:pt idx="7">
                        <c:v>44409</c:v>
                      </c:pt>
                      <c:pt idx="8">
                        <c:v>44440</c:v>
                      </c:pt>
                      <c:pt idx="9">
                        <c:v>44470</c:v>
                      </c:pt>
                      <c:pt idx="10">
                        <c:v>44501</c:v>
                      </c:pt>
                      <c:pt idx="11">
                        <c:v>44531</c:v>
                      </c:pt>
                      <c:pt idx="12">
                        <c:v>44562</c:v>
                      </c:pt>
                      <c:pt idx="13">
                        <c:v>44593</c:v>
                      </c:pt>
                      <c:pt idx="14">
                        <c:v>44621</c:v>
                      </c:pt>
                      <c:pt idx="15">
                        <c:v>44652</c:v>
                      </c:pt>
                      <c:pt idx="16">
                        <c:v>44682</c:v>
                      </c:pt>
                      <c:pt idx="17">
                        <c:v>44713</c:v>
                      </c:pt>
                      <c:pt idx="18">
                        <c:v>44743</c:v>
                      </c:pt>
                      <c:pt idx="19">
                        <c:v>44774</c:v>
                      </c:pt>
                      <c:pt idx="20">
                        <c:v>44805</c:v>
                      </c:pt>
                      <c:pt idx="21">
                        <c:v>44835</c:v>
                      </c:pt>
                      <c:pt idx="22">
                        <c:v>44866</c:v>
                      </c:pt>
                      <c:pt idx="23">
                        <c:v>44896</c:v>
                      </c:pt>
                      <c:pt idx="24">
                        <c:v>44927</c:v>
                      </c:pt>
                      <c:pt idx="25">
                        <c:v>44958</c:v>
                      </c:pt>
                      <c:pt idx="26">
                        <c:v>44986</c:v>
                      </c:pt>
                      <c:pt idx="27">
                        <c:v>45017</c:v>
                      </c:pt>
                      <c:pt idx="28">
                        <c:v>45047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'Q5 - Oil Impact'!$D$102:$D$130</c15:sqref>
                        </c15:formulaRef>
                      </c:ext>
                    </c:extLst>
                    <c:numCache>
                      <c:formatCode>0.00%</c:formatCode>
                      <c:ptCount val="29"/>
                      <c:pt idx="0">
                        <c:v>-7.534246575342427E-3</c:v>
                      </c:pt>
                      <c:pt idx="1">
                        <c:v>-4.1407867494823621E-3</c:v>
                      </c:pt>
                      <c:pt idx="2">
                        <c:v>-1.386001386001504E-3</c:v>
                      </c:pt>
                      <c:pt idx="3">
                        <c:v>1.3879250520473078E-3</c:v>
                      </c:pt>
                      <c:pt idx="4">
                        <c:v>1.386001386001386E-2</c:v>
                      </c:pt>
                      <c:pt idx="5">
                        <c:v>2.7341079972657365E-3</c:v>
                      </c:pt>
                      <c:pt idx="6">
                        <c:v>-2.0449897750510087E-3</c:v>
                      </c:pt>
                      <c:pt idx="7">
                        <c:v>1.3661202185791573E-3</c:v>
                      </c:pt>
                      <c:pt idx="8">
                        <c:v>0</c:v>
                      </c:pt>
                      <c:pt idx="9">
                        <c:v>5.4570259208732022E-3</c:v>
                      </c:pt>
                      <c:pt idx="10">
                        <c:v>5.4274084124829236E-3</c:v>
                      </c:pt>
                      <c:pt idx="11">
                        <c:v>3.3738191632928477E-3</c:v>
                      </c:pt>
                      <c:pt idx="12">
                        <c:v>5.3799596503026998E-3</c:v>
                      </c:pt>
                      <c:pt idx="13">
                        <c:v>3.3444816053511705E-3</c:v>
                      </c:pt>
                      <c:pt idx="14">
                        <c:v>8.6666666666667426E-3</c:v>
                      </c:pt>
                      <c:pt idx="15">
                        <c:v>1.0575016523463279E-2</c:v>
                      </c:pt>
                      <c:pt idx="16">
                        <c:v>7.848266841072522E-3</c:v>
                      </c:pt>
                      <c:pt idx="17">
                        <c:v>5.8403634003893947E-3</c:v>
                      </c:pt>
                      <c:pt idx="18">
                        <c:v>9.6774193548387101E-3</c:v>
                      </c:pt>
                      <c:pt idx="19">
                        <c:v>2.4281150159744483E-2</c:v>
                      </c:pt>
                      <c:pt idx="20">
                        <c:v>1.9962570180910719E-2</c:v>
                      </c:pt>
                      <c:pt idx="21">
                        <c:v>1.0397553516819502E-2</c:v>
                      </c:pt>
                      <c:pt idx="22">
                        <c:v>1.3317191283293082E-2</c:v>
                      </c:pt>
                      <c:pt idx="23">
                        <c:v>1.0752688172042909E-2</c:v>
                      </c:pt>
                      <c:pt idx="24">
                        <c:v>2.7186761229314557E-2</c:v>
                      </c:pt>
                      <c:pt idx="25">
                        <c:v>3.4522439585730398E-3</c:v>
                      </c:pt>
                      <c:pt idx="26">
                        <c:v>0</c:v>
                      </c:pt>
                      <c:pt idx="27">
                        <c:v>-3.4403669724770315E-3</c:v>
                      </c:pt>
                      <c:pt idx="28">
                        <c:v>-5.7537399309564284E-4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6DAA-425B-A1B0-92A98C4BC3C5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'Q5 - Oil Impact'!$E$101</c15:sqref>
                        </c15:formulaRef>
                      </c:ext>
                    </c:extLst>
                    <c:strCache>
                      <c:ptCount val="1"/>
                      <c:pt idx="0">
                        <c:v>Meat and fish inflation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'Q5 - Oil Impact'!$B$102:$B$130</c15:sqref>
                        </c15:formulaRef>
                      </c:ext>
                    </c:extLst>
                    <c:numCache>
                      <c:formatCode>mmm/yyyy</c:formatCode>
                      <c:ptCount val="29"/>
                      <c:pt idx="0">
                        <c:v>44197</c:v>
                      </c:pt>
                      <c:pt idx="1">
                        <c:v>44228</c:v>
                      </c:pt>
                      <c:pt idx="2">
                        <c:v>44256</c:v>
                      </c:pt>
                      <c:pt idx="3">
                        <c:v>44287</c:v>
                      </c:pt>
                      <c:pt idx="4">
                        <c:v>44317</c:v>
                      </c:pt>
                      <c:pt idx="5">
                        <c:v>44348</c:v>
                      </c:pt>
                      <c:pt idx="6">
                        <c:v>44378</c:v>
                      </c:pt>
                      <c:pt idx="7">
                        <c:v>44409</c:v>
                      </c:pt>
                      <c:pt idx="8">
                        <c:v>44440</c:v>
                      </c:pt>
                      <c:pt idx="9">
                        <c:v>44470</c:v>
                      </c:pt>
                      <c:pt idx="10">
                        <c:v>44501</c:v>
                      </c:pt>
                      <c:pt idx="11">
                        <c:v>44531</c:v>
                      </c:pt>
                      <c:pt idx="12">
                        <c:v>44562</c:v>
                      </c:pt>
                      <c:pt idx="13">
                        <c:v>44593</c:v>
                      </c:pt>
                      <c:pt idx="14">
                        <c:v>44621</c:v>
                      </c:pt>
                      <c:pt idx="15">
                        <c:v>44652</c:v>
                      </c:pt>
                      <c:pt idx="16">
                        <c:v>44682</c:v>
                      </c:pt>
                      <c:pt idx="17">
                        <c:v>44713</c:v>
                      </c:pt>
                      <c:pt idx="18">
                        <c:v>44743</c:v>
                      </c:pt>
                      <c:pt idx="19">
                        <c:v>44774</c:v>
                      </c:pt>
                      <c:pt idx="20">
                        <c:v>44805</c:v>
                      </c:pt>
                      <c:pt idx="21">
                        <c:v>44835</c:v>
                      </c:pt>
                      <c:pt idx="22">
                        <c:v>44866</c:v>
                      </c:pt>
                      <c:pt idx="23">
                        <c:v>44896</c:v>
                      </c:pt>
                      <c:pt idx="24">
                        <c:v>44927</c:v>
                      </c:pt>
                      <c:pt idx="25">
                        <c:v>44958</c:v>
                      </c:pt>
                      <c:pt idx="26">
                        <c:v>44986</c:v>
                      </c:pt>
                      <c:pt idx="27">
                        <c:v>45017</c:v>
                      </c:pt>
                      <c:pt idx="28">
                        <c:v>45047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'Q5 - Oil Impact'!$E$102:$E$130</c15:sqref>
                        </c15:formulaRef>
                      </c:ext>
                    </c:extLst>
                    <c:numCache>
                      <c:formatCode>0.00%</c:formatCode>
                      <c:ptCount val="29"/>
                      <c:pt idx="0">
                        <c:v>-4.7120418848167834E-3</c:v>
                      </c:pt>
                      <c:pt idx="1">
                        <c:v>-1.8937401367701182E-2</c:v>
                      </c:pt>
                      <c:pt idx="2">
                        <c:v>3.0563002680965085E-2</c:v>
                      </c:pt>
                      <c:pt idx="3">
                        <c:v>3.0176899063475607E-2</c:v>
                      </c:pt>
                      <c:pt idx="4">
                        <c:v>1.2626262626262626E-2</c:v>
                      </c:pt>
                      <c:pt idx="5">
                        <c:v>7.481296758104738E-3</c:v>
                      </c:pt>
                      <c:pt idx="6">
                        <c:v>2.3762376237623818E-2</c:v>
                      </c:pt>
                      <c:pt idx="7">
                        <c:v>-1.3539651837524232E-2</c:v>
                      </c:pt>
                      <c:pt idx="8">
                        <c:v>0</c:v>
                      </c:pt>
                      <c:pt idx="9">
                        <c:v>2.9411764705882075E-3</c:v>
                      </c:pt>
                      <c:pt idx="10">
                        <c:v>-1.466275659824047E-2</c:v>
                      </c:pt>
                      <c:pt idx="11">
                        <c:v>-1.3888888888888805E-2</c:v>
                      </c:pt>
                      <c:pt idx="12">
                        <c:v>-5.0301810865202579E-4</c:v>
                      </c:pt>
                      <c:pt idx="13">
                        <c:v>9.5621540010065714E-3</c:v>
                      </c:pt>
                      <c:pt idx="14">
                        <c:v>5.0348953140578238E-2</c:v>
                      </c:pt>
                      <c:pt idx="15">
                        <c:v>5.2206929283342323E-3</c:v>
                      </c:pt>
                      <c:pt idx="16">
                        <c:v>2.4551463644948011E-2</c:v>
                      </c:pt>
                      <c:pt idx="17">
                        <c:v>1.1059907834101408E-2</c:v>
                      </c:pt>
                      <c:pt idx="18">
                        <c:v>-2.9170464904284436E-2</c:v>
                      </c:pt>
                      <c:pt idx="19">
                        <c:v>-3.0516431924882629E-2</c:v>
                      </c:pt>
                      <c:pt idx="20">
                        <c:v>1.3075060532687597E-2</c:v>
                      </c:pt>
                      <c:pt idx="21">
                        <c:v>8.1261950286807706E-3</c:v>
                      </c:pt>
                      <c:pt idx="22">
                        <c:v>-7.1123755334281651E-3</c:v>
                      </c:pt>
                      <c:pt idx="23">
                        <c:v>-1.9102196752626823E-3</c:v>
                      </c:pt>
                      <c:pt idx="24">
                        <c:v>8.1339712918659744E-3</c:v>
                      </c:pt>
                      <c:pt idx="25">
                        <c:v>-1.423825344091125E-2</c:v>
                      </c:pt>
                      <c:pt idx="26">
                        <c:v>0</c:v>
                      </c:pt>
                      <c:pt idx="27">
                        <c:v>7.7034183919115207E-3</c:v>
                      </c:pt>
                      <c:pt idx="28">
                        <c:v>2.3889154323936932E-2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6DAA-425B-A1B0-92A98C4BC3C5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'Q5 - Oil Impact'!$F$101</c15:sqref>
                        </c15:formulaRef>
                      </c:ext>
                    </c:extLst>
                    <c:strCache>
                      <c:ptCount val="1"/>
                      <c:pt idx="0">
                        <c:v>Egg inflation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'Q5 - Oil Impact'!$B$102:$B$130</c15:sqref>
                        </c15:formulaRef>
                      </c:ext>
                    </c:extLst>
                    <c:numCache>
                      <c:formatCode>mmm/yyyy</c:formatCode>
                      <c:ptCount val="29"/>
                      <c:pt idx="0">
                        <c:v>44197</c:v>
                      </c:pt>
                      <c:pt idx="1">
                        <c:v>44228</c:v>
                      </c:pt>
                      <c:pt idx="2">
                        <c:v>44256</c:v>
                      </c:pt>
                      <c:pt idx="3">
                        <c:v>44287</c:v>
                      </c:pt>
                      <c:pt idx="4">
                        <c:v>44317</c:v>
                      </c:pt>
                      <c:pt idx="5">
                        <c:v>44348</c:v>
                      </c:pt>
                      <c:pt idx="6">
                        <c:v>44378</c:v>
                      </c:pt>
                      <c:pt idx="7">
                        <c:v>44409</c:v>
                      </c:pt>
                      <c:pt idx="8">
                        <c:v>44440</c:v>
                      </c:pt>
                      <c:pt idx="9">
                        <c:v>44470</c:v>
                      </c:pt>
                      <c:pt idx="10">
                        <c:v>44501</c:v>
                      </c:pt>
                      <c:pt idx="11">
                        <c:v>44531</c:v>
                      </c:pt>
                      <c:pt idx="12">
                        <c:v>44562</c:v>
                      </c:pt>
                      <c:pt idx="13">
                        <c:v>44593</c:v>
                      </c:pt>
                      <c:pt idx="14">
                        <c:v>44621</c:v>
                      </c:pt>
                      <c:pt idx="15">
                        <c:v>44652</c:v>
                      </c:pt>
                      <c:pt idx="16">
                        <c:v>44682</c:v>
                      </c:pt>
                      <c:pt idx="17">
                        <c:v>44713</c:v>
                      </c:pt>
                      <c:pt idx="18">
                        <c:v>44743</c:v>
                      </c:pt>
                      <c:pt idx="19">
                        <c:v>44774</c:v>
                      </c:pt>
                      <c:pt idx="20">
                        <c:v>44805</c:v>
                      </c:pt>
                      <c:pt idx="21">
                        <c:v>44835</c:v>
                      </c:pt>
                      <c:pt idx="22">
                        <c:v>44866</c:v>
                      </c:pt>
                      <c:pt idx="23">
                        <c:v>44896</c:v>
                      </c:pt>
                      <c:pt idx="24">
                        <c:v>44927</c:v>
                      </c:pt>
                      <c:pt idx="25">
                        <c:v>44958</c:v>
                      </c:pt>
                      <c:pt idx="26">
                        <c:v>44986</c:v>
                      </c:pt>
                      <c:pt idx="27">
                        <c:v>45017</c:v>
                      </c:pt>
                      <c:pt idx="28">
                        <c:v>45047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'Q5 - Oil Impact'!$F$102:$F$130</c15:sqref>
                        </c15:formulaRef>
                      </c:ext>
                    </c:extLst>
                    <c:numCache>
                      <c:formatCode>0.00%</c:formatCode>
                      <c:ptCount val="29"/>
                      <c:pt idx="0">
                        <c:v>0</c:v>
                      </c:pt>
                      <c:pt idx="1">
                        <c:v>-3.764974329720492E-2</c:v>
                      </c:pt>
                      <c:pt idx="2">
                        <c:v>-2.9045643153526837E-2</c:v>
                      </c:pt>
                      <c:pt idx="3">
                        <c:v>4.8840048840047799E-3</c:v>
                      </c:pt>
                      <c:pt idx="4">
                        <c:v>3.4629404617254056E-2</c:v>
                      </c:pt>
                      <c:pt idx="5">
                        <c:v>6.1068702290076202E-2</c:v>
                      </c:pt>
                      <c:pt idx="6">
                        <c:v>8.3010514665190927E-3</c:v>
                      </c:pt>
                      <c:pt idx="7">
                        <c:v>-5.1591657519209536E-2</c:v>
                      </c:pt>
                      <c:pt idx="8">
                        <c:v>0</c:v>
                      </c:pt>
                      <c:pt idx="9">
                        <c:v>-9.2592592592593906E-3</c:v>
                      </c:pt>
                      <c:pt idx="10">
                        <c:v>1.0514018691588852E-2</c:v>
                      </c:pt>
                      <c:pt idx="11">
                        <c:v>2.8323699421965352E-2</c:v>
                      </c:pt>
                      <c:pt idx="12">
                        <c:v>5.0590219224283623E-3</c:v>
                      </c:pt>
                      <c:pt idx="13">
                        <c:v>-1.6778523489932886E-2</c:v>
                      </c:pt>
                      <c:pt idx="14">
                        <c:v>-4.5506257110352673E-2</c:v>
                      </c:pt>
                      <c:pt idx="15">
                        <c:v>-1.9666269368295658E-2</c:v>
                      </c:pt>
                      <c:pt idx="16">
                        <c:v>-1.2765957446808475E-2</c:v>
                      </c:pt>
                      <c:pt idx="17">
                        <c:v>5.1724137931034517E-2</c:v>
                      </c:pt>
                      <c:pt idx="18">
                        <c:v>2.5761124121779725E-2</c:v>
                      </c:pt>
                      <c:pt idx="19">
                        <c:v>-3.4246575342465758E-2</c:v>
                      </c:pt>
                      <c:pt idx="20">
                        <c:v>2.9550827423167852E-3</c:v>
                      </c:pt>
                      <c:pt idx="21">
                        <c:v>7.0713022981733478E-3</c:v>
                      </c:pt>
                      <c:pt idx="22">
                        <c:v>6.1439438267992974E-2</c:v>
                      </c:pt>
                      <c:pt idx="23">
                        <c:v>4.8511576626240255E-2</c:v>
                      </c:pt>
                      <c:pt idx="24">
                        <c:v>2.2607781282860208E-2</c:v>
                      </c:pt>
                      <c:pt idx="25">
                        <c:v>-9.9228791773778982E-2</c:v>
                      </c:pt>
                      <c:pt idx="26">
                        <c:v>0</c:v>
                      </c:pt>
                      <c:pt idx="27">
                        <c:v>-3.1963470319634674E-2</c:v>
                      </c:pt>
                      <c:pt idx="28">
                        <c:v>2.122641509433959E-2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DAA-425B-A1B0-92A98C4BC3C5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'Q5 - Oil Impact'!$G$101</c15:sqref>
                        </c15:formulaRef>
                      </c:ext>
                    </c:extLst>
                    <c:strCache>
                      <c:ptCount val="1"/>
                      <c:pt idx="0">
                        <c:v>Milk and products inflation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'Q5 - Oil Impact'!$B$102:$B$130</c15:sqref>
                        </c15:formulaRef>
                      </c:ext>
                    </c:extLst>
                    <c:numCache>
                      <c:formatCode>mmm/yyyy</c:formatCode>
                      <c:ptCount val="29"/>
                      <c:pt idx="0">
                        <c:v>44197</c:v>
                      </c:pt>
                      <c:pt idx="1">
                        <c:v>44228</c:v>
                      </c:pt>
                      <c:pt idx="2">
                        <c:v>44256</c:v>
                      </c:pt>
                      <c:pt idx="3">
                        <c:v>44287</c:v>
                      </c:pt>
                      <c:pt idx="4">
                        <c:v>44317</c:v>
                      </c:pt>
                      <c:pt idx="5">
                        <c:v>44348</c:v>
                      </c:pt>
                      <c:pt idx="6">
                        <c:v>44378</c:v>
                      </c:pt>
                      <c:pt idx="7">
                        <c:v>44409</c:v>
                      </c:pt>
                      <c:pt idx="8">
                        <c:v>44440</c:v>
                      </c:pt>
                      <c:pt idx="9">
                        <c:v>44470</c:v>
                      </c:pt>
                      <c:pt idx="10">
                        <c:v>44501</c:v>
                      </c:pt>
                      <c:pt idx="11">
                        <c:v>44531</c:v>
                      </c:pt>
                      <c:pt idx="12">
                        <c:v>44562</c:v>
                      </c:pt>
                      <c:pt idx="13">
                        <c:v>44593</c:v>
                      </c:pt>
                      <c:pt idx="14">
                        <c:v>44621</c:v>
                      </c:pt>
                      <c:pt idx="15">
                        <c:v>44652</c:v>
                      </c:pt>
                      <c:pt idx="16">
                        <c:v>44682</c:v>
                      </c:pt>
                      <c:pt idx="17">
                        <c:v>44713</c:v>
                      </c:pt>
                      <c:pt idx="18">
                        <c:v>44743</c:v>
                      </c:pt>
                      <c:pt idx="19">
                        <c:v>44774</c:v>
                      </c:pt>
                      <c:pt idx="20">
                        <c:v>44805</c:v>
                      </c:pt>
                      <c:pt idx="21">
                        <c:v>44835</c:v>
                      </c:pt>
                      <c:pt idx="22">
                        <c:v>44866</c:v>
                      </c:pt>
                      <c:pt idx="23">
                        <c:v>44896</c:v>
                      </c:pt>
                      <c:pt idx="24">
                        <c:v>44927</c:v>
                      </c:pt>
                      <c:pt idx="25">
                        <c:v>44958</c:v>
                      </c:pt>
                      <c:pt idx="26">
                        <c:v>44986</c:v>
                      </c:pt>
                      <c:pt idx="27">
                        <c:v>45017</c:v>
                      </c:pt>
                      <c:pt idx="28">
                        <c:v>45047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'Q5 - Oil Impact'!$G$102:$G$130</c15:sqref>
                        </c15:formulaRef>
                      </c:ext>
                    </c:extLst>
                    <c:numCache>
                      <c:formatCode>0.00%</c:formatCode>
                      <c:ptCount val="29"/>
                      <c:pt idx="0">
                        <c:v>0</c:v>
                      </c:pt>
                      <c:pt idx="1">
                        <c:v>3.893575600259535E-3</c:v>
                      </c:pt>
                      <c:pt idx="2">
                        <c:v>1.2928248222366973E-3</c:v>
                      </c:pt>
                      <c:pt idx="3">
                        <c:v>3.2278889606197547E-3</c:v>
                      </c:pt>
                      <c:pt idx="4">
                        <c:v>4.5045045045044316E-3</c:v>
                      </c:pt>
                      <c:pt idx="5">
                        <c:v>6.4061499039073878E-4</c:v>
                      </c:pt>
                      <c:pt idx="6">
                        <c:v>8.32266325224079E-3</c:v>
                      </c:pt>
                      <c:pt idx="7">
                        <c:v>5.7142857142857507E-3</c:v>
                      </c:pt>
                      <c:pt idx="8">
                        <c:v>0</c:v>
                      </c:pt>
                      <c:pt idx="9">
                        <c:v>1.8939393939392862E-3</c:v>
                      </c:pt>
                      <c:pt idx="10">
                        <c:v>3.7807183364840756E-3</c:v>
                      </c:pt>
                      <c:pt idx="11">
                        <c:v>3.766478342749493E-3</c:v>
                      </c:pt>
                      <c:pt idx="12">
                        <c:v>3.7523452157598143E-3</c:v>
                      </c:pt>
                      <c:pt idx="13">
                        <c:v>1.2461059190030444E-3</c:v>
                      </c:pt>
                      <c:pt idx="14">
                        <c:v>9.3341630367143758E-3</c:v>
                      </c:pt>
                      <c:pt idx="15">
                        <c:v>1.0480887792848441E-2</c:v>
                      </c:pt>
                      <c:pt idx="16">
                        <c:v>6.1012812690665035E-3</c:v>
                      </c:pt>
                      <c:pt idx="17">
                        <c:v>5.4578532443905741E-3</c:v>
                      </c:pt>
                      <c:pt idx="18">
                        <c:v>4.8250904704462173E-3</c:v>
                      </c:pt>
                      <c:pt idx="19">
                        <c:v>9.00360144057623E-3</c:v>
                      </c:pt>
                      <c:pt idx="20">
                        <c:v>9.5181439619273899E-3</c:v>
                      </c:pt>
                      <c:pt idx="21">
                        <c:v>7.0713022981733478E-3</c:v>
                      </c:pt>
                      <c:pt idx="22">
                        <c:v>8.1919251023990971E-3</c:v>
                      </c:pt>
                      <c:pt idx="23">
                        <c:v>7.5449796865930518E-3</c:v>
                      </c:pt>
                      <c:pt idx="24">
                        <c:v>5.7603686635944703E-3</c:v>
                      </c:pt>
                      <c:pt idx="25">
                        <c:v>1.5463917525773294E-2</c:v>
                      </c:pt>
                      <c:pt idx="26">
                        <c:v>0</c:v>
                      </c:pt>
                      <c:pt idx="27">
                        <c:v>6.2041737168640398E-3</c:v>
                      </c:pt>
                      <c:pt idx="28">
                        <c:v>6.1659192825111791E-3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DAA-425B-A1B0-92A98C4BC3C5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'Q5 - Oil Impact'!$H$101</c15:sqref>
                        </c15:formulaRef>
                      </c:ext>
                    </c:extLst>
                    <c:strCache>
                      <c:ptCount val="1"/>
                      <c:pt idx="0">
                        <c:v>Oils and fats inflation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'Q5 - Oil Impact'!$B$102:$B$130</c15:sqref>
                        </c15:formulaRef>
                      </c:ext>
                    </c:extLst>
                    <c:numCache>
                      <c:formatCode>mmm/yyyy</c:formatCode>
                      <c:ptCount val="29"/>
                      <c:pt idx="0">
                        <c:v>44197</c:v>
                      </c:pt>
                      <c:pt idx="1">
                        <c:v>44228</c:v>
                      </c:pt>
                      <c:pt idx="2">
                        <c:v>44256</c:v>
                      </c:pt>
                      <c:pt idx="3">
                        <c:v>44287</c:v>
                      </c:pt>
                      <c:pt idx="4">
                        <c:v>44317</c:v>
                      </c:pt>
                      <c:pt idx="5">
                        <c:v>44348</c:v>
                      </c:pt>
                      <c:pt idx="6">
                        <c:v>44378</c:v>
                      </c:pt>
                      <c:pt idx="7">
                        <c:v>44409</c:v>
                      </c:pt>
                      <c:pt idx="8">
                        <c:v>44440</c:v>
                      </c:pt>
                      <c:pt idx="9">
                        <c:v>44470</c:v>
                      </c:pt>
                      <c:pt idx="10">
                        <c:v>44501</c:v>
                      </c:pt>
                      <c:pt idx="11">
                        <c:v>44531</c:v>
                      </c:pt>
                      <c:pt idx="12">
                        <c:v>44562</c:v>
                      </c:pt>
                      <c:pt idx="13">
                        <c:v>44593</c:v>
                      </c:pt>
                      <c:pt idx="14">
                        <c:v>44621</c:v>
                      </c:pt>
                      <c:pt idx="15">
                        <c:v>44652</c:v>
                      </c:pt>
                      <c:pt idx="16">
                        <c:v>44682</c:v>
                      </c:pt>
                      <c:pt idx="17">
                        <c:v>44713</c:v>
                      </c:pt>
                      <c:pt idx="18">
                        <c:v>44743</c:v>
                      </c:pt>
                      <c:pt idx="19">
                        <c:v>44774</c:v>
                      </c:pt>
                      <c:pt idx="20">
                        <c:v>44805</c:v>
                      </c:pt>
                      <c:pt idx="21">
                        <c:v>44835</c:v>
                      </c:pt>
                      <c:pt idx="22">
                        <c:v>44866</c:v>
                      </c:pt>
                      <c:pt idx="23">
                        <c:v>44896</c:v>
                      </c:pt>
                      <c:pt idx="24">
                        <c:v>44927</c:v>
                      </c:pt>
                      <c:pt idx="25">
                        <c:v>44958</c:v>
                      </c:pt>
                      <c:pt idx="26">
                        <c:v>44986</c:v>
                      </c:pt>
                      <c:pt idx="27">
                        <c:v>45017</c:v>
                      </c:pt>
                      <c:pt idx="28">
                        <c:v>45047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'Q5 - Oil Impact'!$H$102:$H$130</c15:sqref>
                        </c15:formulaRef>
                      </c:ext>
                    </c:extLst>
                    <c:numCache>
                      <c:formatCode>0.00%</c:formatCode>
                      <c:ptCount val="29"/>
                      <c:pt idx="0">
                        <c:v>2.9331514324693123E-2</c:v>
                      </c:pt>
                      <c:pt idx="1">
                        <c:v>5.1689860834989942E-2</c:v>
                      </c:pt>
                      <c:pt idx="2">
                        <c:v>3.2766225582860853E-2</c:v>
                      </c:pt>
                      <c:pt idx="3">
                        <c:v>3.7827943868212255E-2</c:v>
                      </c:pt>
                      <c:pt idx="4">
                        <c:v>5.0558495002939415E-2</c:v>
                      </c:pt>
                      <c:pt idx="5">
                        <c:v>2.7979854504756579E-2</c:v>
                      </c:pt>
                      <c:pt idx="6">
                        <c:v>-8.7098530212302364E-3</c:v>
                      </c:pt>
                      <c:pt idx="7">
                        <c:v>3.2399780340472299E-2</c:v>
                      </c:pt>
                      <c:pt idx="8">
                        <c:v>0</c:v>
                      </c:pt>
                      <c:pt idx="9">
                        <c:v>1.3829787234042523E-2</c:v>
                      </c:pt>
                      <c:pt idx="10">
                        <c:v>-2.6232948583420779E-3</c:v>
                      </c:pt>
                      <c:pt idx="11">
                        <c:v>-1.3150973172014729E-2</c:v>
                      </c:pt>
                      <c:pt idx="12">
                        <c:v>-1.5458422174840116E-2</c:v>
                      </c:pt>
                      <c:pt idx="13">
                        <c:v>1.0828370330266219E-3</c:v>
                      </c:pt>
                      <c:pt idx="14">
                        <c:v>5.2460789616008592E-2</c:v>
                      </c:pt>
                      <c:pt idx="15">
                        <c:v>2.5179856115107944E-2</c:v>
                      </c:pt>
                      <c:pt idx="16">
                        <c:v>1.4536340852130354E-2</c:v>
                      </c:pt>
                      <c:pt idx="17">
                        <c:v>-7.411067193675889E-3</c:v>
                      </c:pt>
                      <c:pt idx="18">
                        <c:v>-2.5385764061722219E-2</c:v>
                      </c:pt>
                      <c:pt idx="19">
                        <c:v>-1.7364657814096043E-2</c:v>
                      </c:pt>
                      <c:pt idx="20">
                        <c:v>-1.9230769230769319E-2</c:v>
                      </c:pt>
                      <c:pt idx="21">
                        <c:v>-1.1658717541070422E-2</c:v>
                      </c:pt>
                      <c:pt idx="22">
                        <c:v>1.286863270777483E-2</c:v>
                      </c:pt>
                      <c:pt idx="23">
                        <c:v>-2.1175224986765785E-3</c:v>
                      </c:pt>
                      <c:pt idx="24">
                        <c:v>-6.8965517241379917E-3</c:v>
                      </c:pt>
                      <c:pt idx="25">
                        <c:v>-4.2200854700854579E-2</c:v>
                      </c:pt>
                      <c:pt idx="26">
                        <c:v>-5.5772448410497898E-4</c:v>
                      </c:pt>
                      <c:pt idx="27">
                        <c:v>-2.3995535714285622E-2</c:v>
                      </c:pt>
                      <c:pt idx="28">
                        <c:v>-2.801600914808465E-2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DAA-425B-A1B0-92A98C4BC3C5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'Q5 - Oil Impact'!$I$101</c15:sqref>
                        </c15:formulaRef>
                      </c:ext>
                    </c:extLst>
                    <c:strCache>
                      <c:ptCount val="1"/>
                      <c:pt idx="0">
                        <c:v>Fruits inflation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'Q5 - Oil Impact'!$B$102:$B$130</c15:sqref>
                        </c15:formulaRef>
                      </c:ext>
                    </c:extLst>
                    <c:numCache>
                      <c:formatCode>mmm/yyyy</c:formatCode>
                      <c:ptCount val="29"/>
                      <c:pt idx="0">
                        <c:v>44197</c:v>
                      </c:pt>
                      <c:pt idx="1">
                        <c:v>44228</c:v>
                      </c:pt>
                      <c:pt idx="2">
                        <c:v>44256</c:v>
                      </c:pt>
                      <c:pt idx="3">
                        <c:v>44287</c:v>
                      </c:pt>
                      <c:pt idx="4">
                        <c:v>44317</c:v>
                      </c:pt>
                      <c:pt idx="5">
                        <c:v>44348</c:v>
                      </c:pt>
                      <c:pt idx="6">
                        <c:v>44378</c:v>
                      </c:pt>
                      <c:pt idx="7">
                        <c:v>44409</c:v>
                      </c:pt>
                      <c:pt idx="8">
                        <c:v>44440</c:v>
                      </c:pt>
                      <c:pt idx="9">
                        <c:v>44470</c:v>
                      </c:pt>
                      <c:pt idx="10">
                        <c:v>44501</c:v>
                      </c:pt>
                      <c:pt idx="11">
                        <c:v>44531</c:v>
                      </c:pt>
                      <c:pt idx="12">
                        <c:v>44562</c:v>
                      </c:pt>
                      <c:pt idx="13">
                        <c:v>44593</c:v>
                      </c:pt>
                      <c:pt idx="14">
                        <c:v>44621</c:v>
                      </c:pt>
                      <c:pt idx="15">
                        <c:v>44652</c:v>
                      </c:pt>
                      <c:pt idx="16">
                        <c:v>44682</c:v>
                      </c:pt>
                      <c:pt idx="17">
                        <c:v>44713</c:v>
                      </c:pt>
                      <c:pt idx="18">
                        <c:v>44743</c:v>
                      </c:pt>
                      <c:pt idx="19">
                        <c:v>44774</c:v>
                      </c:pt>
                      <c:pt idx="20">
                        <c:v>44805</c:v>
                      </c:pt>
                      <c:pt idx="21">
                        <c:v>44835</c:v>
                      </c:pt>
                      <c:pt idx="22">
                        <c:v>44866</c:v>
                      </c:pt>
                      <c:pt idx="23">
                        <c:v>44896</c:v>
                      </c:pt>
                      <c:pt idx="24">
                        <c:v>44927</c:v>
                      </c:pt>
                      <c:pt idx="25">
                        <c:v>44958</c:v>
                      </c:pt>
                      <c:pt idx="26">
                        <c:v>44986</c:v>
                      </c:pt>
                      <c:pt idx="27">
                        <c:v>45017</c:v>
                      </c:pt>
                      <c:pt idx="28">
                        <c:v>45047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'Q5 - Oil Impact'!$I$102:$I$130</c15:sqref>
                        </c15:formulaRef>
                      </c:ext>
                    </c:extLst>
                    <c:numCache>
                      <c:formatCode>0.00%</c:formatCode>
                      <c:ptCount val="29"/>
                      <c:pt idx="0">
                        <c:v>1.2863913337847026E-2</c:v>
                      </c:pt>
                      <c:pt idx="1">
                        <c:v>7.3529411764705508E-3</c:v>
                      </c:pt>
                      <c:pt idx="2">
                        <c:v>1.9907100199071003E-2</c:v>
                      </c:pt>
                      <c:pt idx="3">
                        <c:v>6.9616135328562256E-2</c:v>
                      </c:pt>
                      <c:pt idx="4">
                        <c:v>1.6423357664233508E-2</c:v>
                      </c:pt>
                      <c:pt idx="5">
                        <c:v>-1.4961101137043686E-2</c:v>
                      </c:pt>
                      <c:pt idx="6">
                        <c:v>-4.2527339003644513E-3</c:v>
                      </c:pt>
                      <c:pt idx="7">
                        <c:v>-4.3319097010372141E-2</c:v>
                      </c:pt>
                      <c:pt idx="8">
                        <c:v>-6.3775510204096134E-4</c:v>
                      </c:pt>
                      <c:pt idx="9">
                        <c:v>-6.3816209317166563E-3</c:v>
                      </c:pt>
                      <c:pt idx="10">
                        <c:v>5.1380860629416276E-3</c:v>
                      </c:pt>
                      <c:pt idx="11">
                        <c:v>-1.0223642172523926E-2</c:v>
                      </c:pt>
                      <c:pt idx="12">
                        <c:v>-7.7469335054875209E-3</c:v>
                      </c:pt>
                      <c:pt idx="13">
                        <c:v>0</c:v>
                      </c:pt>
                      <c:pt idx="14">
                        <c:v>2.5374105400130163E-2</c:v>
                      </c:pt>
                      <c:pt idx="15">
                        <c:v>9.5177664974619297E-2</c:v>
                      </c:pt>
                      <c:pt idx="16">
                        <c:v>-9.2699884125144513E-3</c:v>
                      </c:pt>
                      <c:pt idx="17">
                        <c:v>-7.6023391812866164E-3</c:v>
                      </c:pt>
                      <c:pt idx="18">
                        <c:v>2.6517383618149679E-2</c:v>
                      </c:pt>
                      <c:pt idx="19">
                        <c:v>-7.4626865671640818E-3</c:v>
                      </c:pt>
                      <c:pt idx="20">
                        <c:v>-4.1642567958357531E-2</c:v>
                      </c:pt>
                      <c:pt idx="21">
                        <c:v>-1.1466505733252729E-2</c:v>
                      </c:pt>
                      <c:pt idx="22">
                        <c:v>-1.8925518925519063E-2</c:v>
                      </c:pt>
                      <c:pt idx="23">
                        <c:v>-1.6801493466085806E-2</c:v>
                      </c:pt>
                      <c:pt idx="24">
                        <c:v>1.8987341772152618E-3</c:v>
                      </c:pt>
                      <c:pt idx="25">
                        <c:v>7.0751737207833149E-2</c:v>
                      </c:pt>
                      <c:pt idx="26">
                        <c:v>0</c:v>
                      </c:pt>
                      <c:pt idx="27">
                        <c:v>4.0117994100295054E-2</c:v>
                      </c:pt>
                      <c:pt idx="28">
                        <c:v>-2.32558139534885E-2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DAA-425B-A1B0-92A98C4BC3C5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'Q5 - Oil Impact'!$J$101</c15:sqref>
                        </c15:formulaRef>
                      </c:ext>
                    </c:extLst>
                    <c:strCache>
                      <c:ptCount val="1"/>
                      <c:pt idx="0">
                        <c:v>Vegetables inflation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'Q5 - Oil Impact'!$B$102:$B$130</c15:sqref>
                        </c15:formulaRef>
                      </c:ext>
                    </c:extLst>
                    <c:numCache>
                      <c:formatCode>mmm/yyyy</c:formatCode>
                      <c:ptCount val="29"/>
                      <c:pt idx="0">
                        <c:v>44197</c:v>
                      </c:pt>
                      <c:pt idx="1">
                        <c:v>44228</c:v>
                      </c:pt>
                      <c:pt idx="2">
                        <c:v>44256</c:v>
                      </c:pt>
                      <c:pt idx="3">
                        <c:v>44287</c:v>
                      </c:pt>
                      <c:pt idx="4">
                        <c:v>44317</c:v>
                      </c:pt>
                      <c:pt idx="5">
                        <c:v>44348</c:v>
                      </c:pt>
                      <c:pt idx="6">
                        <c:v>44378</c:v>
                      </c:pt>
                      <c:pt idx="7">
                        <c:v>44409</c:v>
                      </c:pt>
                      <c:pt idx="8">
                        <c:v>44440</c:v>
                      </c:pt>
                      <c:pt idx="9">
                        <c:v>44470</c:v>
                      </c:pt>
                      <c:pt idx="10">
                        <c:v>44501</c:v>
                      </c:pt>
                      <c:pt idx="11">
                        <c:v>44531</c:v>
                      </c:pt>
                      <c:pt idx="12">
                        <c:v>44562</c:v>
                      </c:pt>
                      <c:pt idx="13">
                        <c:v>44593</c:v>
                      </c:pt>
                      <c:pt idx="14">
                        <c:v>44621</c:v>
                      </c:pt>
                      <c:pt idx="15">
                        <c:v>44652</c:v>
                      </c:pt>
                      <c:pt idx="16">
                        <c:v>44682</c:v>
                      </c:pt>
                      <c:pt idx="17">
                        <c:v>44713</c:v>
                      </c:pt>
                      <c:pt idx="18">
                        <c:v>44743</c:v>
                      </c:pt>
                      <c:pt idx="19">
                        <c:v>44774</c:v>
                      </c:pt>
                      <c:pt idx="20">
                        <c:v>44805</c:v>
                      </c:pt>
                      <c:pt idx="21">
                        <c:v>44835</c:v>
                      </c:pt>
                      <c:pt idx="22">
                        <c:v>44866</c:v>
                      </c:pt>
                      <c:pt idx="23">
                        <c:v>44896</c:v>
                      </c:pt>
                      <c:pt idx="24">
                        <c:v>44927</c:v>
                      </c:pt>
                      <c:pt idx="25">
                        <c:v>44958</c:v>
                      </c:pt>
                      <c:pt idx="26">
                        <c:v>44986</c:v>
                      </c:pt>
                      <c:pt idx="27">
                        <c:v>45017</c:v>
                      </c:pt>
                      <c:pt idx="28">
                        <c:v>45047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'Q5 - Oil Impact'!$J$102:$J$130</c15:sqref>
                        </c15:formulaRef>
                      </c:ext>
                    </c:extLst>
                    <c:numCache>
                      <c:formatCode>0.00%</c:formatCode>
                      <c:ptCount val="29"/>
                      <c:pt idx="0">
                        <c:v>-0.15748373101952282</c:v>
                      </c:pt>
                      <c:pt idx="1">
                        <c:v>-0.17610710607621005</c:v>
                      </c:pt>
                      <c:pt idx="2">
                        <c:v>-6.5625000000000003E-2</c:v>
                      </c:pt>
                      <c:pt idx="3">
                        <c:v>-3.6120401337792679E-2</c:v>
                      </c:pt>
                      <c:pt idx="4">
                        <c:v>2.637057598889668E-2</c:v>
                      </c:pt>
                      <c:pt idx="5">
                        <c:v>5.0709939148073022E-2</c:v>
                      </c:pt>
                      <c:pt idx="6">
                        <c:v>5.662805662805652E-2</c:v>
                      </c:pt>
                      <c:pt idx="7">
                        <c:v>-1.2180267965895251E-2</c:v>
                      </c:pt>
                      <c:pt idx="8">
                        <c:v>6.1652281134415992E-4</c:v>
                      </c:pt>
                      <c:pt idx="9">
                        <c:v>0.14171287738755389</c:v>
                      </c:pt>
                      <c:pt idx="10">
                        <c:v>7.5013491635186058E-2</c:v>
                      </c:pt>
                      <c:pt idx="11">
                        <c:v>-5.4718875502007921E-2</c:v>
                      </c:pt>
                      <c:pt idx="12">
                        <c:v>-7.4349442379182146E-2</c:v>
                      </c:pt>
                      <c:pt idx="13">
                        <c:v>-2.6391279403327726E-2</c:v>
                      </c:pt>
                      <c:pt idx="14">
                        <c:v>-1.6499705362404145E-2</c:v>
                      </c:pt>
                      <c:pt idx="15">
                        <c:v>-4.1941282204914143E-3</c:v>
                      </c:pt>
                      <c:pt idx="16">
                        <c:v>5.2346570397112019E-2</c:v>
                      </c:pt>
                      <c:pt idx="17">
                        <c:v>4.230989136649517E-2</c:v>
                      </c:pt>
                      <c:pt idx="18">
                        <c:v>-1.0970927043336097E-3</c:v>
                      </c:pt>
                      <c:pt idx="19">
                        <c:v>2.5260845689181737E-2</c:v>
                      </c:pt>
                      <c:pt idx="20">
                        <c:v>2.7316550615961558E-2</c:v>
                      </c:pt>
                      <c:pt idx="21">
                        <c:v>4.118873826903012E-2</c:v>
                      </c:pt>
                      <c:pt idx="22">
                        <c:v>-8.3124687030545791E-2</c:v>
                      </c:pt>
                      <c:pt idx="23">
                        <c:v>-0.12670671764063349</c:v>
                      </c:pt>
                      <c:pt idx="24">
                        <c:v>-3.7523452157598496E-2</c:v>
                      </c:pt>
                      <c:pt idx="25">
                        <c:v>-7.7972709551658026E-3</c:v>
                      </c:pt>
                      <c:pt idx="26">
                        <c:v>6.5487884741337755E-4</c:v>
                      </c:pt>
                      <c:pt idx="27">
                        <c:v>1.7015706806282685E-2</c:v>
                      </c:pt>
                      <c:pt idx="28">
                        <c:v>3.6036036036036001E-2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6DAA-425B-A1B0-92A98C4BC3C5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'Q5 - Oil Impact'!$K$101</c15:sqref>
                        </c15:formulaRef>
                      </c:ext>
                    </c:extLst>
                    <c:strCache>
                      <c:ptCount val="1"/>
                      <c:pt idx="0">
                        <c:v>Pulses and products inflation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'Q5 - Oil Impact'!$B$102:$B$130</c15:sqref>
                        </c15:formulaRef>
                      </c:ext>
                    </c:extLst>
                    <c:numCache>
                      <c:formatCode>mmm/yyyy</c:formatCode>
                      <c:ptCount val="29"/>
                      <c:pt idx="0">
                        <c:v>44197</c:v>
                      </c:pt>
                      <c:pt idx="1">
                        <c:v>44228</c:v>
                      </c:pt>
                      <c:pt idx="2">
                        <c:v>44256</c:v>
                      </c:pt>
                      <c:pt idx="3">
                        <c:v>44287</c:v>
                      </c:pt>
                      <c:pt idx="4">
                        <c:v>44317</c:v>
                      </c:pt>
                      <c:pt idx="5">
                        <c:v>44348</c:v>
                      </c:pt>
                      <c:pt idx="6">
                        <c:v>44378</c:v>
                      </c:pt>
                      <c:pt idx="7">
                        <c:v>44409</c:v>
                      </c:pt>
                      <c:pt idx="8">
                        <c:v>44440</c:v>
                      </c:pt>
                      <c:pt idx="9">
                        <c:v>44470</c:v>
                      </c:pt>
                      <c:pt idx="10">
                        <c:v>44501</c:v>
                      </c:pt>
                      <c:pt idx="11">
                        <c:v>44531</c:v>
                      </c:pt>
                      <c:pt idx="12">
                        <c:v>44562</c:v>
                      </c:pt>
                      <c:pt idx="13">
                        <c:v>44593</c:v>
                      </c:pt>
                      <c:pt idx="14">
                        <c:v>44621</c:v>
                      </c:pt>
                      <c:pt idx="15">
                        <c:v>44652</c:v>
                      </c:pt>
                      <c:pt idx="16">
                        <c:v>44682</c:v>
                      </c:pt>
                      <c:pt idx="17">
                        <c:v>44713</c:v>
                      </c:pt>
                      <c:pt idx="18">
                        <c:v>44743</c:v>
                      </c:pt>
                      <c:pt idx="19">
                        <c:v>44774</c:v>
                      </c:pt>
                      <c:pt idx="20">
                        <c:v>44805</c:v>
                      </c:pt>
                      <c:pt idx="21">
                        <c:v>44835</c:v>
                      </c:pt>
                      <c:pt idx="22">
                        <c:v>44866</c:v>
                      </c:pt>
                      <c:pt idx="23">
                        <c:v>44896</c:v>
                      </c:pt>
                      <c:pt idx="24">
                        <c:v>44927</c:v>
                      </c:pt>
                      <c:pt idx="25">
                        <c:v>44958</c:v>
                      </c:pt>
                      <c:pt idx="26">
                        <c:v>44986</c:v>
                      </c:pt>
                      <c:pt idx="27">
                        <c:v>45017</c:v>
                      </c:pt>
                      <c:pt idx="28">
                        <c:v>45047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'Q5 - Oil Impact'!$K$102:$K$130</c15:sqref>
                        </c15:formulaRef>
                      </c:ext>
                    </c:extLst>
                    <c:numCache>
                      <c:formatCode>0.00%</c:formatCode>
                      <c:ptCount val="29"/>
                      <c:pt idx="0">
                        <c:v>1.2484394506867482E-3</c:v>
                      </c:pt>
                      <c:pt idx="1">
                        <c:v>-9.9750623441396159E-3</c:v>
                      </c:pt>
                      <c:pt idx="2">
                        <c:v>6.2972292191435762E-3</c:v>
                      </c:pt>
                      <c:pt idx="3">
                        <c:v>1.1889862327909744E-2</c:v>
                      </c:pt>
                      <c:pt idx="4">
                        <c:v>2.2881880024737275E-2</c:v>
                      </c:pt>
                      <c:pt idx="5">
                        <c:v>3.6275695284159267E-3</c:v>
                      </c:pt>
                      <c:pt idx="6">
                        <c:v>-1.2048192771084338E-2</c:v>
                      </c:pt>
                      <c:pt idx="7">
                        <c:v>6.0975609756094091E-4</c:v>
                      </c:pt>
                      <c:pt idx="8">
                        <c:v>0</c:v>
                      </c:pt>
                      <c:pt idx="9">
                        <c:v>6.7032297379646215E-3</c:v>
                      </c:pt>
                      <c:pt idx="10">
                        <c:v>6.0532687651345491E-4</c:v>
                      </c:pt>
                      <c:pt idx="11">
                        <c:v>-5.4446460980036634E-3</c:v>
                      </c:pt>
                      <c:pt idx="12">
                        <c:v>-3.0413625304136251E-3</c:v>
                      </c:pt>
                      <c:pt idx="13">
                        <c:v>-1.2202562538134048E-3</c:v>
                      </c:pt>
                      <c:pt idx="14">
                        <c:v>1.2217470983507458E-3</c:v>
                      </c:pt>
                      <c:pt idx="15">
                        <c:v>4.8810250152530989E-3</c:v>
                      </c:pt>
                      <c:pt idx="16">
                        <c:v>0</c:v>
                      </c:pt>
                      <c:pt idx="17">
                        <c:v>-2.4286581663629466E-3</c:v>
                      </c:pt>
                      <c:pt idx="18">
                        <c:v>0</c:v>
                      </c:pt>
                      <c:pt idx="19">
                        <c:v>1.7650639074862917E-2</c:v>
                      </c:pt>
                      <c:pt idx="20">
                        <c:v>1.1363636363636399E-2</c:v>
                      </c:pt>
                      <c:pt idx="21">
                        <c:v>4.1395623891189656E-3</c:v>
                      </c:pt>
                      <c:pt idx="22">
                        <c:v>4.1224970553591792E-3</c:v>
                      </c:pt>
                      <c:pt idx="23">
                        <c:v>1.7595307917889231E-3</c:v>
                      </c:pt>
                      <c:pt idx="24">
                        <c:v>5.854800936767817E-4</c:v>
                      </c:pt>
                      <c:pt idx="25">
                        <c:v>5.8513750731418557E-4</c:v>
                      </c:pt>
                      <c:pt idx="26">
                        <c:v>5.8479532163739363E-4</c:v>
                      </c:pt>
                      <c:pt idx="27">
                        <c:v>1.3442431326709593E-2</c:v>
                      </c:pt>
                      <c:pt idx="28">
                        <c:v>1.2687427912341341E-2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6DAA-425B-A1B0-92A98C4BC3C5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'Q5 - Oil Impact'!$L$101</c15:sqref>
                        </c15:formulaRef>
                      </c:ext>
                    </c:extLst>
                    <c:strCache>
                      <c:ptCount val="1"/>
                      <c:pt idx="0">
                        <c:v>Sugar and Confectionery inflation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'Q5 - Oil Impact'!$B$102:$B$130</c15:sqref>
                        </c15:formulaRef>
                      </c:ext>
                    </c:extLst>
                    <c:numCache>
                      <c:formatCode>mmm/yyyy</c:formatCode>
                      <c:ptCount val="29"/>
                      <c:pt idx="0">
                        <c:v>44197</c:v>
                      </c:pt>
                      <c:pt idx="1">
                        <c:v>44228</c:v>
                      </c:pt>
                      <c:pt idx="2">
                        <c:v>44256</c:v>
                      </c:pt>
                      <c:pt idx="3">
                        <c:v>44287</c:v>
                      </c:pt>
                      <c:pt idx="4">
                        <c:v>44317</c:v>
                      </c:pt>
                      <c:pt idx="5">
                        <c:v>44348</c:v>
                      </c:pt>
                      <c:pt idx="6">
                        <c:v>44378</c:v>
                      </c:pt>
                      <c:pt idx="7">
                        <c:v>44409</c:v>
                      </c:pt>
                      <c:pt idx="8">
                        <c:v>44440</c:v>
                      </c:pt>
                      <c:pt idx="9">
                        <c:v>44470</c:v>
                      </c:pt>
                      <c:pt idx="10">
                        <c:v>44501</c:v>
                      </c:pt>
                      <c:pt idx="11">
                        <c:v>44531</c:v>
                      </c:pt>
                      <c:pt idx="12">
                        <c:v>44562</c:v>
                      </c:pt>
                      <c:pt idx="13">
                        <c:v>44593</c:v>
                      </c:pt>
                      <c:pt idx="14">
                        <c:v>44621</c:v>
                      </c:pt>
                      <c:pt idx="15">
                        <c:v>44652</c:v>
                      </c:pt>
                      <c:pt idx="16">
                        <c:v>44682</c:v>
                      </c:pt>
                      <c:pt idx="17">
                        <c:v>44713</c:v>
                      </c:pt>
                      <c:pt idx="18">
                        <c:v>44743</c:v>
                      </c:pt>
                      <c:pt idx="19">
                        <c:v>44774</c:v>
                      </c:pt>
                      <c:pt idx="20">
                        <c:v>44805</c:v>
                      </c:pt>
                      <c:pt idx="21">
                        <c:v>44835</c:v>
                      </c:pt>
                      <c:pt idx="22">
                        <c:v>44866</c:v>
                      </c:pt>
                      <c:pt idx="23">
                        <c:v>44896</c:v>
                      </c:pt>
                      <c:pt idx="24">
                        <c:v>44927</c:v>
                      </c:pt>
                      <c:pt idx="25">
                        <c:v>44958</c:v>
                      </c:pt>
                      <c:pt idx="26">
                        <c:v>44986</c:v>
                      </c:pt>
                      <c:pt idx="27">
                        <c:v>45017</c:v>
                      </c:pt>
                      <c:pt idx="28">
                        <c:v>45047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'Q5 - Oil Impact'!$L$102:$L$130</c15:sqref>
                        </c15:formulaRef>
                      </c:ext>
                    </c:extLst>
                    <c:numCache>
                      <c:formatCode>0.00%</c:formatCode>
                      <c:ptCount val="29"/>
                      <c:pt idx="0">
                        <c:v>-6.0711188204683681E-3</c:v>
                      </c:pt>
                      <c:pt idx="1">
                        <c:v>-1.5706806282722488E-2</c:v>
                      </c:pt>
                      <c:pt idx="2">
                        <c:v>-1.7730496453900962E-3</c:v>
                      </c:pt>
                      <c:pt idx="3">
                        <c:v>4.4404973357015992E-3</c:v>
                      </c:pt>
                      <c:pt idx="4">
                        <c:v>1.503094606542885E-2</c:v>
                      </c:pt>
                      <c:pt idx="5">
                        <c:v>2.6132404181184424E-3</c:v>
                      </c:pt>
                      <c:pt idx="6">
                        <c:v>-5.2128583840138519E-3</c:v>
                      </c:pt>
                      <c:pt idx="7">
                        <c:v>4.5414847161572076E-2</c:v>
                      </c:pt>
                      <c:pt idx="8">
                        <c:v>0</c:v>
                      </c:pt>
                      <c:pt idx="9">
                        <c:v>1.8379281537176297E-2</c:v>
                      </c:pt>
                      <c:pt idx="10">
                        <c:v>4.1017227235438884E-3</c:v>
                      </c:pt>
                      <c:pt idx="11">
                        <c:v>-1.1437908496732072E-2</c:v>
                      </c:pt>
                      <c:pt idx="12">
                        <c:v>-8.2644628099173556E-3</c:v>
                      </c:pt>
                      <c:pt idx="13">
                        <c:v>-9.1666666666666199E-3</c:v>
                      </c:pt>
                      <c:pt idx="14">
                        <c:v>-8.4104289318762419E-4</c:v>
                      </c:pt>
                      <c:pt idx="15">
                        <c:v>1.6835016835017075E-3</c:v>
                      </c:pt>
                      <c:pt idx="16">
                        <c:v>5.8823529411764948E-3</c:v>
                      </c:pt>
                      <c:pt idx="17">
                        <c:v>1.6708437761069578E-3</c:v>
                      </c:pt>
                      <c:pt idx="18">
                        <c:v>8.3402835696408937E-4</c:v>
                      </c:pt>
                      <c:pt idx="19">
                        <c:v>7.5000000000000474E-3</c:v>
                      </c:pt>
                      <c:pt idx="20">
                        <c:v>5.7899090157153728E-3</c:v>
                      </c:pt>
                      <c:pt idx="21">
                        <c:v>2.4671052631579883E-3</c:v>
                      </c:pt>
                      <c:pt idx="22">
                        <c:v>1.640689089417462E-3</c:v>
                      </c:pt>
                      <c:pt idx="23">
                        <c:v>-2.457002457002434E-3</c:v>
                      </c:pt>
                      <c:pt idx="24">
                        <c:v>-5.7471264367816325E-3</c:v>
                      </c:pt>
                      <c:pt idx="25">
                        <c:v>-9.0834021469859156E-3</c:v>
                      </c:pt>
                      <c:pt idx="26">
                        <c:v>0</c:v>
                      </c:pt>
                      <c:pt idx="27">
                        <c:v>1.0833333333333309E-2</c:v>
                      </c:pt>
                      <c:pt idx="28">
                        <c:v>1.1541632316570533E-2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6DAA-425B-A1B0-92A98C4BC3C5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'Q5 - Oil Impact'!$M$101</c15:sqref>
                        </c15:formulaRef>
                      </c:ext>
                    </c:extLst>
                    <c:strCache>
                      <c:ptCount val="1"/>
                      <c:pt idx="0">
                        <c:v>Spices inflation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'Q5 - Oil Impact'!$B$102:$B$130</c15:sqref>
                        </c15:formulaRef>
                      </c:ext>
                    </c:extLst>
                    <c:numCache>
                      <c:formatCode>mmm/yyyy</c:formatCode>
                      <c:ptCount val="29"/>
                      <c:pt idx="0">
                        <c:v>44197</c:v>
                      </c:pt>
                      <c:pt idx="1">
                        <c:v>44228</c:v>
                      </c:pt>
                      <c:pt idx="2">
                        <c:v>44256</c:v>
                      </c:pt>
                      <c:pt idx="3">
                        <c:v>44287</c:v>
                      </c:pt>
                      <c:pt idx="4">
                        <c:v>44317</c:v>
                      </c:pt>
                      <c:pt idx="5">
                        <c:v>44348</c:v>
                      </c:pt>
                      <c:pt idx="6">
                        <c:v>44378</c:v>
                      </c:pt>
                      <c:pt idx="7">
                        <c:v>44409</c:v>
                      </c:pt>
                      <c:pt idx="8">
                        <c:v>44440</c:v>
                      </c:pt>
                      <c:pt idx="9">
                        <c:v>44470</c:v>
                      </c:pt>
                      <c:pt idx="10">
                        <c:v>44501</c:v>
                      </c:pt>
                      <c:pt idx="11">
                        <c:v>44531</c:v>
                      </c:pt>
                      <c:pt idx="12">
                        <c:v>44562</c:v>
                      </c:pt>
                      <c:pt idx="13">
                        <c:v>44593</c:v>
                      </c:pt>
                      <c:pt idx="14">
                        <c:v>44621</c:v>
                      </c:pt>
                      <c:pt idx="15">
                        <c:v>44652</c:v>
                      </c:pt>
                      <c:pt idx="16">
                        <c:v>44682</c:v>
                      </c:pt>
                      <c:pt idx="17">
                        <c:v>44713</c:v>
                      </c:pt>
                      <c:pt idx="18">
                        <c:v>44743</c:v>
                      </c:pt>
                      <c:pt idx="19">
                        <c:v>44774</c:v>
                      </c:pt>
                      <c:pt idx="20">
                        <c:v>44805</c:v>
                      </c:pt>
                      <c:pt idx="21">
                        <c:v>44835</c:v>
                      </c:pt>
                      <c:pt idx="22">
                        <c:v>44866</c:v>
                      </c:pt>
                      <c:pt idx="23">
                        <c:v>44896</c:v>
                      </c:pt>
                      <c:pt idx="24">
                        <c:v>44927</c:v>
                      </c:pt>
                      <c:pt idx="25">
                        <c:v>44958</c:v>
                      </c:pt>
                      <c:pt idx="26">
                        <c:v>44986</c:v>
                      </c:pt>
                      <c:pt idx="27">
                        <c:v>45017</c:v>
                      </c:pt>
                      <c:pt idx="28">
                        <c:v>45047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'Q5 - Oil Impact'!$M$102:$M$130</c15:sqref>
                        </c15:formulaRef>
                      </c:ext>
                    </c:extLst>
                    <c:numCache>
                      <c:formatCode>0.00%</c:formatCode>
                      <c:ptCount val="29"/>
                      <c:pt idx="0">
                        <c:v>6.1349693251533744E-3</c:v>
                      </c:pt>
                      <c:pt idx="1">
                        <c:v>1.2195121951218818E-3</c:v>
                      </c:pt>
                      <c:pt idx="2">
                        <c:v>-4.2630937880632682E-3</c:v>
                      </c:pt>
                      <c:pt idx="3">
                        <c:v>2.4464831804281695E-3</c:v>
                      </c:pt>
                      <c:pt idx="4">
                        <c:v>2.6235509456985863E-2</c:v>
                      </c:pt>
                      <c:pt idx="5">
                        <c:v>1.7835909631391878E-3</c:v>
                      </c:pt>
                      <c:pt idx="6">
                        <c:v>-1.1869436201779741E-3</c:v>
                      </c:pt>
                      <c:pt idx="7">
                        <c:v>2.9708853238265003E-3</c:v>
                      </c:pt>
                      <c:pt idx="8">
                        <c:v>0</c:v>
                      </c:pt>
                      <c:pt idx="9">
                        <c:v>2.9620853080568718E-3</c:v>
                      </c:pt>
                      <c:pt idx="10">
                        <c:v>1.772002362669716E-3</c:v>
                      </c:pt>
                      <c:pt idx="11">
                        <c:v>5.3066037735849392E-3</c:v>
                      </c:pt>
                      <c:pt idx="12">
                        <c:v>9.3841642228738673E-3</c:v>
                      </c:pt>
                      <c:pt idx="13">
                        <c:v>1.2783265543288885E-2</c:v>
                      </c:pt>
                      <c:pt idx="14">
                        <c:v>1.7785427423981606E-2</c:v>
                      </c:pt>
                      <c:pt idx="15">
                        <c:v>2.1984216459977484E-2</c:v>
                      </c:pt>
                      <c:pt idx="16">
                        <c:v>1.9856591285162681E-2</c:v>
                      </c:pt>
                      <c:pt idx="17">
                        <c:v>1.1898323418063756E-2</c:v>
                      </c:pt>
                      <c:pt idx="18">
                        <c:v>1.5499732763228252E-2</c:v>
                      </c:pt>
                      <c:pt idx="19">
                        <c:v>1.8947368421052602E-2</c:v>
                      </c:pt>
                      <c:pt idx="20">
                        <c:v>1.9111570247933973E-2</c:v>
                      </c:pt>
                      <c:pt idx="21">
                        <c:v>1.3177901672579798E-2</c:v>
                      </c:pt>
                      <c:pt idx="22">
                        <c:v>1.4507253626813434E-2</c:v>
                      </c:pt>
                      <c:pt idx="23">
                        <c:v>1.1834319526627106E-2</c:v>
                      </c:pt>
                      <c:pt idx="24">
                        <c:v>1.5594541910331468E-2</c:v>
                      </c:pt>
                      <c:pt idx="25">
                        <c:v>6.2380038387715112E-3</c:v>
                      </c:pt>
                      <c:pt idx="26">
                        <c:v>0</c:v>
                      </c:pt>
                      <c:pt idx="27">
                        <c:v>1.5259895088221351E-2</c:v>
                      </c:pt>
                      <c:pt idx="28">
                        <c:v>2.3954908407703118E-2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6DAA-425B-A1B0-92A98C4BC3C5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'Q5 - Oil Impact'!$N$101</c15:sqref>
                        </c15:formulaRef>
                      </c:ext>
                    </c:extLst>
                    <c:strCache>
                      <c:ptCount val="1"/>
                      <c:pt idx="0">
                        <c:v>Non-alcoholic beverages inflation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'Q5 - Oil Impact'!$B$102:$B$130</c15:sqref>
                        </c15:formulaRef>
                      </c:ext>
                    </c:extLst>
                    <c:numCache>
                      <c:formatCode>mmm/yyyy</c:formatCode>
                      <c:ptCount val="29"/>
                      <c:pt idx="0">
                        <c:v>44197</c:v>
                      </c:pt>
                      <c:pt idx="1">
                        <c:v>44228</c:v>
                      </c:pt>
                      <c:pt idx="2">
                        <c:v>44256</c:v>
                      </c:pt>
                      <c:pt idx="3">
                        <c:v>44287</c:v>
                      </c:pt>
                      <c:pt idx="4">
                        <c:v>44317</c:v>
                      </c:pt>
                      <c:pt idx="5">
                        <c:v>44348</c:v>
                      </c:pt>
                      <c:pt idx="6">
                        <c:v>44378</c:v>
                      </c:pt>
                      <c:pt idx="7">
                        <c:v>44409</c:v>
                      </c:pt>
                      <c:pt idx="8">
                        <c:v>44440</c:v>
                      </c:pt>
                      <c:pt idx="9">
                        <c:v>44470</c:v>
                      </c:pt>
                      <c:pt idx="10">
                        <c:v>44501</c:v>
                      </c:pt>
                      <c:pt idx="11">
                        <c:v>44531</c:v>
                      </c:pt>
                      <c:pt idx="12">
                        <c:v>44562</c:v>
                      </c:pt>
                      <c:pt idx="13">
                        <c:v>44593</c:v>
                      </c:pt>
                      <c:pt idx="14">
                        <c:v>44621</c:v>
                      </c:pt>
                      <c:pt idx="15">
                        <c:v>44652</c:v>
                      </c:pt>
                      <c:pt idx="16">
                        <c:v>44682</c:v>
                      </c:pt>
                      <c:pt idx="17">
                        <c:v>44713</c:v>
                      </c:pt>
                      <c:pt idx="18">
                        <c:v>44743</c:v>
                      </c:pt>
                      <c:pt idx="19">
                        <c:v>44774</c:v>
                      </c:pt>
                      <c:pt idx="20">
                        <c:v>44805</c:v>
                      </c:pt>
                      <c:pt idx="21">
                        <c:v>44835</c:v>
                      </c:pt>
                      <c:pt idx="22">
                        <c:v>44866</c:v>
                      </c:pt>
                      <c:pt idx="23">
                        <c:v>44896</c:v>
                      </c:pt>
                      <c:pt idx="24">
                        <c:v>44927</c:v>
                      </c:pt>
                      <c:pt idx="25">
                        <c:v>44958</c:v>
                      </c:pt>
                      <c:pt idx="26">
                        <c:v>44986</c:v>
                      </c:pt>
                      <c:pt idx="27">
                        <c:v>45017</c:v>
                      </c:pt>
                      <c:pt idx="28">
                        <c:v>45047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'Q5 - Oil Impact'!$N$102:$N$130</c15:sqref>
                        </c15:formulaRef>
                      </c:ext>
                    </c:extLst>
                    <c:numCache>
                      <c:formatCode>0.00%</c:formatCode>
                      <c:ptCount val="29"/>
                      <c:pt idx="0">
                        <c:v>1.7426273458445194E-2</c:v>
                      </c:pt>
                      <c:pt idx="1">
                        <c:v>2.4374176548089516E-2</c:v>
                      </c:pt>
                      <c:pt idx="2">
                        <c:v>6.4308681672025723E-3</c:v>
                      </c:pt>
                      <c:pt idx="3">
                        <c:v>7.0287539936101876E-3</c:v>
                      </c:pt>
                      <c:pt idx="4">
                        <c:v>1.0786802030456961E-2</c:v>
                      </c:pt>
                      <c:pt idx="5">
                        <c:v>4.394224733207712E-3</c:v>
                      </c:pt>
                      <c:pt idx="6">
                        <c:v>5.6250000000000354E-3</c:v>
                      </c:pt>
                      <c:pt idx="7">
                        <c:v>1.1187072715972548E-2</c:v>
                      </c:pt>
                      <c:pt idx="8">
                        <c:v>0</c:v>
                      </c:pt>
                      <c:pt idx="9">
                        <c:v>3.0731407498463433E-3</c:v>
                      </c:pt>
                      <c:pt idx="10">
                        <c:v>3.0637254901960788E-3</c:v>
                      </c:pt>
                      <c:pt idx="11">
                        <c:v>3.0543677458766036E-3</c:v>
                      </c:pt>
                      <c:pt idx="12">
                        <c:v>6.0901339829490101E-4</c:v>
                      </c:pt>
                      <c:pt idx="13">
                        <c:v>2.4345709068775241E-3</c:v>
                      </c:pt>
                      <c:pt idx="14">
                        <c:v>3.6429872495447649E-3</c:v>
                      </c:pt>
                      <c:pt idx="15">
                        <c:v>5.4446460980034916E-3</c:v>
                      </c:pt>
                      <c:pt idx="16">
                        <c:v>5.4151624548736807E-3</c:v>
                      </c:pt>
                      <c:pt idx="17">
                        <c:v>4.7875523638540481E-3</c:v>
                      </c:pt>
                      <c:pt idx="18">
                        <c:v>2.9779630732578916E-3</c:v>
                      </c:pt>
                      <c:pt idx="19">
                        <c:v>2.3752969121140478E-3</c:v>
                      </c:pt>
                      <c:pt idx="20">
                        <c:v>3.5545023696682125E-3</c:v>
                      </c:pt>
                      <c:pt idx="21">
                        <c:v>2.9515938606847697E-3</c:v>
                      </c:pt>
                      <c:pt idx="22">
                        <c:v>2.942907592701589E-3</c:v>
                      </c:pt>
                      <c:pt idx="23">
                        <c:v>3.521126760563347E-3</c:v>
                      </c:pt>
                      <c:pt idx="24">
                        <c:v>2.339181286549741E-3</c:v>
                      </c:pt>
                      <c:pt idx="25">
                        <c:v>5.2508751458576761E-3</c:v>
                      </c:pt>
                      <c:pt idx="26">
                        <c:v>0</c:v>
                      </c:pt>
                      <c:pt idx="27">
                        <c:v>3.4822983168891135E-3</c:v>
                      </c:pt>
                      <c:pt idx="28">
                        <c:v>2.8918449971081549E-3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6DAA-425B-A1B0-92A98C4BC3C5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'Q5 - Oil Impact'!$O$101</c15:sqref>
                        </c15:formulaRef>
                      </c:ext>
                    </c:extLst>
                    <c:strCache>
                      <c:ptCount val="1"/>
                      <c:pt idx="0">
                        <c:v>Prepared meals, snacks, sweets etc. inflation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'Q5 - Oil Impact'!$B$102:$B$130</c15:sqref>
                        </c15:formulaRef>
                      </c:ext>
                    </c:extLst>
                    <c:numCache>
                      <c:formatCode>mmm/yyyy</c:formatCode>
                      <c:ptCount val="29"/>
                      <c:pt idx="0">
                        <c:v>44197</c:v>
                      </c:pt>
                      <c:pt idx="1">
                        <c:v>44228</c:v>
                      </c:pt>
                      <c:pt idx="2">
                        <c:v>44256</c:v>
                      </c:pt>
                      <c:pt idx="3">
                        <c:v>44287</c:v>
                      </c:pt>
                      <c:pt idx="4">
                        <c:v>44317</c:v>
                      </c:pt>
                      <c:pt idx="5">
                        <c:v>44348</c:v>
                      </c:pt>
                      <c:pt idx="6">
                        <c:v>44378</c:v>
                      </c:pt>
                      <c:pt idx="7">
                        <c:v>44409</c:v>
                      </c:pt>
                      <c:pt idx="8">
                        <c:v>44440</c:v>
                      </c:pt>
                      <c:pt idx="9">
                        <c:v>44470</c:v>
                      </c:pt>
                      <c:pt idx="10">
                        <c:v>44501</c:v>
                      </c:pt>
                      <c:pt idx="11">
                        <c:v>44531</c:v>
                      </c:pt>
                      <c:pt idx="12">
                        <c:v>44562</c:v>
                      </c:pt>
                      <c:pt idx="13">
                        <c:v>44593</c:v>
                      </c:pt>
                      <c:pt idx="14">
                        <c:v>44621</c:v>
                      </c:pt>
                      <c:pt idx="15">
                        <c:v>44652</c:v>
                      </c:pt>
                      <c:pt idx="16">
                        <c:v>44682</c:v>
                      </c:pt>
                      <c:pt idx="17">
                        <c:v>44713</c:v>
                      </c:pt>
                      <c:pt idx="18">
                        <c:v>44743</c:v>
                      </c:pt>
                      <c:pt idx="19">
                        <c:v>44774</c:v>
                      </c:pt>
                      <c:pt idx="20">
                        <c:v>44805</c:v>
                      </c:pt>
                      <c:pt idx="21">
                        <c:v>44835</c:v>
                      </c:pt>
                      <c:pt idx="22">
                        <c:v>44866</c:v>
                      </c:pt>
                      <c:pt idx="23">
                        <c:v>44896</c:v>
                      </c:pt>
                      <c:pt idx="24">
                        <c:v>44927</c:v>
                      </c:pt>
                      <c:pt idx="25">
                        <c:v>44958</c:v>
                      </c:pt>
                      <c:pt idx="26">
                        <c:v>44986</c:v>
                      </c:pt>
                      <c:pt idx="27">
                        <c:v>45017</c:v>
                      </c:pt>
                      <c:pt idx="28">
                        <c:v>45047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'Q5 - Oil Impact'!$O$102:$O$130</c15:sqref>
                        </c15:formulaRef>
                      </c:ext>
                    </c:extLst>
                    <c:numCache>
                      <c:formatCode>0.00%</c:formatCode>
                      <c:ptCount val="29"/>
                      <c:pt idx="0">
                        <c:v>4.8543689320387313E-3</c:v>
                      </c:pt>
                      <c:pt idx="1">
                        <c:v>1.1473429951690857E-2</c:v>
                      </c:pt>
                      <c:pt idx="2">
                        <c:v>4.1791044776118723E-3</c:v>
                      </c:pt>
                      <c:pt idx="3">
                        <c:v>4.1617122473247151E-3</c:v>
                      </c:pt>
                      <c:pt idx="4">
                        <c:v>8.8809946714031966E-3</c:v>
                      </c:pt>
                      <c:pt idx="5">
                        <c:v>1.1737089201877934E-2</c:v>
                      </c:pt>
                      <c:pt idx="6">
                        <c:v>-1.1600928074246928E-3</c:v>
                      </c:pt>
                      <c:pt idx="7">
                        <c:v>9.872241579558752E-3</c:v>
                      </c:pt>
                      <c:pt idx="8">
                        <c:v>0</c:v>
                      </c:pt>
                      <c:pt idx="9">
                        <c:v>4.6003450258768428E-3</c:v>
                      </c:pt>
                      <c:pt idx="10">
                        <c:v>4.5792787635947994E-3</c:v>
                      </c:pt>
                      <c:pt idx="11">
                        <c:v>5.6980056980056983E-3</c:v>
                      </c:pt>
                      <c:pt idx="12">
                        <c:v>4.5325779036827843E-3</c:v>
                      </c:pt>
                      <c:pt idx="13">
                        <c:v>3.948110547095254E-3</c:v>
                      </c:pt>
                      <c:pt idx="14">
                        <c:v>7.3033707865169176E-3</c:v>
                      </c:pt>
                      <c:pt idx="15">
                        <c:v>8.9235917456776028E-3</c:v>
                      </c:pt>
                      <c:pt idx="16">
                        <c:v>8.8446655610834399E-3</c:v>
                      </c:pt>
                      <c:pt idx="17">
                        <c:v>7.6712328767123599E-3</c:v>
                      </c:pt>
                      <c:pt idx="18">
                        <c:v>7.0690592713430287E-3</c:v>
                      </c:pt>
                      <c:pt idx="19">
                        <c:v>5.9395248380130824E-3</c:v>
                      </c:pt>
                      <c:pt idx="20">
                        <c:v>5.9044551798174676E-3</c:v>
                      </c:pt>
                      <c:pt idx="21">
                        <c:v>4.8025613660619302E-3</c:v>
                      </c:pt>
                      <c:pt idx="22">
                        <c:v>6.3728093467869812E-3</c:v>
                      </c:pt>
                      <c:pt idx="23">
                        <c:v>4.2216358839050729E-3</c:v>
                      </c:pt>
                      <c:pt idx="24">
                        <c:v>4.7293746715710832E-3</c:v>
                      </c:pt>
                      <c:pt idx="25">
                        <c:v>9.4142259414226534E-3</c:v>
                      </c:pt>
                      <c:pt idx="26">
                        <c:v>0</c:v>
                      </c:pt>
                      <c:pt idx="27">
                        <c:v>2.5906735751295338E-3</c:v>
                      </c:pt>
                      <c:pt idx="28">
                        <c:v>3.6175710594314658E-3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6DAA-425B-A1B0-92A98C4BC3C5}"/>
                  </c:ext>
                </c:extLst>
              </c15:ser>
            </c15:filteredLineSeries>
            <c15:filteredLineSeries>
              <c15:ser>
                <c:idx val="13"/>
                <c:order val="1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'Q5 - Oil Impact'!$P$101</c15:sqref>
                        </c15:formulaRef>
                      </c:ext>
                    </c:extLst>
                    <c:strCache>
                      <c:ptCount val="1"/>
                      <c:pt idx="0">
                        <c:v>Food and beverages inflation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'Q5 - Oil Impact'!$B$102:$B$130</c15:sqref>
                        </c15:formulaRef>
                      </c:ext>
                    </c:extLst>
                    <c:numCache>
                      <c:formatCode>mmm/yyyy</c:formatCode>
                      <c:ptCount val="29"/>
                      <c:pt idx="0">
                        <c:v>44197</c:v>
                      </c:pt>
                      <c:pt idx="1">
                        <c:v>44228</c:v>
                      </c:pt>
                      <c:pt idx="2">
                        <c:v>44256</c:v>
                      </c:pt>
                      <c:pt idx="3">
                        <c:v>44287</c:v>
                      </c:pt>
                      <c:pt idx="4">
                        <c:v>44317</c:v>
                      </c:pt>
                      <c:pt idx="5">
                        <c:v>44348</c:v>
                      </c:pt>
                      <c:pt idx="6">
                        <c:v>44378</c:v>
                      </c:pt>
                      <c:pt idx="7">
                        <c:v>44409</c:v>
                      </c:pt>
                      <c:pt idx="8">
                        <c:v>44440</c:v>
                      </c:pt>
                      <c:pt idx="9">
                        <c:v>44470</c:v>
                      </c:pt>
                      <c:pt idx="10">
                        <c:v>44501</c:v>
                      </c:pt>
                      <c:pt idx="11">
                        <c:v>44531</c:v>
                      </c:pt>
                      <c:pt idx="12">
                        <c:v>44562</c:v>
                      </c:pt>
                      <c:pt idx="13">
                        <c:v>44593</c:v>
                      </c:pt>
                      <c:pt idx="14">
                        <c:v>44621</c:v>
                      </c:pt>
                      <c:pt idx="15">
                        <c:v>44652</c:v>
                      </c:pt>
                      <c:pt idx="16">
                        <c:v>44682</c:v>
                      </c:pt>
                      <c:pt idx="17">
                        <c:v>44713</c:v>
                      </c:pt>
                      <c:pt idx="18">
                        <c:v>44743</c:v>
                      </c:pt>
                      <c:pt idx="19">
                        <c:v>44774</c:v>
                      </c:pt>
                      <c:pt idx="20">
                        <c:v>44805</c:v>
                      </c:pt>
                      <c:pt idx="21">
                        <c:v>44835</c:v>
                      </c:pt>
                      <c:pt idx="22">
                        <c:v>44866</c:v>
                      </c:pt>
                      <c:pt idx="23">
                        <c:v>44896</c:v>
                      </c:pt>
                      <c:pt idx="24">
                        <c:v>44927</c:v>
                      </c:pt>
                      <c:pt idx="25">
                        <c:v>44958</c:v>
                      </c:pt>
                      <c:pt idx="26">
                        <c:v>44986</c:v>
                      </c:pt>
                      <c:pt idx="27">
                        <c:v>45017</c:v>
                      </c:pt>
                      <c:pt idx="28">
                        <c:v>45047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'Q5 - Oil Impact'!$P$102:$P$130</c15:sqref>
                        </c15:formulaRef>
                      </c:ext>
                    </c:extLst>
                    <c:numCache>
                      <c:formatCode>0.00%</c:formatCode>
                      <c:ptCount val="29"/>
                      <c:pt idx="0">
                        <c:v>-2.6602176541717083E-2</c:v>
                      </c:pt>
                      <c:pt idx="1">
                        <c:v>-2.5465838509316736E-2</c:v>
                      </c:pt>
                      <c:pt idx="2">
                        <c:v>-1.2746972594010009E-3</c:v>
                      </c:pt>
                      <c:pt idx="3">
                        <c:v>8.2961072112317253E-3</c:v>
                      </c:pt>
                      <c:pt idx="4">
                        <c:v>1.7088607594936637E-2</c:v>
                      </c:pt>
                      <c:pt idx="5">
                        <c:v>1.1823273179838244E-2</c:v>
                      </c:pt>
                      <c:pt idx="6">
                        <c:v>8.6100861008610446E-3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2.2560975609756027E-2</c:v>
                      </c:pt>
                      <c:pt idx="10">
                        <c:v>1.1926058437686345E-2</c:v>
                      </c:pt>
                      <c:pt idx="11">
                        <c:v>-8.8391278727165592E-3</c:v>
                      </c:pt>
                      <c:pt idx="12">
                        <c:v>-1.070154577883462E-2</c:v>
                      </c:pt>
                      <c:pt idx="13">
                        <c:v>-1.2019230769231793E-3</c:v>
                      </c:pt>
                      <c:pt idx="14">
                        <c:v>1.3237063778580128E-2</c:v>
                      </c:pt>
                      <c:pt idx="15">
                        <c:v>1.4251781472684119E-2</c:v>
                      </c:pt>
                      <c:pt idx="16">
                        <c:v>1.4637002341920374E-2</c:v>
                      </c:pt>
                      <c:pt idx="17">
                        <c:v>9.2325447201384546E-3</c:v>
                      </c:pt>
                      <c:pt idx="18">
                        <c:v>5.7175528873638828E-4</c:v>
                      </c:pt>
                      <c:pt idx="19">
                        <c:v>7.4285714285714935E-3</c:v>
                      </c:pt>
                      <c:pt idx="20">
                        <c:v>8.5082246171298923E-3</c:v>
                      </c:pt>
                      <c:pt idx="21">
                        <c:v>1.0123734533183255E-2</c:v>
                      </c:pt>
                      <c:pt idx="22">
                        <c:v>-7.2383073496658295E-3</c:v>
                      </c:pt>
                      <c:pt idx="23">
                        <c:v>-1.3460459899046581E-2</c:v>
                      </c:pt>
                      <c:pt idx="24">
                        <c:v>4.5480386583284984E-3</c:v>
                      </c:pt>
                      <c:pt idx="25">
                        <c:v>1.6977928692700134E-3</c:v>
                      </c:pt>
                      <c:pt idx="26">
                        <c:v>0</c:v>
                      </c:pt>
                      <c:pt idx="27">
                        <c:v>5.0847457627118961E-3</c:v>
                      </c:pt>
                      <c:pt idx="28">
                        <c:v>6.7453625632377095E-3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6DAA-425B-A1B0-92A98C4BC3C5}"/>
                  </c:ext>
                </c:extLst>
              </c15:ser>
            </c15:filteredLineSeries>
            <c15:filteredLineSeries>
              <c15:ser>
                <c:idx val="14"/>
                <c:order val="1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'Q5 - Oil Impact'!$Q$101</c15:sqref>
                        </c15:formulaRef>
                      </c:ext>
                    </c:extLst>
                    <c:strCache>
                      <c:ptCount val="1"/>
                      <c:pt idx="0">
                        <c:v>Pan, tobacco and intoxicants inflation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'Q5 - Oil Impact'!$B$102:$B$130</c15:sqref>
                        </c15:formulaRef>
                      </c:ext>
                    </c:extLst>
                    <c:numCache>
                      <c:formatCode>mmm/yyyy</c:formatCode>
                      <c:ptCount val="29"/>
                      <c:pt idx="0">
                        <c:v>44197</c:v>
                      </c:pt>
                      <c:pt idx="1">
                        <c:v>44228</c:v>
                      </c:pt>
                      <c:pt idx="2">
                        <c:v>44256</c:v>
                      </c:pt>
                      <c:pt idx="3">
                        <c:v>44287</c:v>
                      </c:pt>
                      <c:pt idx="4">
                        <c:v>44317</c:v>
                      </c:pt>
                      <c:pt idx="5">
                        <c:v>44348</c:v>
                      </c:pt>
                      <c:pt idx="6">
                        <c:v>44378</c:v>
                      </c:pt>
                      <c:pt idx="7">
                        <c:v>44409</c:v>
                      </c:pt>
                      <c:pt idx="8">
                        <c:v>44440</c:v>
                      </c:pt>
                      <c:pt idx="9">
                        <c:v>44470</c:v>
                      </c:pt>
                      <c:pt idx="10">
                        <c:v>44501</c:v>
                      </c:pt>
                      <c:pt idx="11">
                        <c:v>44531</c:v>
                      </c:pt>
                      <c:pt idx="12">
                        <c:v>44562</c:v>
                      </c:pt>
                      <c:pt idx="13">
                        <c:v>44593</c:v>
                      </c:pt>
                      <c:pt idx="14">
                        <c:v>44621</c:v>
                      </c:pt>
                      <c:pt idx="15">
                        <c:v>44652</c:v>
                      </c:pt>
                      <c:pt idx="16">
                        <c:v>44682</c:v>
                      </c:pt>
                      <c:pt idx="17">
                        <c:v>44713</c:v>
                      </c:pt>
                      <c:pt idx="18">
                        <c:v>44743</c:v>
                      </c:pt>
                      <c:pt idx="19">
                        <c:v>44774</c:v>
                      </c:pt>
                      <c:pt idx="20">
                        <c:v>44805</c:v>
                      </c:pt>
                      <c:pt idx="21">
                        <c:v>44835</c:v>
                      </c:pt>
                      <c:pt idx="22">
                        <c:v>44866</c:v>
                      </c:pt>
                      <c:pt idx="23">
                        <c:v>44896</c:v>
                      </c:pt>
                      <c:pt idx="24">
                        <c:v>44927</c:v>
                      </c:pt>
                      <c:pt idx="25">
                        <c:v>44958</c:v>
                      </c:pt>
                      <c:pt idx="26">
                        <c:v>44986</c:v>
                      </c:pt>
                      <c:pt idx="27">
                        <c:v>45017</c:v>
                      </c:pt>
                      <c:pt idx="28">
                        <c:v>45047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'Q5 - Oil Impact'!$Q$102:$Q$130</c15:sqref>
                        </c15:formulaRef>
                      </c:ext>
                    </c:extLst>
                    <c:numCache>
                      <c:formatCode>0.00%</c:formatCode>
                      <c:ptCount val="29"/>
                      <c:pt idx="0">
                        <c:v>5.9331175836029896E-3</c:v>
                      </c:pt>
                      <c:pt idx="1">
                        <c:v>9.6514745308311604E-3</c:v>
                      </c:pt>
                      <c:pt idx="2">
                        <c:v>-1.0621348911312642E-3</c:v>
                      </c:pt>
                      <c:pt idx="3">
                        <c:v>3.7214247740564436E-3</c:v>
                      </c:pt>
                      <c:pt idx="4">
                        <c:v>1.6419491525423699E-2</c:v>
                      </c:pt>
                      <c:pt idx="5">
                        <c:v>-5.7321521625846496E-3</c:v>
                      </c:pt>
                      <c:pt idx="6">
                        <c:v>2.0964360587000905E-3</c:v>
                      </c:pt>
                      <c:pt idx="7">
                        <c:v>4.7071129707113267E-3</c:v>
                      </c:pt>
                      <c:pt idx="8">
                        <c:v>0</c:v>
                      </c:pt>
                      <c:pt idx="9">
                        <c:v>3.1233732431025212E-3</c:v>
                      </c:pt>
                      <c:pt idx="10">
                        <c:v>1.0378827192528131E-3</c:v>
                      </c:pt>
                      <c:pt idx="11">
                        <c:v>-2.592016588906169E-3</c:v>
                      </c:pt>
                      <c:pt idx="12">
                        <c:v>-1.039501039501128E-3</c:v>
                      </c:pt>
                      <c:pt idx="13">
                        <c:v>3.1217481789803476E-3</c:v>
                      </c:pt>
                      <c:pt idx="14">
                        <c:v>4.6680497925310023E-3</c:v>
                      </c:pt>
                      <c:pt idx="15">
                        <c:v>1.0325245224574965E-3</c:v>
                      </c:pt>
                      <c:pt idx="16">
                        <c:v>1.0314595152139691E-3</c:v>
                      </c:pt>
                      <c:pt idx="17">
                        <c:v>1.0303967027306391E-3</c:v>
                      </c:pt>
                      <c:pt idx="18">
                        <c:v>1.5440041173442251E-3</c:v>
                      </c:pt>
                      <c:pt idx="19">
                        <c:v>2.0554984583761853E-3</c:v>
                      </c:pt>
                      <c:pt idx="20">
                        <c:v>4.6153846153846444E-3</c:v>
                      </c:pt>
                      <c:pt idx="21">
                        <c:v>2.0418580908627142E-3</c:v>
                      </c:pt>
                      <c:pt idx="22">
                        <c:v>3.0565461029036897E-3</c:v>
                      </c:pt>
                      <c:pt idx="23">
                        <c:v>2.031488065007647E-3</c:v>
                      </c:pt>
                      <c:pt idx="24">
                        <c:v>4.5615813482005937E-3</c:v>
                      </c:pt>
                      <c:pt idx="25">
                        <c:v>6.5590312815338621E-3</c:v>
                      </c:pt>
                      <c:pt idx="26">
                        <c:v>0</c:v>
                      </c:pt>
                      <c:pt idx="27">
                        <c:v>5.5137844611528536E-3</c:v>
                      </c:pt>
                      <c:pt idx="28">
                        <c:v>1.9940179461615439E-3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6DAA-425B-A1B0-92A98C4BC3C5}"/>
                  </c:ext>
                </c:extLst>
              </c15:ser>
            </c15:filteredLineSeries>
            <c15:filteredLineSeries>
              <c15:ser>
                <c:idx val="15"/>
                <c:order val="1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'Q5 - Oil Impact'!$R$101</c15:sqref>
                        </c15:formulaRef>
                      </c:ext>
                    </c:extLst>
                    <c:strCache>
                      <c:ptCount val="1"/>
                      <c:pt idx="0">
                        <c:v>Clothing inflation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'Q5 - Oil Impact'!$B$102:$B$130</c15:sqref>
                        </c15:formulaRef>
                      </c:ext>
                    </c:extLst>
                    <c:numCache>
                      <c:formatCode>mmm/yyyy</c:formatCode>
                      <c:ptCount val="29"/>
                      <c:pt idx="0">
                        <c:v>44197</c:v>
                      </c:pt>
                      <c:pt idx="1">
                        <c:v>44228</c:v>
                      </c:pt>
                      <c:pt idx="2">
                        <c:v>44256</c:v>
                      </c:pt>
                      <c:pt idx="3">
                        <c:v>44287</c:v>
                      </c:pt>
                      <c:pt idx="4">
                        <c:v>44317</c:v>
                      </c:pt>
                      <c:pt idx="5">
                        <c:v>44348</c:v>
                      </c:pt>
                      <c:pt idx="6">
                        <c:v>44378</c:v>
                      </c:pt>
                      <c:pt idx="7">
                        <c:v>44409</c:v>
                      </c:pt>
                      <c:pt idx="8">
                        <c:v>44440</c:v>
                      </c:pt>
                      <c:pt idx="9">
                        <c:v>44470</c:v>
                      </c:pt>
                      <c:pt idx="10">
                        <c:v>44501</c:v>
                      </c:pt>
                      <c:pt idx="11">
                        <c:v>44531</c:v>
                      </c:pt>
                      <c:pt idx="12">
                        <c:v>44562</c:v>
                      </c:pt>
                      <c:pt idx="13">
                        <c:v>44593</c:v>
                      </c:pt>
                      <c:pt idx="14">
                        <c:v>44621</c:v>
                      </c:pt>
                      <c:pt idx="15">
                        <c:v>44652</c:v>
                      </c:pt>
                      <c:pt idx="16">
                        <c:v>44682</c:v>
                      </c:pt>
                      <c:pt idx="17">
                        <c:v>44713</c:v>
                      </c:pt>
                      <c:pt idx="18">
                        <c:v>44743</c:v>
                      </c:pt>
                      <c:pt idx="19">
                        <c:v>44774</c:v>
                      </c:pt>
                      <c:pt idx="20">
                        <c:v>44805</c:v>
                      </c:pt>
                      <c:pt idx="21">
                        <c:v>44835</c:v>
                      </c:pt>
                      <c:pt idx="22">
                        <c:v>44866</c:v>
                      </c:pt>
                      <c:pt idx="23">
                        <c:v>44896</c:v>
                      </c:pt>
                      <c:pt idx="24">
                        <c:v>44927</c:v>
                      </c:pt>
                      <c:pt idx="25">
                        <c:v>44958</c:v>
                      </c:pt>
                      <c:pt idx="26">
                        <c:v>44986</c:v>
                      </c:pt>
                      <c:pt idx="27">
                        <c:v>45017</c:v>
                      </c:pt>
                      <c:pt idx="28">
                        <c:v>45047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'Q5 - Oil Impact'!$R$102:$R$130</c15:sqref>
                        </c15:formulaRef>
                      </c:ext>
                    </c:extLst>
                    <c:numCache>
                      <c:formatCode>0.00%</c:formatCode>
                      <c:ptCount val="29"/>
                      <c:pt idx="0">
                        <c:v>3.2258064516129032E-3</c:v>
                      </c:pt>
                      <c:pt idx="1">
                        <c:v>1.09324758842443E-2</c:v>
                      </c:pt>
                      <c:pt idx="2">
                        <c:v>3.8167938931299157E-3</c:v>
                      </c:pt>
                      <c:pt idx="3">
                        <c:v>6.3371356147021544E-3</c:v>
                      </c:pt>
                      <c:pt idx="4">
                        <c:v>1.8891687657430729E-2</c:v>
                      </c:pt>
                      <c:pt idx="5">
                        <c:v>2.4721878862792165E-3</c:v>
                      </c:pt>
                      <c:pt idx="6">
                        <c:v>3.6991368680642589E-3</c:v>
                      </c:pt>
                      <c:pt idx="7">
                        <c:v>1.0442260442260373E-2</c:v>
                      </c:pt>
                      <c:pt idx="8">
                        <c:v>6.0790273556227549E-4</c:v>
                      </c:pt>
                      <c:pt idx="9">
                        <c:v>6.6828675577156405E-3</c:v>
                      </c:pt>
                      <c:pt idx="10">
                        <c:v>9.0525045262522634E-3</c:v>
                      </c:pt>
                      <c:pt idx="11">
                        <c:v>7.7751196172249487E-3</c:v>
                      </c:pt>
                      <c:pt idx="12">
                        <c:v>8.3086053412463248E-3</c:v>
                      </c:pt>
                      <c:pt idx="13">
                        <c:v>5.297233666862894E-3</c:v>
                      </c:pt>
                      <c:pt idx="14">
                        <c:v>7.6112412177984949E-3</c:v>
                      </c:pt>
                      <c:pt idx="15">
                        <c:v>1.0459035444509072E-2</c:v>
                      </c:pt>
                      <c:pt idx="16">
                        <c:v>9.7757331799884339E-3</c:v>
                      </c:pt>
                      <c:pt idx="17">
                        <c:v>8.5421412300683373E-3</c:v>
                      </c:pt>
                      <c:pt idx="18">
                        <c:v>6.7758328627894812E-3</c:v>
                      </c:pt>
                      <c:pt idx="19">
                        <c:v>6.7302299495232108E-3</c:v>
                      </c:pt>
                      <c:pt idx="20">
                        <c:v>7.7994428969359649E-3</c:v>
                      </c:pt>
                      <c:pt idx="21">
                        <c:v>5.5279159756771697E-3</c:v>
                      </c:pt>
                      <c:pt idx="22">
                        <c:v>6.5970313358987825E-3</c:v>
                      </c:pt>
                      <c:pt idx="23">
                        <c:v>4.9153468050246079E-3</c:v>
                      </c:pt>
                      <c:pt idx="24">
                        <c:v>4.8913043478261177E-3</c:v>
                      </c:pt>
                      <c:pt idx="25">
                        <c:v>7.0308274743103453E-3</c:v>
                      </c:pt>
                      <c:pt idx="26">
                        <c:v>-5.3705692803434116E-4</c:v>
                      </c:pt>
                      <c:pt idx="27">
                        <c:v>4.2987641053197816E-3</c:v>
                      </c:pt>
                      <c:pt idx="28">
                        <c:v>2.1401819154628445E-3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6DAA-425B-A1B0-92A98C4BC3C5}"/>
                  </c:ext>
                </c:extLst>
              </c15:ser>
            </c15:filteredLineSeries>
            <c15:filteredLineSeries>
              <c15:ser>
                <c:idx val="16"/>
                <c:order val="1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'Q5 - Oil Impact'!$S$101</c15:sqref>
                        </c15:formulaRef>
                      </c:ext>
                    </c:extLst>
                    <c:strCache>
                      <c:ptCount val="1"/>
                      <c:pt idx="0">
                        <c:v>Footwear inflation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'Q5 - Oil Impact'!$B$102:$B$130</c15:sqref>
                        </c15:formulaRef>
                      </c:ext>
                    </c:extLst>
                    <c:numCache>
                      <c:formatCode>mmm/yyyy</c:formatCode>
                      <c:ptCount val="29"/>
                      <c:pt idx="0">
                        <c:v>44197</c:v>
                      </c:pt>
                      <c:pt idx="1">
                        <c:v>44228</c:v>
                      </c:pt>
                      <c:pt idx="2">
                        <c:v>44256</c:v>
                      </c:pt>
                      <c:pt idx="3">
                        <c:v>44287</c:v>
                      </c:pt>
                      <c:pt idx="4">
                        <c:v>44317</c:v>
                      </c:pt>
                      <c:pt idx="5">
                        <c:v>44348</c:v>
                      </c:pt>
                      <c:pt idx="6">
                        <c:v>44378</c:v>
                      </c:pt>
                      <c:pt idx="7">
                        <c:v>44409</c:v>
                      </c:pt>
                      <c:pt idx="8">
                        <c:v>44440</c:v>
                      </c:pt>
                      <c:pt idx="9">
                        <c:v>44470</c:v>
                      </c:pt>
                      <c:pt idx="10">
                        <c:v>44501</c:v>
                      </c:pt>
                      <c:pt idx="11">
                        <c:v>44531</c:v>
                      </c:pt>
                      <c:pt idx="12">
                        <c:v>44562</c:v>
                      </c:pt>
                      <c:pt idx="13">
                        <c:v>44593</c:v>
                      </c:pt>
                      <c:pt idx="14">
                        <c:v>44621</c:v>
                      </c:pt>
                      <c:pt idx="15">
                        <c:v>44652</c:v>
                      </c:pt>
                      <c:pt idx="16">
                        <c:v>44682</c:v>
                      </c:pt>
                      <c:pt idx="17">
                        <c:v>44713</c:v>
                      </c:pt>
                      <c:pt idx="18">
                        <c:v>44743</c:v>
                      </c:pt>
                      <c:pt idx="19">
                        <c:v>44774</c:v>
                      </c:pt>
                      <c:pt idx="20">
                        <c:v>44805</c:v>
                      </c:pt>
                      <c:pt idx="21">
                        <c:v>44835</c:v>
                      </c:pt>
                      <c:pt idx="22">
                        <c:v>44866</c:v>
                      </c:pt>
                      <c:pt idx="23">
                        <c:v>44896</c:v>
                      </c:pt>
                      <c:pt idx="24">
                        <c:v>44927</c:v>
                      </c:pt>
                      <c:pt idx="25">
                        <c:v>44958</c:v>
                      </c:pt>
                      <c:pt idx="26">
                        <c:v>44986</c:v>
                      </c:pt>
                      <c:pt idx="27">
                        <c:v>45017</c:v>
                      </c:pt>
                      <c:pt idx="28">
                        <c:v>45047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'Q5 - Oil Impact'!$S$102:$S$130</c15:sqref>
                        </c15:formulaRef>
                      </c:ext>
                    </c:extLst>
                    <c:numCache>
                      <c:formatCode>0.00%</c:formatCode>
                      <c:ptCount val="29"/>
                      <c:pt idx="0">
                        <c:v>4.8143053645116132E-3</c:v>
                      </c:pt>
                      <c:pt idx="1">
                        <c:v>8.8980150581794079E-3</c:v>
                      </c:pt>
                      <c:pt idx="2">
                        <c:v>3.3921302578018993E-3</c:v>
                      </c:pt>
                      <c:pt idx="3">
                        <c:v>4.0567951318458036E-3</c:v>
                      </c:pt>
                      <c:pt idx="4">
                        <c:v>2.4242424242424204E-2</c:v>
                      </c:pt>
                      <c:pt idx="5">
                        <c:v>-1.9723865877710909E-3</c:v>
                      </c:pt>
                      <c:pt idx="6">
                        <c:v>8.5638998682475813E-3</c:v>
                      </c:pt>
                      <c:pt idx="7">
                        <c:v>1.4369693011103966E-2</c:v>
                      </c:pt>
                      <c:pt idx="8">
                        <c:v>0</c:v>
                      </c:pt>
                      <c:pt idx="9">
                        <c:v>6.4391500321957498E-3</c:v>
                      </c:pt>
                      <c:pt idx="10">
                        <c:v>7.03774792066535E-3</c:v>
                      </c:pt>
                      <c:pt idx="11">
                        <c:v>8.2592121982209849E-3</c:v>
                      </c:pt>
                      <c:pt idx="12">
                        <c:v>1.2602394454946441E-2</c:v>
                      </c:pt>
                      <c:pt idx="13">
                        <c:v>1.0578718108276397E-2</c:v>
                      </c:pt>
                      <c:pt idx="14">
                        <c:v>1.354679802955658E-2</c:v>
                      </c:pt>
                      <c:pt idx="15">
                        <c:v>1.1543134872418018E-2</c:v>
                      </c:pt>
                      <c:pt idx="16">
                        <c:v>1.1411411411411446E-2</c:v>
                      </c:pt>
                      <c:pt idx="17">
                        <c:v>8.9073634204275536E-3</c:v>
                      </c:pt>
                      <c:pt idx="18">
                        <c:v>8.2401412595644822E-3</c:v>
                      </c:pt>
                      <c:pt idx="19">
                        <c:v>8.1727962638644316E-3</c:v>
                      </c:pt>
                      <c:pt idx="20">
                        <c:v>9.2646207295890154E-3</c:v>
                      </c:pt>
                      <c:pt idx="21">
                        <c:v>5.737234652897303E-3</c:v>
                      </c:pt>
                      <c:pt idx="22">
                        <c:v>5.1340559041641596E-3</c:v>
                      </c:pt>
                      <c:pt idx="23">
                        <c:v>4.5402951191828118E-3</c:v>
                      </c:pt>
                      <c:pt idx="24">
                        <c:v>3.3898305084745441E-3</c:v>
                      </c:pt>
                      <c:pt idx="25">
                        <c:v>6.1936936936936617E-3</c:v>
                      </c:pt>
                      <c:pt idx="26">
                        <c:v>0</c:v>
                      </c:pt>
                      <c:pt idx="27">
                        <c:v>2.7979854504756579E-3</c:v>
                      </c:pt>
                      <c:pt idx="28">
                        <c:v>2.7901785714285715E-3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6DAA-425B-A1B0-92A98C4BC3C5}"/>
                  </c:ext>
                </c:extLst>
              </c15:ser>
            </c15:filteredLineSeries>
            <c15:filteredLineSeries>
              <c15:ser>
                <c:idx val="17"/>
                <c:order val="1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'Q5 - Oil Impact'!$T$101</c15:sqref>
                        </c15:formulaRef>
                      </c:ext>
                    </c:extLst>
                    <c:strCache>
                      <c:ptCount val="1"/>
                      <c:pt idx="0">
                        <c:v>Clothing and footwear inflation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'Q5 - Oil Impact'!$B$102:$B$130</c15:sqref>
                        </c15:formulaRef>
                      </c:ext>
                    </c:extLst>
                    <c:numCache>
                      <c:formatCode>mmm/yyyy</c:formatCode>
                      <c:ptCount val="29"/>
                      <c:pt idx="0">
                        <c:v>44197</c:v>
                      </c:pt>
                      <c:pt idx="1">
                        <c:v>44228</c:v>
                      </c:pt>
                      <c:pt idx="2">
                        <c:v>44256</c:v>
                      </c:pt>
                      <c:pt idx="3">
                        <c:v>44287</c:v>
                      </c:pt>
                      <c:pt idx="4">
                        <c:v>44317</c:v>
                      </c:pt>
                      <c:pt idx="5">
                        <c:v>44348</c:v>
                      </c:pt>
                      <c:pt idx="6">
                        <c:v>44378</c:v>
                      </c:pt>
                      <c:pt idx="7">
                        <c:v>44409</c:v>
                      </c:pt>
                      <c:pt idx="8">
                        <c:v>44440</c:v>
                      </c:pt>
                      <c:pt idx="9">
                        <c:v>44470</c:v>
                      </c:pt>
                      <c:pt idx="10">
                        <c:v>44501</c:v>
                      </c:pt>
                      <c:pt idx="11">
                        <c:v>44531</c:v>
                      </c:pt>
                      <c:pt idx="12">
                        <c:v>44562</c:v>
                      </c:pt>
                      <c:pt idx="13">
                        <c:v>44593</c:v>
                      </c:pt>
                      <c:pt idx="14">
                        <c:v>44621</c:v>
                      </c:pt>
                      <c:pt idx="15">
                        <c:v>44652</c:v>
                      </c:pt>
                      <c:pt idx="16">
                        <c:v>44682</c:v>
                      </c:pt>
                      <c:pt idx="17">
                        <c:v>44713</c:v>
                      </c:pt>
                      <c:pt idx="18">
                        <c:v>44743</c:v>
                      </c:pt>
                      <c:pt idx="19">
                        <c:v>44774</c:v>
                      </c:pt>
                      <c:pt idx="20">
                        <c:v>44805</c:v>
                      </c:pt>
                      <c:pt idx="21">
                        <c:v>44835</c:v>
                      </c:pt>
                      <c:pt idx="22">
                        <c:v>44866</c:v>
                      </c:pt>
                      <c:pt idx="23">
                        <c:v>44896</c:v>
                      </c:pt>
                      <c:pt idx="24">
                        <c:v>44927</c:v>
                      </c:pt>
                      <c:pt idx="25">
                        <c:v>44958</c:v>
                      </c:pt>
                      <c:pt idx="26">
                        <c:v>44986</c:v>
                      </c:pt>
                      <c:pt idx="27">
                        <c:v>45017</c:v>
                      </c:pt>
                      <c:pt idx="28">
                        <c:v>45047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'Q5 - Oil Impact'!$T$102:$T$130</c15:sqref>
                        </c15:formulaRef>
                      </c:ext>
                    </c:extLst>
                    <c:numCache>
                      <c:formatCode>0.00%</c:formatCode>
                      <c:ptCount val="29"/>
                      <c:pt idx="0">
                        <c:v>3.9062499999999631E-3</c:v>
                      </c:pt>
                      <c:pt idx="1">
                        <c:v>1.0376134889753716E-2</c:v>
                      </c:pt>
                      <c:pt idx="2">
                        <c:v>3.8510911424903356E-3</c:v>
                      </c:pt>
                      <c:pt idx="3">
                        <c:v>5.7544757033248439E-3</c:v>
                      </c:pt>
                      <c:pt idx="4">
                        <c:v>1.9707565162110578E-2</c:v>
                      </c:pt>
                      <c:pt idx="5">
                        <c:v>1.8703241895260782E-3</c:v>
                      </c:pt>
                      <c:pt idx="6">
                        <c:v>4.3559427504668144E-3</c:v>
                      </c:pt>
                      <c:pt idx="7">
                        <c:v>1.1152416356877217E-2</c:v>
                      </c:pt>
                      <c:pt idx="8">
                        <c:v>6.12745098039355E-4</c:v>
                      </c:pt>
                      <c:pt idx="9">
                        <c:v>6.1236987140232697E-3</c:v>
                      </c:pt>
                      <c:pt idx="10">
                        <c:v>9.1296409007912346E-3</c:v>
                      </c:pt>
                      <c:pt idx="11">
                        <c:v>7.2376357056694119E-3</c:v>
                      </c:pt>
                      <c:pt idx="12">
                        <c:v>8.9820359281437123E-3</c:v>
                      </c:pt>
                      <c:pt idx="13">
                        <c:v>6.5281899109791951E-3</c:v>
                      </c:pt>
                      <c:pt idx="14">
                        <c:v>8.8443396226415092E-3</c:v>
                      </c:pt>
                      <c:pt idx="15">
                        <c:v>9.9357101110462715E-3</c:v>
                      </c:pt>
                      <c:pt idx="16">
                        <c:v>1.0416666666666567E-2</c:v>
                      </c:pt>
                      <c:pt idx="17">
                        <c:v>8.0183276059565042E-3</c:v>
                      </c:pt>
                      <c:pt idx="18">
                        <c:v>7.3863636363637013E-3</c:v>
                      </c:pt>
                      <c:pt idx="19">
                        <c:v>6.7681895093061962E-3</c:v>
                      </c:pt>
                      <c:pt idx="20">
                        <c:v>7.8431372549019919E-3</c:v>
                      </c:pt>
                      <c:pt idx="21">
                        <c:v>6.1145080600333197E-3</c:v>
                      </c:pt>
                      <c:pt idx="22">
                        <c:v>6.0773480662983112E-3</c:v>
                      </c:pt>
                      <c:pt idx="23">
                        <c:v>4.9423393739703777E-3</c:v>
                      </c:pt>
                      <c:pt idx="24">
                        <c:v>4.3715846994536144E-3</c:v>
                      </c:pt>
                      <c:pt idx="25">
                        <c:v>7.0729053318823879E-3</c:v>
                      </c:pt>
                      <c:pt idx="26">
                        <c:v>0</c:v>
                      </c:pt>
                      <c:pt idx="27">
                        <c:v>3.2414910858994833E-3</c:v>
                      </c:pt>
                      <c:pt idx="28">
                        <c:v>2.6925148088314489E-3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6DAA-425B-A1B0-92A98C4BC3C5}"/>
                  </c:ext>
                </c:extLst>
              </c15:ser>
            </c15:filteredLineSeries>
            <c15:filteredLineSeries>
              <c15:ser>
                <c:idx val="18"/>
                <c:order val="1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'Q5 - Oil Impact'!$U$101</c15:sqref>
                        </c15:formulaRef>
                      </c:ext>
                    </c:extLst>
                    <c:strCache>
                      <c:ptCount val="1"/>
                      <c:pt idx="0">
                        <c:v>Housing inflation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'Q5 - Oil Impact'!$B$102:$B$130</c15:sqref>
                        </c15:formulaRef>
                      </c:ext>
                    </c:extLst>
                    <c:numCache>
                      <c:formatCode>mmm/yyyy</c:formatCode>
                      <c:ptCount val="29"/>
                      <c:pt idx="0">
                        <c:v>44197</c:v>
                      </c:pt>
                      <c:pt idx="1">
                        <c:v>44228</c:v>
                      </c:pt>
                      <c:pt idx="2">
                        <c:v>44256</c:v>
                      </c:pt>
                      <c:pt idx="3">
                        <c:v>44287</c:v>
                      </c:pt>
                      <c:pt idx="4">
                        <c:v>44317</c:v>
                      </c:pt>
                      <c:pt idx="5">
                        <c:v>44348</c:v>
                      </c:pt>
                      <c:pt idx="6">
                        <c:v>44378</c:v>
                      </c:pt>
                      <c:pt idx="7">
                        <c:v>44409</c:v>
                      </c:pt>
                      <c:pt idx="8">
                        <c:v>44440</c:v>
                      </c:pt>
                      <c:pt idx="9">
                        <c:v>44470</c:v>
                      </c:pt>
                      <c:pt idx="10">
                        <c:v>44501</c:v>
                      </c:pt>
                      <c:pt idx="11">
                        <c:v>44531</c:v>
                      </c:pt>
                      <c:pt idx="12">
                        <c:v>44562</c:v>
                      </c:pt>
                      <c:pt idx="13">
                        <c:v>44593</c:v>
                      </c:pt>
                      <c:pt idx="14">
                        <c:v>44621</c:v>
                      </c:pt>
                      <c:pt idx="15">
                        <c:v>44652</c:v>
                      </c:pt>
                      <c:pt idx="16">
                        <c:v>44682</c:v>
                      </c:pt>
                      <c:pt idx="17">
                        <c:v>44713</c:v>
                      </c:pt>
                      <c:pt idx="18">
                        <c:v>44743</c:v>
                      </c:pt>
                      <c:pt idx="19">
                        <c:v>44774</c:v>
                      </c:pt>
                      <c:pt idx="20">
                        <c:v>44805</c:v>
                      </c:pt>
                      <c:pt idx="21">
                        <c:v>44835</c:v>
                      </c:pt>
                      <c:pt idx="22">
                        <c:v>44866</c:v>
                      </c:pt>
                      <c:pt idx="23">
                        <c:v>44896</c:v>
                      </c:pt>
                      <c:pt idx="24">
                        <c:v>44927</c:v>
                      </c:pt>
                      <c:pt idx="25">
                        <c:v>44958</c:v>
                      </c:pt>
                      <c:pt idx="26">
                        <c:v>44986</c:v>
                      </c:pt>
                      <c:pt idx="27">
                        <c:v>45017</c:v>
                      </c:pt>
                      <c:pt idx="28">
                        <c:v>45047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'Q5 - Oil Impact'!$U$102:$U$130</c15:sqref>
                        </c15:formulaRef>
                      </c:ext>
                    </c:extLst>
                    <c:numCache>
                      <c:formatCode>0.00%</c:formatCode>
                      <c:ptCount val="29"/>
                      <c:pt idx="0">
                        <c:v>-4.4191919191920266E-3</c:v>
                      </c:pt>
                      <c:pt idx="1">
                        <c:v>1.331642358909336E-2</c:v>
                      </c:pt>
                      <c:pt idx="2">
                        <c:v>6.2578222778469526E-4</c:v>
                      </c:pt>
                      <c:pt idx="3">
                        <c:v>9.3808630393996239E-3</c:v>
                      </c:pt>
                      <c:pt idx="4">
                        <c:v>1.2391573729862988E-3</c:v>
                      </c:pt>
                      <c:pt idx="5">
                        <c:v>-6.8069306930692722E-3</c:v>
                      </c:pt>
                      <c:pt idx="6">
                        <c:v>6.2305295950155761E-3</c:v>
                      </c:pt>
                      <c:pt idx="7">
                        <c:v>3.7151702786377356E-3</c:v>
                      </c:pt>
                      <c:pt idx="8">
                        <c:v>0</c:v>
                      </c:pt>
                      <c:pt idx="9">
                        <c:v>9.2535471930906849E-3</c:v>
                      </c:pt>
                      <c:pt idx="10">
                        <c:v>3.6674816625916523E-3</c:v>
                      </c:pt>
                      <c:pt idx="11">
                        <c:v>-4.8721071863579964E-3</c:v>
                      </c:pt>
                      <c:pt idx="12">
                        <c:v>6.7319461444308093E-3</c:v>
                      </c:pt>
                      <c:pt idx="13">
                        <c:v>6.0790273556231003E-3</c:v>
                      </c:pt>
                      <c:pt idx="14">
                        <c:v>-1.2084592145014418E-3</c:v>
                      </c:pt>
                      <c:pt idx="15">
                        <c:v>1.0284331518451231E-2</c:v>
                      </c:pt>
                      <c:pt idx="16">
                        <c:v>2.9940119760479044E-3</c:v>
                      </c:pt>
                      <c:pt idx="17">
                        <c:v>-4.1791044776118723E-3</c:v>
                      </c:pt>
                      <c:pt idx="18">
                        <c:v>5.9952038369304557E-3</c:v>
                      </c:pt>
                      <c:pt idx="19">
                        <c:v>7.1513706793801465E-3</c:v>
                      </c:pt>
                      <c:pt idx="20">
                        <c:v>2.9585798816568047E-3</c:v>
                      </c:pt>
                      <c:pt idx="21">
                        <c:v>1.0029498525073679E-2</c:v>
                      </c:pt>
                      <c:pt idx="22">
                        <c:v>3.5046728971963948E-3</c:v>
                      </c:pt>
                      <c:pt idx="23">
                        <c:v>-6.4027939464494921E-3</c:v>
                      </c:pt>
                      <c:pt idx="24">
                        <c:v>8.201523140011751E-3</c:v>
                      </c:pt>
                      <c:pt idx="25">
                        <c:v>8.1348053457292614E-3</c:v>
                      </c:pt>
                      <c:pt idx="26">
                        <c:v>0</c:v>
                      </c:pt>
                      <c:pt idx="27">
                        <c:v>9.7982708933716921E-3</c:v>
                      </c:pt>
                      <c:pt idx="28">
                        <c:v>2.2831050228310826E-3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6DAA-425B-A1B0-92A98C4BC3C5}"/>
                  </c:ext>
                </c:extLst>
              </c15:ser>
            </c15:filteredLineSeries>
            <c15:filteredLineSeries>
              <c15:ser>
                <c:idx val="19"/>
                <c:order val="1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'Q5 - Oil Impact'!$V$101</c15:sqref>
                        </c15:formulaRef>
                      </c:ext>
                    </c:extLst>
                    <c:strCache>
                      <c:ptCount val="1"/>
                      <c:pt idx="0">
                        <c:v>Fuel and light inflation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'Q5 - Oil Impact'!$B$102:$B$130</c15:sqref>
                        </c15:formulaRef>
                      </c:ext>
                    </c:extLst>
                    <c:numCache>
                      <c:formatCode>mmm/yyyy</c:formatCode>
                      <c:ptCount val="29"/>
                      <c:pt idx="0">
                        <c:v>44197</c:v>
                      </c:pt>
                      <c:pt idx="1">
                        <c:v>44228</c:v>
                      </c:pt>
                      <c:pt idx="2">
                        <c:v>44256</c:v>
                      </c:pt>
                      <c:pt idx="3">
                        <c:v>44287</c:v>
                      </c:pt>
                      <c:pt idx="4">
                        <c:v>44317</c:v>
                      </c:pt>
                      <c:pt idx="5">
                        <c:v>44348</c:v>
                      </c:pt>
                      <c:pt idx="6">
                        <c:v>44378</c:v>
                      </c:pt>
                      <c:pt idx="7">
                        <c:v>44409</c:v>
                      </c:pt>
                      <c:pt idx="8">
                        <c:v>44440</c:v>
                      </c:pt>
                      <c:pt idx="9">
                        <c:v>44470</c:v>
                      </c:pt>
                      <c:pt idx="10">
                        <c:v>44501</c:v>
                      </c:pt>
                      <c:pt idx="11">
                        <c:v>44531</c:v>
                      </c:pt>
                      <c:pt idx="12">
                        <c:v>44562</c:v>
                      </c:pt>
                      <c:pt idx="13">
                        <c:v>44593</c:v>
                      </c:pt>
                      <c:pt idx="14">
                        <c:v>44621</c:v>
                      </c:pt>
                      <c:pt idx="15">
                        <c:v>44652</c:v>
                      </c:pt>
                      <c:pt idx="16">
                        <c:v>44682</c:v>
                      </c:pt>
                      <c:pt idx="17">
                        <c:v>44713</c:v>
                      </c:pt>
                      <c:pt idx="18">
                        <c:v>44743</c:v>
                      </c:pt>
                      <c:pt idx="19">
                        <c:v>44774</c:v>
                      </c:pt>
                      <c:pt idx="20">
                        <c:v>44805</c:v>
                      </c:pt>
                      <c:pt idx="21">
                        <c:v>44835</c:v>
                      </c:pt>
                      <c:pt idx="22">
                        <c:v>44866</c:v>
                      </c:pt>
                      <c:pt idx="23">
                        <c:v>44896</c:v>
                      </c:pt>
                      <c:pt idx="24">
                        <c:v>44927</c:v>
                      </c:pt>
                      <c:pt idx="25">
                        <c:v>44958</c:v>
                      </c:pt>
                      <c:pt idx="26">
                        <c:v>44986</c:v>
                      </c:pt>
                      <c:pt idx="27">
                        <c:v>45017</c:v>
                      </c:pt>
                      <c:pt idx="28">
                        <c:v>45047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'Q5 - Oil Impact'!$V$102:$V$130</c15:sqref>
                        </c15:formulaRef>
                      </c:ext>
                    </c:extLst>
                    <c:numCache>
                      <c:formatCode>0.00%</c:formatCode>
                      <c:ptCount val="29"/>
                      <c:pt idx="0">
                        <c:v>2.2821576763485556E-2</c:v>
                      </c:pt>
                      <c:pt idx="1">
                        <c:v>3.0425963488843813E-2</c:v>
                      </c:pt>
                      <c:pt idx="2">
                        <c:v>2.0341207349081326E-2</c:v>
                      </c:pt>
                      <c:pt idx="3">
                        <c:v>6.4308681672022071E-4</c:v>
                      </c:pt>
                      <c:pt idx="4">
                        <c:v>2.4421593830334265E-2</c:v>
                      </c:pt>
                      <c:pt idx="5">
                        <c:v>2.5094102885822186E-3</c:v>
                      </c:pt>
                      <c:pt idx="6">
                        <c:v>5.6320400500624356E-3</c:v>
                      </c:pt>
                      <c:pt idx="7">
                        <c:v>1.1823273179838244E-2</c:v>
                      </c:pt>
                      <c:pt idx="8">
                        <c:v>0</c:v>
                      </c:pt>
                      <c:pt idx="9">
                        <c:v>9.8400984009839754E-3</c:v>
                      </c:pt>
                      <c:pt idx="10">
                        <c:v>-1.8270401948841837E-3</c:v>
                      </c:pt>
                      <c:pt idx="11">
                        <c:v>1.2202562538132314E-3</c:v>
                      </c:pt>
                      <c:pt idx="12">
                        <c:v>6.0938452163311586E-4</c:v>
                      </c:pt>
                      <c:pt idx="13">
                        <c:v>9.1352009744214372E-3</c:v>
                      </c:pt>
                      <c:pt idx="14">
                        <c:v>9.0525045262522634E-3</c:v>
                      </c:pt>
                      <c:pt idx="15">
                        <c:v>2.9904306220095697E-2</c:v>
                      </c:pt>
                      <c:pt idx="16">
                        <c:v>1.3937282229965191E-2</c:v>
                      </c:pt>
                      <c:pt idx="17">
                        <c:v>8.0183276059565042E-3</c:v>
                      </c:pt>
                      <c:pt idx="18">
                        <c:v>2.0454545454545423E-2</c:v>
                      </c:pt>
                      <c:pt idx="19">
                        <c:v>-4.4543429844097048E-3</c:v>
                      </c:pt>
                      <c:pt idx="20">
                        <c:v>3.9149888143176093E-3</c:v>
                      </c:pt>
                      <c:pt idx="21">
                        <c:v>5.5710306406685237E-3</c:v>
                      </c:pt>
                      <c:pt idx="22">
                        <c:v>4.4321329639889825E-3</c:v>
                      </c:pt>
                      <c:pt idx="23">
                        <c:v>3.8610038610037982E-3</c:v>
                      </c:pt>
                      <c:pt idx="24">
                        <c:v>0</c:v>
                      </c:pt>
                      <c:pt idx="25">
                        <c:v>5.4945054945051823E-4</c:v>
                      </c:pt>
                      <c:pt idx="26">
                        <c:v>-1.0982976386600144E-3</c:v>
                      </c:pt>
                      <c:pt idx="27">
                        <c:v>-1.0995052226499013E-3</c:v>
                      </c:pt>
                      <c:pt idx="28">
                        <c:v>6.0539350577876877E-3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6DAA-425B-A1B0-92A98C4BC3C5}"/>
                  </c:ext>
                </c:extLst>
              </c15:ser>
            </c15:filteredLineSeries>
            <c15:filteredLineSeries>
              <c15:ser>
                <c:idx val="20"/>
                <c:order val="2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'Q5 - Oil Impact'!$W$101</c15:sqref>
                        </c15:formulaRef>
                      </c:ext>
                    </c:extLst>
                    <c:strCache>
                      <c:ptCount val="1"/>
                      <c:pt idx="0">
                        <c:v>Household goods and services inflation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'Q5 - Oil Impact'!$B$102:$B$130</c15:sqref>
                        </c15:formulaRef>
                      </c:ext>
                    </c:extLst>
                    <c:numCache>
                      <c:formatCode>mmm/yyyy</c:formatCode>
                      <c:ptCount val="29"/>
                      <c:pt idx="0">
                        <c:v>44197</c:v>
                      </c:pt>
                      <c:pt idx="1">
                        <c:v>44228</c:v>
                      </c:pt>
                      <c:pt idx="2">
                        <c:v>44256</c:v>
                      </c:pt>
                      <c:pt idx="3">
                        <c:v>44287</c:v>
                      </c:pt>
                      <c:pt idx="4">
                        <c:v>44317</c:v>
                      </c:pt>
                      <c:pt idx="5">
                        <c:v>44348</c:v>
                      </c:pt>
                      <c:pt idx="6">
                        <c:v>44378</c:v>
                      </c:pt>
                      <c:pt idx="7">
                        <c:v>44409</c:v>
                      </c:pt>
                      <c:pt idx="8">
                        <c:v>44440</c:v>
                      </c:pt>
                      <c:pt idx="9">
                        <c:v>44470</c:v>
                      </c:pt>
                      <c:pt idx="10">
                        <c:v>44501</c:v>
                      </c:pt>
                      <c:pt idx="11">
                        <c:v>44531</c:v>
                      </c:pt>
                      <c:pt idx="12">
                        <c:v>44562</c:v>
                      </c:pt>
                      <c:pt idx="13">
                        <c:v>44593</c:v>
                      </c:pt>
                      <c:pt idx="14">
                        <c:v>44621</c:v>
                      </c:pt>
                      <c:pt idx="15">
                        <c:v>44652</c:v>
                      </c:pt>
                      <c:pt idx="16">
                        <c:v>44682</c:v>
                      </c:pt>
                      <c:pt idx="17">
                        <c:v>44713</c:v>
                      </c:pt>
                      <c:pt idx="18">
                        <c:v>44743</c:v>
                      </c:pt>
                      <c:pt idx="19">
                        <c:v>44774</c:v>
                      </c:pt>
                      <c:pt idx="20">
                        <c:v>44805</c:v>
                      </c:pt>
                      <c:pt idx="21">
                        <c:v>44835</c:v>
                      </c:pt>
                      <c:pt idx="22">
                        <c:v>44866</c:v>
                      </c:pt>
                      <c:pt idx="23">
                        <c:v>44896</c:v>
                      </c:pt>
                      <c:pt idx="24">
                        <c:v>44927</c:v>
                      </c:pt>
                      <c:pt idx="25">
                        <c:v>44958</c:v>
                      </c:pt>
                      <c:pt idx="26">
                        <c:v>44986</c:v>
                      </c:pt>
                      <c:pt idx="27">
                        <c:v>45017</c:v>
                      </c:pt>
                      <c:pt idx="28">
                        <c:v>45047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'Q5 - Oil Impact'!$W$102:$W$130</c15:sqref>
                        </c15:formulaRef>
                      </c:ext>
                    </c:extLst>
                    <c:numCache>
                      <c:formatCode>0.00%</c:formatCode>
                      <c:ptCount val="29"/>
                      <c:pt idx="0">
                        <c:v>2.0040080160321403E-3</c:v>
                      </c:pt>
                      <c:pt idx="1">
                        <c:v>6.0000000000000383E-3</c:v>
                      </c:pt>
                      <c:pt idx="2">
                        <c:v>1.9880715705764278E-3</c:v>
                      </c:pt>
                      <c:pt idx="3">
                        <c:v>3.968253968254119E-3</c:v>
                      </c:pt>
                      <c:pt idx="4">
                        <c:v>1.9104084321475475E-2</c:v>
                      </c:pt>
                      <c:pt idx="5">
                        <c:v>6.4641241111844047E-4</c:v>
                      </c:pt>
                      <c:pt idx="6">
                        <c:v>6.4599483204134363E-3</c:v>
                      </c:pt>
                      <c:pt idx="7">
                        <c:v>1.0911424903722648E-2</c:v>
                      </c:pt>
                      <c:pt idx="8">
                        <c:v>0</c:v>
                      </c:pt>
                      <c:pt idx="9">
                        <c:v>5.7142857142857507E-3</c:v>
                      </c:pt>
                      <c:pt idx="10">
                        <c:v>5.6818181818182175E-3</c:v>
                      </c:pt>
                      <c:pt idx="11">
                        <c:v>5.6497175141241507E-3</c:v>
                      </c:pt>
                      <c:pt idx="12">
                        <c:v>5.6179775280899239E-3</c:v>
                      </c:pt>
                      <c:pt idx="13">
                        <c:v>4.3451272501552896E-3</c:v>
                      </c:pt>
                      <c:pt idx="14">
                        <c:v>6.180469715698393E-3</c:v>
                      </c:pt>
                      <c:pt idx="15">
                        <c:v>7.371007371007301E-3</c:v>
                      </c:pt>
                      <c:pt idx="16">
                        <c:v>7.3170731707316384E-3</c:v>
                      </c:pt>
                      <c:pt idx="17">
                        <c:v>7.2639225181599099E-3</c:v>
                      </c:pt>
                      <c:pt idx="18">
                        <c:v>6.0096153846153841E-3</c:v>
                      </c:pt>
                      <c:pt idx="19">
                        <c:v>6.571087216248472E-3</c:v>
                      </c:pt>
                      <c:pt idx="20">
                        <c:v>5.9347181008902079E-3</c:v>
                      </c:pt>
                      <c:pt idx="21">
                        <c:v>5.30973451327437E-3</c:v>
                      </c:pt>
                      <c:pt idx="22">
                        <c:v>5.8685446009389668E-3</c:v>
                      </c:pt>
                      <c:pt idx="23">
                        <c:v>4.0840140023336562E-3</c:v>
                      </c:pt>
                      <c:pt idx="24">
                        <c:v>4.648460197559625E-3</c:v>
                      </c:pt>
                      <c:pt idx="25">
                        <c:v>7.5187969924811037E-3</c:v>
                      </c:pt>
                      <c:pt idx="26">
                        <c:v>0</c:v>
                      </c:pt>
                      <c:pt idx="27">
                        <c:v>2.2962112514351646E-3</c:v>
                      </c:pt>
                      <c:pt idx="28">
                        <c:v>3.4364261168384554E-3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6DAA-425B-A1B0-92A98C4BC3C5}"/>
                  </c:ext>
                </c:extLst>
              </c15:ser>
            </c15:filteredLineSeries>
            <c15:filteredLineSeries>
              <c15:ser>
                <c:idx val="21"/>
                <c:order val="2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'Q5 - Oil Impact'!$X$101</c15:sqref>
                        </c15:formulaRef>
                      </c:ext>
                    </c:extLst>
                    <c:strCache>
                      <c:ptCount val="1"/>
                      <c:pt idx="0">
                        <c:v>Health inflation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'Q5 - Oil Impact'!$B$102:$B$130</c15:sqref>
                        </c15:formulaRef>
                      </c:ext>
                    </c:extLst>
                    <c:numCache>
                      <c:formatCode>mmm/yyyy</c:formatCode>
                      <c:ptCount val="29"/>
                      <c:pt idx="0">
                        <c:v>44197</c:v>
                      </c:pt>
                      <c:pt idx="1">
                        <c:v>44228</c:v>
                      </c:pt>
                      <c:pt idx="2">
                        <c:v>44256</c:v>
                      </c:pt>
                      <c:pt idx="3">
                        <c:v>44287</c:v>
                      </c:pt>
                      <c:pt idx="4">
                        <c:v>44317</c:v>
                      </c:pt>
                      <c:pt idx="5">
                        <c:v>44348</c:v>
                      </c:pt>
                      <c:pt idx="6">
                        <c:v>44378</c:v>
                      </c:pt>
                      <c:pt idx="7">
                        <c:v>44409</c:v>
                      </c:pt>
                      <c:pt idx="8">
                        <c:v>44440</c:v>
                      </c:pt>
                      <c:pt idx="9">
                        <c:v>44470</c:v>
                      </c:pt>
                      <c:pt idx="10">
                        <c:v>44501</c:v>
                      </c:pt>
                      <c:pt idx="11">
                        <c:v>44531</c:v>
                      </c:pt>
                      <c:pt idx="12">
                        <c:v>44562</c:v>
                      </c:pt>
                      <c:pt idx="13">
                        <c:v>44593</c:v>
                      </c:pt>
                      <c:pt idx="14">
                        <c:v>44621</c:v>
                      </c:pt>
                      <c:pt idx="15">
                        <c:v>44652</c:v>
                      </c:pt>
                      <c:pt idx="16">
                        <c:v>44682</c:v>
                      </c:pt>
                      <c:pt idx="17">
                        <c:v>44713</c:v>
                      </c:pt>
                      <c:pt idx="18">
                        <c:v>44743</c:v>
                      </c:pt>
                      <c:pt idx="19">
                        <c:v>44774</c:v>
                      </c:pt>
                      <c:pt idx="20">
                        <c:v>44805</c:v>
                      </c:pt>
                      <c:pt idx="21">
                        <c:v>44835</c:v>
                      </c:pt>
                      <c:pt idx="22">
                        <c:v>44866</c:v>
                      </c:pt>
                      <c:pt idx="23">
                        <c:v>44896</c:v>
                      </c:pt>
                      <c:pt idx="24">
                        <c:v>44927</c:v>
                      </c:pt>
                      <c:pt idx="25">
                        <c:v>44958</c:v>
                      </c:pt>
                      <c:pt idx="26">
                        <c:v>44986</c:v>
                      </c:pt>
                      <c:pt idx="27">
                        <c:v>45017</c:v>
                      </c:pt>
                      <c:pt idx="28">
                        <c:v>45047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'Q5 - Oil Impact'!$X$102:$X$130</c15:sqref>
                        </c15:formulaRef>
                      </c:ext>
                    </c:extLst>
                    <c:numCache>
                      <c:formatCode>0.00%</c:formatCode>
                      <c:ptCount val="29"/>
                      <c:pt idx="0">
                        <c:v>6.3171193935565376E-3</c:v>
                      </c:pt>
                      <c:pt idx="1">
                        <c:v>1.2554927809165096E-2</c:v>
                      </c:pt>
                      <c:pt idx="2">
                        <c:v>2.4798512089273233E-3</c:v>
                      </c:pt>
                      <c:pt idx="3">
                        <c:v>3.7105751391467087E-3</c:v>
                      </c:pt>
                      <c:pt idx="4">
                        <c:v>2.1565003080714726E-2</c:v>
                      </c:pt>
                      <c:pt idx="5">
                        <c:v>3.0156815440289505E-3</c:v>
                      </c:pt>
                      <c:pt idx="6">
                        <c:v>4.2092603728201361E-3</c:v>
                      </c:pt>
                      <c:pt idx="7">
                        <c:v>8.3832335329341659E-3</c:v>
                      </c:pt>
                      <c:pt idx="8">
                        <c:v>0</c:v>
                      </c:pt>
                      <c:pt idx="9">
                        <c:v>4.1567695961994573E-3</c:v>
                      </c:pt>
                      <c:pt idx="10">
                        <c:v>4.730928444707341E-3</c:v>
                      </c:pt>
                      <c:pt idx="11">
                        <c:v>4.1200706297821578E-3</c:v>
                      </c:pt>
                      <c:pt idx="12">
                        <c:v>4.6893317702228097E-3</c:v>
                      </c:pt>
                      <c:pt idx="13">
                        <c:v>4.6674445740955833E-3</c:v>
                      </c:pt>
                      <c:pt idx="14">
                        <c:v>4.6457607433217848E-3</c:v>
                      </c:pt>
                      <c:pt idx="15">
                        <c:v>5.7803468208092483E-3</c:v>
                      </c:pt>
                      <c:pt idx="16">
                        <c:v>4.5977011494253523E-3</c:v>
                      </c:pt>
                      <c:pt idx="17">
                        <c:v>3.4324942791761686E-3</c:v>
                      </c:pt>
                      <c:pt idx="18">
                        <c:v>3.9908779931584299E-3</c:v>
                      </c:pt>
                      <c:pt idx="19">
                        <c:v>3.9750141964793699E-3</c:v>
                      </c:pt>
                      <c:pt idx="20">
                        <c:v>5.6561085972850677E-3</c:v>
                      </c:pt>
                      <c:pt idx="21">
                        <c:v>5.0618672665915477E-3</c:v>
                      </c:pt>
                      <c:pt idx="22">
                        <c:v>6.1555679910465745E-3</c:v>
                      </c:pt>
                      <c:pt idx="23">
                        <c:v>7.2302558398219295E-3</c:v>
                      </c:pt>
                      <c:pt idx="24">
                        <c:v>6.6261733848703317E-3</c:v>
                      </c:pt>
                      <c:pt idx="25">
                        <c:v>1.1519473395501889E-2</c:v>
                      </c:pt>
                      <c:pt idx="26">
                        <c:v>0</c:v>
                      </c:pt>
                      <c:pt idx="27">
                        <c:v>3.2537960954446546E-3</c:v>
                      </c:pt>
                      <c:pt idx="28">
                        <c:v>3.7837837837837222E-3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6DAA-425B-A1B0-92A98C4BC3C5}"/>
                  </c:ext>
                </c:extLst>
              </c15:ser>
            </c15:filteredLineSeries>
            <c15:filteredLineSeries>
              <c15:ser>
                <c:idx val="22"/>
                <c:order val="2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'Q5 - Oil Impact'!$Y$101</c15:sqref>
                        </c15:formulaRef>
                      </c:ext>
                    </c:extLst>
                    <c:strCache>
                      <c:ptCount val="1"/>
                      <c:pt idx="0">
                        <c:v>Transport and communication inflation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'Q5 - Oil Impact'!$B$102:$B$130</c15:sqref>
                        </c15:formulaRef>
                      </c:ext>
                    </c:extLst>
                    <c:numCache>
                      <c:formatCode>mmm/yyyy</c:formatCode>
                      <c:ptCount val="29"/>
                      <c:pt idx="0">
                        <c:v>44197</c:v>
                      </c:pt>
                      <c:pt idx="1">
                        <c:v>44228</c:v>
                      </c:pt>
                      <c:pt idx="2">
                        <c:v>44256</c:v>
                      </c:pt>
                      <c:pt idx="3">
                        <c:v>44287</c:v>
                      </c:pt>
                      <c:pt idx="4">
                        <c:v>44317</c:v>
                      </c:pt>
                      <c:pt idx="5">
                        <c:v>44348</c:v>
                      </c:pt>
                      <c:pt idx="6">
                        <c:v>44378</c:v>
                      </c:pt>
                      <c:pt idx="7">
                        <c:v>44409</c:v>
                      </c:pt>
                      <c:pt idx="8">
                        <c:v>44440</c:v>
                      </c:pt>
                      <c:pt idx="9">
                        <c:v>44470</c:v>
                      </c:pt>
                      <c:pt idx="10">
                        <c:v>44501</c:v>
                      </c:pt>
                      <c:pt idx="11">
                        <c:v>44531</c:v>
                      </c:pt>
                      <c:pt idx="12">
                        <c:v>44562</c:v>
                      </c:pt>
                      <c:pt idx="13">
                        <c:v>44593</c:v>
                      </c:pt>
                      <c:pt idx="14">
                        <c:v>44621</c:v>
                      </c:pt>
                      <c:pt idx="15">
                        <c:v>44652</c:v>
                      </c:pt>
                      <c:pt idx="16">
                        <c:v>44682</c:v>
                      </c:pt>
                      <c:pt idx="17">
                        <c:v>44713</c:v>
                      </c:pt>
                      <c:pt idx="18">
                        <c:v>44743</c:v>
                      </c:pt>
                      <c:pt idx="19">
                        <c:v>44774</c:v>
                      </c:pt>
                      <c:pt idx="20">
                        <c:v>44805</c:v>
                      </c:pt>
                      <c:pt idx="21">
                        <c:v>44835</c:v>
                      </c:pt>
                      <c:pt idx="22">
                        <c:v>44866</c:v>
                      </c:pt>
                      <c:pt idx="23">
                        <c:v>44896</c:v>
                      </c:pt>
                      <c:pt idx="24">
                        <c:v>44927</c:v>
                      </c:pt>
                      <c:pt idx="25">
                        <c:v>44958</c:v>
                      </c:pt>
                      <c:pt idx="26">
                        <c:v>44986</c:v>
                      </c:pt>
                      <c:pt idx="27">
                        <c:v>45017</c:v>
                      </c:pt>
                      <c:pt idx="28">
                        <c:v>45047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'Q5 - Oil Impact'!$Y$102:$Y$130</c15:sqref>
                        </c15:formulaRef>
                      </c:ext>
                    </c:extLst>
                    <c:numCache>
                      <c:formatCode>0.00%</c:formatCode>
                      <c:ptCount val="29"/>
                      <c:pt idx="0">
                        <c:v>8.5287846481877545E-3</c:v>
                      </c:pt>
                      <c:pt idx="1">
                        <c:v>2.2551092318534097E-2</c:v>
                      </c:pt>
                      <c:pt idx="2">
                        <c:v>7.5809786354238068E-3</c:v>
                      </c:pt>
                      <c:pt idx="3">
                        <c:v>2.7359781121751416E-3</c:v>
                      </c:pt>
                      <c:pt idx="4">
                        <c:v>1.568894952251031E-2</c:v>
                      </c:pt>
                      <c:pt idx="5">
                        <c:v>1.2088650100738636E-2</c:v>
                      </c:pt>
                      <c:pt idx="6">
                        <c:v>1.5925680159256841E-2</c:v>
                      </c:pt>
                      <c:pt idx="7">
                        <c:v>5.8785107772697954E-3</c:v>
                      </c:pt>
                      <c:pt idx="8">
                        <c:v>0</c:v>
                      </c:pt>
                      <c:pt idx="9">
                        <c:v>1.1038961038960965E-2</c:v>
                      </c:pt>
                      <c:pt idx="10">
                        <c:v>-5.7803468208091026E-3</c:v>
                      </c:pt>
                      <c:pt idx="11">
                        <c:v>5.8139534883719455E-3</c:v>
                      </c:pt>
                      <c:pt idx="12">
                        <c:v>5.1380860629416276E-3</c:v>
                      </c:pt>
                      <c:pt idx="13">
                        <c:v>2.5559105431310269E-3</c:v>
                      </c:pt>
                      <c:pt idx="14">
                        <c:v>6.3734862970044612E-3</c:v>
                      </c:pt>
                      <c:pt idx="15">
                        <c:v>2.9765674477517344E-2</c:v>
                      </c:pt>
                      <c:pt idx="16">
                        <c:v>2.4600246002460377E-3</c:v>
                      </c:pt>
                      <c:pt idx="17">
                        <c:v>-1.1656441717791446E-2</c:v>
                      </c:pt>
                      <c:pt idx="18">
                        <c:v>3.1036623215394167E-3</c:v>
                      </c:pt>
                      <c:pt idx="19">
                        <c:v>1.8564356435644268E-3</c:v>
                      </c:pt>
                      <c:pt idx="20">
                        <c:v>2.470660901791264E-3</c:v>
                      </c:pt>
                      <c:pt idx="21">
                        <c:v>3.6968576709796321E-3</c:v>
                      </c:pt>
                      <c:pt idx="22">
                        <c:v>6.1387354205030267E-4</c:v>
                      </c:pt>
                      <c:pt idx="23">
                        <c:v>2.4539877300613845E-3</c:v>
                      </c:pt>
                      <c:pt idx="24">
                        <c:v>1.2239902080782657E-3</c:v>
                      </c:pt>
                      <c:pt idx="25">
                        <c:v>3.6674816625916523E-3</c:v>
                      </c:pt>
                      <c:pt idx="26">
                        <c:v>0</c:v>
                      </c:pt>
                      <c:pt idx="27">
                        <c:v>1.8270401948843567E-3</c:v>
                      </c:pt>
                      <c:pt idx="28">
                        <c:v>1.8237082066869992E-3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6DAA-425B-A1B0-92A98C4BC3C5}"/>
                  </c:ext>
                </c:extLst>
              </c15:ser>
            </c15:filteredLineSeries>
            <c15:filteredLineSeries>
              <c15:ser>
                <c:idx val="23"/>
                <c:order val="2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'Q5 - Oil Impact'!$Z$101</c15:sqref>
                        </c15:formulaRef>
                      </c:ext>
                    </c:extLst>
                    <c:strCache>
                      <c:ptCount val="1"/>
                      <c:pt idx="0">
                        <c:v>Recreation and amusement inflation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'Q5 - Oil Impact'!$B$102:$B$130</c15:sqref>
                        </c15:formulaRef>
                      </c:ext>
                    </c:extLst>
                    <c:numCache>
                      <c:formatCode>mmm/yyyy</c:formatCode>
                      <c:ptCount val="29"/>
                      <c:pt idx="0">
                        <c:v>44197</c:v>
                      </c:pt>
                      <c:pt idx="1">
                        <c:v>44228</c:v>
                      </c:pt>
                      <c:pt idx="2">
                        <c:v>44256</c:v>
                      </c:pt>
                      <c:pt idx="3">
                        <c:v>44287</c:v>
                      </c:pt>
                      <c:pt idx="4">
                        <c:v>44317</c:v>
                      </c:pt>
                      <c:pt idx="5">
                        <c:v>44348</c:v>
                      </c:pt>
                      <c:pt idx="6">
                        <c:v>44378</c:v>
                      </c:pt>
                      <c:pt idx="7">
                        <c:v>44409</c:v>
                      </c:pt>
                      <c:pt idx="8">
                        <c:v>44440</c:v>
                      </c:pt>
                      <c:pt idx="9">
                        <c:v>44470</c:v>
                      </c:pt>
                      <c:pt idx="10">
                        <c:v>44501</c:v>
                      </c:pt>
                      <c:pt idx="11">
                        <c:v>44531</c:v>
                      </c:pt>
                      <c:pt idx="12">
                        <c:v>44562</c:v>
                      </c:pt>
                      <c:pt idx="13">
                        <c:v>44593</c:v>
                      </c:pt>
                      <c:pt idx="14">
                        <c:v>44621</c:v>
                      </c:pt>
                      <c:pt idx="15">
                        <c:v>44652</c:v>
                      </c:pt>
                      <c:pt idx="16">
                        <c:v>44682</c:v>
                      </c:pt>
                      <c:pt idx="17">
                        <c:v>44713</c:v>
                      </c:pt>
                      <c:pt idx="18">
                        <c:v>44743</c:v>
                      </c:pt>
                      <c:pt idx="19">
                        <c:v>44774</c:v>
                      </c:pt>
                      <c:pt idx="20">
                        <c:v>44805</c:v>
                      </c:pt>
                      <c:pt idx="21">
                        <c:v>44835</c:v>
                      </c:pt>
                      <c:pt idx="22">
                        <c:v>44866</c:v>
                      </c:pt>
                      <c:pt idx="23">
                        <c:v>44896</c:v>
                      </c:pt>
                      <c:pt idx="24">
                        <c:v>44927</c:v>
                      </c:pt>
                      <c:pt idx="25">
                        <c:v>44958</c:v>
                      </c:pt>
                      <c:pt idx="26">
                        <c:v>44986</c:v>
                      </c:pt>
                      <c:pt idx="27">
                        <c:v>45017</c:v>
                      </c:pt>
                      <c:pt idx="28">
                        <c:v>45047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'Q5 - Oil Impact'!$Z$102:$Z$130</c15:sqref>
                        </c15:formulaRef>
                      </c:ext>
                    </c:extLst>
                    <c:numCache>
                      <c:formatCode>0.00%</c:formatCode>
                      <c:ptCount val="29"/>
                      <c:pt idx="0">
                        <c:v>7.4074074074073695E-3</c:v>
                      </c:pt>
                      <c:pt idx="1">
                        <c:v>1.2700534759358327E-2</c:v>
                      </c:pt>
                      <c:pt idx="2">
                        <c:v>7.2607260726072235E-3</c:v>
                      </c:pt>
                      <c:pt idx="3">
                        <c:v>3.9318479685451794E-3</c:v>
                      </c:pt>
                      <c:pt idx="4">
                        <c:v>1.6971279373368297E-2</c:v>
                      </c:pt>
                      <c:pt idx="5">
                        <c:v>-5.7766367137355949E-3</c:v>
                      </c:pt>
                      <c:pt idx="6">
                        <c:v>2.5823111684958404E-3</c:v>
                      </c:pt>
                      <c:pt idx="7">
                        <c:v>1.4810045074050114E-2</c:v>
                      </c:pt>
                      <c:pt idx="8">
                        <c:v>6.3451776649742588E-4</c:v>
                      </c:pt>
                      <c:pt idx="9">
                        <c:v>5.7070386810399859E-3</c:v>
                      </c:pt>
                      <c:pt idx="10">
                        <c:v>7.5662042875158705E-3</c:v>
                      </c:pt>
                      <c:pt idx="11">
                        <c:v>5.0062578222777399E-3</c:v>
                      </c:pt>
                      <c:pt idx="12">
                        <c:v>3.735990037359865E-3</c:v>
                      </c:pt>
                      <c:pt idx="13">
                        <c:v>5.5831265508685217E-3</c:v>
                      </c:pt>
                      <c:pt idx="14">
                        <c:v>7.4028377544726534E-3</c:v>
                      </c:pt>
                      <c:pt idx="15">
                        <c:v>6.7360685854255618E-3</c:v>
                      </c:pt>
                      <c:pt idx="16">
                        <c:v>4.257907542579006E-3</c:v>
                      </c:pt>
                      <c:pt idx="17">
                        <c:v>4.2398546335555244E-3</c:v>
                      </c:pt>
                      <c:pt idx="18">
                        <c:v>3.0156815440289505E-3</c:v>
                      </c:pt>
                      <c:pt idx="19">
                        <c:v>3.6079374624172836E-3</c:v>
                      </c:pt>
                      <c:pt idx="20">
                        <c:v>4.1941282204912443E-3</c:v>
                      </c:pt>
                      <c:pt idx="21">
                        <c:v>3.579952267303069E-3</c:v>
                      </c:pt>
                      <c:pt idx="22">
                        <c:v>1.7835909631391878E-3</c:v>
                      </c:pt>
                      <c:pt idx="23">
                        <c:v>2.3738872403561168E-3</c:v>
                      </c:pt>
                      <c:pt idx="24">
                        <c:v>3.5523978685612452E-3</c:v>
                      </c:pt>
                      <c:pt idx="25">
                        <c:v>4.7197640117994768E-3</c:v>
                      </c:pt>
                      <c:pt idx="26">
                        <c:v>0</c:v>
                      </c:pt>
                      <c:pt idx="27">
                        <c:v>2.3487962419258793E-3</c:v>
                      </c:pt>
                      <c:pt idx="28">
                        <c:v>2.9291154071470417E-3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6DAA-425B-A1B0-92A98C4BC3C5}"/>
                  </c:ext>
                </c:extLst>
              </c15:ser>
            </c15:filteredLineSeries>
            <c15:filteredLineSeries>
              <c15:ser>
                <c:idx val="24"/>
                <c:order val="2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'Q5 - Oil Impact'!$AA$101</c15:sqref>
                        </c15:formulaRef>
                      </c:ext>
                    </c:extLst>
                    <c:strCache>
                      <c:ptCount val="1"/>
                      <c:pt idx="0">
                        <c:v>Education inflation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'Q5 - Oil Impact'!$B$102:$B$130</c15:sqref>
                        </c15:formulaRef>
                      </c:ext>
                    </c:extLst>
                    <c:numCache>
                      <c:formatCode>mmm/yyyy</c:formatCode>
                      <c:ptCount val="29"/>
                      <c:pt idx="0">
                        <c:v>44197</c:v>
                      </c:pt>
                      <c:pt idx="1">
                        <c:v>44228</c:v>
                      </c:pt>
                      <c:pt idx="2">
                        <c:v>44256</c:v>
                      </c:pt>
                      <c:pt idx="3">
                        <c:v>44287</c:v>
                      </c:pt>
                      <c:pt idx="4">
                        <c:v>44317</c:v>
                      </c:pt>
                      <c:pt idx="5">
                        <c:v>44348</c:v>
                      </c:pt>
                      <c:pt idx="6">
                        <c:v>44378</c:v>
                      </c:pt>
                      <c:pt idx="7">
                        <c:v>44409</c:v>
                      </c:pt>
                      <c:pt idx="8">
                        <c:v>44440</c:v>
                      </c:pt>
                      <c:pt idx="9">
                        <c:v>44470</c:v>
                      </c:pt>
                      <c:pt idx="10">
                        <c:v>44501</c:v>
                      </c:pt>
                      <c:pt idx="11">
                        <c:v>44531</c:v>
                      </c:pt>
                      <c:pt idx="12">
                        <c:v>44562</c:v>
                      </c:pt>
                      <c:pt idx="13">
                        <c:v>44593</c:v>
                      </c:pt>
                      <c:pt idx="14">
                        <c:v>44621</c:v>
                      </c:pt>
                      <c:pt idx="15">
                        <c:v>44652</c:v>
                      </c:pt>
                      <c:pt idx="16">
                        <c:v>44682</c:v>
                      </c:pt>
                      <c:pt idx="17">
                        <c:v>44713</c:v>
                      </c:pt>
                      <c:pt idx="18">
                        <c:v>44743</c:v>
                      </c:pt>
                      <c:pt idx="19">
                        <c:v>44774</c:v>
                      </c:pt>
                      <c:pt idx="20">
                        <c:v>44805</c:v>
                      </c:pt>
                      <c:pt idx="21">
                        <c:v>44835</c:v>
                      </c:pt>
                      <c:pt idx="22">
                        <c:v>44866</c:v>
                      </c:pt>
                      <c:pt idx="23">
                        <c:v>44896</c:v>
                      </c:pt>
                      <c:pt idx="24">
                        <c:v>44927</c:v>
                      </c:pt>
                      <c:pt idx="25">
                        <c:v>44958</c:v>
                      </c:pt>
                      <c:pt idx="26">
                        <c:v>44986</c:v>
                      </c:pt>
                      <c:pt idx="27">
                        <c:v>45017</c:v>
                      </c:pt>
                      <c:pt idx="28">
                        <c:v>45047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'Q5 - Oil Impact'!$AA$102:$AA$130</c15:sqref>
                        </c15:formulaRef>
                      </c:ext>
                    </c:extLst>
                    <c:numCache>
                      <c:formatCode>0.00%</c:formatCode>
                      <c:ptCount val="29"/>
                      <c:pt idx="0">
                        <c:v>-1.2547051442911986E-3</c:v>
                      </c:pt>
                      <c:pt idx="1">
                        <c:v>1.8844221105528353E-3</c:v>
                      </c:pt>
                      <c:pt idx="2">
                        <c:v>4.3887147335422488E-3</c:v>
                      </c:pt>
                      <c:pt idx="3">
                        <c:v>6.2421972534346278E-4</c:v>
                      </c:pt>
                      <c:pt idx="4">
                        <c:v>5.6144728633810183E-3</c:v>
                      </c:pt>
                      <c:pt idx="5">
                        <c:v>3.1017369727047149E-3</c:v>
                      </c:pt>
                      <c:pt idx="6">
                        <c:v>9.2764378478664197E-3</c:v>
                      </c:pt>
                      <c:pt idx="7">
                        <c:v>3.6764705882354337E-3</c:v>
                      </c:pt>
                      <c:pt idx="8">
                        <c:v>-6.1050061050074928E-4</c:v>
                      </c:pt>
                      <c:pt idx="9">
                        <c:v>1.2217470983507458E-3</c:v>
                      </c:pt>
                      <c:pt idx="10">
                        <c:v>2.4405125076266362E-3</c:v>
                      </c:pt>
                      <c:pt idx="11">
                        <c:v>6.0864272671938102E-4</c:v>
                      </c:pt>
                      <c:pt idx="12">
                        <c:v>1.8248175182480715E-3</c:v>
                      </c:pt>
                      <c:pt idx="13">
                        <c:v>4.2501517911355015E-3</c:v>
                      </c:pt>
                      <c:pt idx="14">
                        <c:v>3.6275695284159267E-3</c:v>
                      </c:pt>
                      <c:pt idx="15">
                        <c:v>5.4216867469879864E-3</c:v>
                      </c:pt>
                      <c:pt idx="16">
                        <c:v>5.9916117435590173E-3</c:v>
                      </c:pt>
                      <c:pt idx="17">
                        <c:v>6.5515187611673272E-3</c:v>
                      </c:pt>
                      <c:pt idx="18">
                        <c:v>1.4201183431952697E-2</c:v>
                      </c:pt>
                      <c:pt idx="19">
                        <c:v>5.2508751458576761E-3</c:v>
                      </c:pt>
                      <c:pt idx="20">
                        <c:v>4.6430644225187636E-3</c:v>
                      </c:pt>
                      <c:pt idx="21">
                        <c:v>1.7331022530329948E-3</c:v>
                      </c:pt>
                      <c:pt idx="22">
                        <c:v>1.7301038062282753E-3</c:v>
                      </c:pt>
                      <c:pt idx="23">
                        <c:v>2.3028209556707293E-3</c:v>
                      </c:pt>
                      <c:pt idx="24">
                        <c:v>1.1487650775417408E-3</c:v>
                      </c:pt>
                      <c:pt idx="25">
                        <c:v>4.016064257028047E-3</c:v>
                      </c:pt>
                      <c:pt idx="26">
                        <c:v>0</c:v>
                      </c:pt>
                      <c:pt idx="27">
                        <c:v>8.0000000000000331E-3</c:v>
                      </c:pt>
                      <c:pt idx="28">
                        <c:v>3.9682539682539038E-3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6DAA-425B-A1B0-92A98C4BC3C5}"/>
                  </c:ext>
                </c:extLst>
              </c15:ser>
            </c15:filteredLineSeries>
            <c15:filteredLineSeries>
              <c15:ser>
                <c:idx val="25"/>
                <c:order val="2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'Q5 - Oil Impact'!$AB$101</c15:sqref>
                        </c15:formulaRef>
                      </c:ext>
                    </c:extLst>
                    <c:strCache>
                      <c:ptCount val="1"/>
                      <c:pt idx="0">
                        <c:v>Personal care and effects inflation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'Q5 - Oil Impact'!$B$102:$B$130</c15:sqref>
                        </c15:formulaRef>
                      </c:ext>
                    </c:extLst>
                    <c:numCache>
                      <c:formatCode>mmm/yyyy</c:formatCode>
                      <c:ptCount val="29"/>
                      <c:pt idx="0">
                        <c:v>44197</c:v>
                      </c:pt>
                      <c:pt idx="1">
                        <c:v>44228</c:v>
                      </c:pt>
                      <c:pt idx="2">
                        <c:v>44256</c:v>
                      </c:pt>
                      <c:pt idx="3">
                        <c:v>44287</c:v>
                      </c:pt>
                      <c:pt idx="4">
                        <c:v>44317</c:v>
                      </c:pt>
                      <c:pt idx="5">
                        <c:v>44348</c:v>
                      </c:pt>
                      <c:pt idx="6">
                        <c:v>44378</c:v>
                      </c:pt>
                      <c:pt idx="7">
                        <c:v>44409</c:v>
                      </c:pt>
                      <c:pt idx="8">
                        <c:v>44440</c:v>
                      </c:pt>
                      <c:pt idx="9">
                        <c:v>44470</c:v>
                      </c:pt>
                      <c:pt idx="10">
                        <c:v>44501</c:v>
                      </c:pt>
                      <c:pt idx="11">
                        <c:v>44531</c:v>
                      </c:pt>
                      <c:pt idx="12">
                        <c:v>44562</c:v>
                      </c:pt>
                      <c:pt idx="13">
                        <c:v>44593</c:v>
                      </c:pt>
                      <c:pt idx="14">
                        <c:v>44621</c:v>
                      </c:pt>
                      <c:pt idx="15">
                        <c:v>44652</c:v>
                      </c:pt>
                      <c:pt idx="16">
                        <c:v>44682</c:v>
                      </c:pt>
                      <c:pt idx="17">
                        <c:v>44713</c:v>
                      </c:pt>
                      <c:pt idx="18">
                        <c:v>44743</c:v>
                      </c:pt>
                      <c:pt idx="19">
                        <c:v>44774</c:v>
                      </c:pt>
                      <c:pt idx="20">
                        <c:v>44805</c:v>
                      </c:pt>
                      <c:pt idx="21">
                        <c:v>44835</c:v>
                      </c:pt>
                      <c:pt idx="22">
                        <c:v>44866</c:v>
                      </c:pt>
                      <c:pt idx="23">
                        <c:v>44896</c:v>
                      </c:pt>
                      <c:pt idx="24">
                        <c:v>44927</c:v>
                      </c:pt>
                      <c:pt idx="25">
                        <c:v>44958</c:v>
                      </c:pt>
                      <c:pt idx="26">
                        <c:v>44986</c:v>
                      </c:pt>
                      <c:pt idx="27">
                        <c:v>45017</c:v>
                      </c:pt>
                      <c:pt idx="28">
                        <c:v>45047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'Q5 - Oil Impact'!$AB$102:$AB$130</c15:sqref>
                        </c15:formulaRef>
                      </c:ext>
                    </c:extLst>
                    <c:numCache>
                      <c:formatCode>0.00%</c:formatCode>
                      <c:ptCount val="29"/>
                      <c:pt idx="0">
                        <c:v>-1.9096117122850602E-3</c:v>
                      </c:pt>
                      <c:pt idx="1">
                        <c:v>-6.3775510204081625E-3</c:v>
                      </c:pt>
                      <c:pt idx="2">
                        <c:v>-1.2836970474967907E-2</c:v>
                      </c:pt>
                      <c:pt idx="3">
                        <c:v>1.0403120936280846E-2</c:v>
                      </c:pt>
                      <c:pt idx="4">
                        <c:v>2.0592020592020518E-2</c:v>
                      </c:pt>
                      <c:pt idx="5">
                        <c:v>1.2610340479194014E-3</c:v>
                      </c:pt>
                      <c:pt idx="6">
                        <c:v>8.1863979848865419E-3</c:v>
                      </c:pt>
                      <c:pt idx="7">
                        <c:v>-6.2460961898809693E-4</c:v>
                      </c:pt>
                      <c:pt idx="8">
                        <c:v>0</c:v>
                      </c:pt>
                      <c:pt idx="9">
                        <c:v>5.0000000000000712E-3</c:v>
                      </c:pt>
                      <c:pt idx="10">
                        <c:v>8.7064676616914003E-3</c:v>
                      </c:pt>
                      <c:pt idx="11">
                        <c:v>2.4660912453761141E-3</c:v>
                      </c:pt>
                      <c:pt idx="12">
                        <c:v>2.4600246002460377E-3</c:v>
                      </c:pt>
                      <c:pt idx="13">
                        <c:v>8.5889570552147593E-3</c:v>
                      </c:pt>
                      <c:pt idx="14">
                        <c:v>1.7031630170316198E-2</c:v>
                      </c:pt>
                      <c:pt idx="15">
                        <c:v>9.5693779904307587E-3</c:v>
                      </c:pt>
                      <c:pt idx="16">
                        <c:v>-2.3696682464455312E-3</c:v>
                      </c:pt>
                      <c:pt idx="17">
                        <c:v>5.9382422802850355E-3</c:v>
                      </c:pt>
                      <c:pt idx="18">
                        <c:v>1.7709563164107611E-3</c:v>
                      </c:pt>
                      <c:pt idx="19">
                        <c:v>8.8391278727165592E-3</c:v>
                      </c:pt>
                      <c:pt idx="20">
                        <c:v>-1.7523364485980313E-3</c:v>
                      </c:pt>
                      <c:pt idx="21">
                        <c:v>7.021650087770559E-3</c:v>
                      </c:pt>
                      <c:pt idx="22">
                        <c:v>8.7158628704241715E-3</c:v>
                      </c:pt>
                      <c:pt idx="23">
                        <c:v>1.2672811059907932E-2</c:v>
                      </c:pt>
                      <c:pt idx="24">
                        <c:v>1.5927189988623337E-2</c:v>
                      </c:pt>
                      <c:pt idx="25">
                        <c:v>1.3437849944008991E-2</c:v>
                      </c:pt>
                      <c:pt idx="26">
                        <c:v>0</c:v>
                      </c:pt>
                      <c:pt idx="27">
                        <c:v>1.6574585635359115E-2</c:v>
                      </c:pt>
                      <c:pt idx="28">
                        <c:v>6.5217391304347207E-3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6DAA-425B-A1B0-92A98C4BC3C5}"/>
                  </c:ext>
                </c:extLst>
              </c15:ser>
            </c15:filteredLineSeries>
            <c15:filteredLineSeries>
              <c15:ser>
                <c:idx val="26"/>
                <c:order val="2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'Q5 - Oil Impact'!$AC$101</c15:sqref>
                        </c15:formulaRef>
                      </c:ext>
                    </c:extLst>
                    <c:strCache>
                      <c:ptCount val="1"/>
                      <c:pt idx="0">
                        <c:v>Miscellaneous inflation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'Q5 - Oil Impact'!$B$102:$B$130</c15:sqref>
                        </c15:formulaRef>
                      </c:ext>
                    </c:extLst>
                    <c:numCache>
                      <c:formatCode>mmm/yyyy</c:formatCode>
                      <c:ptCount val="29"/>
                      <c:pt idx="0">
                        <c:v>44197</c:v>
                      </c:pt>
                      <c:pt idx="1">
                        <c:v>44228</c:v>
                      </c:pt>
                      <c:pt idx="2">
                        <c:v>44256</c:v>
                      </c:pt>
                      <c:pt idx="3">
                        <c:v>44287</c:v>
                      </c:pt>
                      <c:pt idx="4">
                        <c:v>44317</c:v>
                      </c:pt>
                      <c:pt idx="5">
                        <c:v>44348</c:v>
                      </c:pt>
                      <c:pt idx="6">
                        <c:v>44378</c:v>
                      </c:pt>
                      <c:pt idx="7">
                        <c:v>44409</c:v>
                      </c:pt>
                      <c:pt idx="8">
                        <c:v>44440</c:v>
                      </c:pt>
                      <c:pt idx="9">
                        <c:v>44470</c:v>
                      </c:pt>
                      <c:pt idx="10">
                        <c:v>44501</c:v>
                      </c:pt>
                      <c:pt idx="11">
                        <c:v>44531</c:v>
                      </c:pt>
                      <c:pt idx="12">
                        <c:v>44562</c:v>
                      </c:pt>
                      <c:pt idx="13">
                        <c:v>44593</c:v>
                      </c:pt>
                      <c:pt idx="14">
                        <c:v>44621</c:v>
                      </c:pt>
                      <c:pt idx="15">
                        <c:v>44652</c:v>
                      </c:pt>
                      <c:pt idx="16">
                        <c:v>44682</c:v>
                      </c:pt>
                      <c:pt idx="17">
                        <c:v>44713</c:v>
                      </c:pt>
                      <c:pt idx="18">
                        <c:v>44743</c:v>
                      </c:pt>
                      <c:pt idx="19">
                        <c:v>44774</c:v>
                      </c:pt>
                      <c:pt idx="20">
                        <c:v>44805</c:v>
                      </c:pt>
                      <c:pt idx="21">
                        <c:v>44835</c:v>
                      </c:pt>
                      <c:pt idx="22">
                        <c:v>44866</c:v>
                      </c:pt>
                      <c:pt idx="23">
                        <c:v>44896</c:v>
                      </c:pt>
                      <c:pt idx="24">
                        <c:v>44927</c:v>
                      </c:pt>
                      <c:pt idx="25">
                        <c:v>44958</c:v>
                      </c:pt>
                      <c:pt idx="26">
                        <c:v>44986</c:v>
                      </c:pt>
                      <c:pt idx="27">
                        <c:v>45017</c:v>
                      </c:pt>
                      <c:pt idx="28">
                        <c:v>45047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'Q5 - Oil Impact'!$AC$102:$AC$130</c15:sqref>
                        </c15:formulaRef>
                      </c:ext>
                    </c:extLst>
                    <c:numCache>
                      <c:formatCode>0.00%</c:formatCode>
                      <c:ptCount val="29"/>
                      <c:pt idx="0">
                        <c:v>4.629629629629743E-3</c:v>
                      </c:pt>
                      <c:pt idx="1">
                        <c:v>9.8749177090190904E-3</c:v>
                      </c:pt>
                      <c:pt idx="2">
                        <c:v>2.6075619295958647E-3</c:v>
                      </c:pt>
                      <c:pt idx="3">
                        <c:v>3.9011703511052944E-3</c:v>
                      </c:pt>
                      <c:pt idx="4">
                        <c:v>1.5544041450777238E-2</c:v>
                      </c:pt>
                      <c:pt idx="5">
                        <c:v>5.1020408163264218E-3</c:v>
                      </c:pt>
                      <c:pt idx="6">
                        <c:v>8.883248730964504E-3</c:v>
                      </c:pt>
                      <c:pt idx="7">
                        <c:v>6.2893081761006293E-3</c:v>
                      </c:pt>
                      <c:pt idx="8">
                        <c:v>0</c:v>
                      </c:pt>
                      <c:pt idx="9">
                        <c:v>6.2500000000000003E-3</c:v>
                      </c:pt>
                      <c:pt idx="10">
                        <c:v>2.4844720496894762E-3</c:v>
                      </c:pt>
                      <c:pt idx="11">
                        <c:v>3.7174721189590725E-3</c:v>
                      </c:pt>
                      <c:pt idx="12">
                        <c:v>4.3209876543209179E-3</c:v>
                      </c:pt>
                      <c:pt idx="13">
                        <c:v>4.9170251997542186E-3</c:v>
                      </c:pt>
                      <c:pt idx="14">
                        <c:v>6.7278287461773351E-3</c:v>
                      </c:pt>
                      <c:pt idx="15">
                        <c:v>1.3365735115431453E-2</c:v>
                      </c:pt>
                      <c:pt idx="16">
                        <c:v>4.1966426858512504E-3</c:v>
                      </c:pt>
                      <c:pt idx="17">
                        <c:v>0</c:v>
                      </c:pt>
                      <c:pt idx="18">
                        <c:v>5.3731343283582433E-3</c:v>
                      </c:pt>
                      <c:pt idx="19">
                        <c:v>4.1567695961994573E-3</c:v>
                      </c:pt>
                      <c:pt idx="20">
                        <c:v>3.548196333530422E-3</c:v>
                      </c:pt>
                      <c:pt idx="21">
                        <c:v>4.7142015321155655E-3</c:v>
                      </c:pt>
                      <c:pt idx="22">
                        <c:v>3.5190615835776792E-3</c:v>
                      </c:pt>
                      <c:pt idx="23">
                        <c:v>5.2600818234950653E-3</c:v>
                      </c:pt>
                      <c:pt idx="24">
                        <c:v>4.6511627906977403E-3</c:v>
                      </c:pt>
                      <c:pt idx="25">
                        <c:v>7.5231481481480489E-3</c:v>
                      </c:pt>
                      <c:pt idx="26">
                        <c:v>0</c:v>
                      </c:pt>
                      <c:pt idx="27">
                        <c:v>5.1694428489374254E-3</c:v>
                      </c:pt>
                      <c:pt idx="28">
                        <c:v>3.999999999999935E-3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6DAA-425B-A1B0-92A98C4BC3C5}"/>
                  </c:ext>
                </c:extLst>
              </c15:ser>
            </c15:filteredLineSeries>
            <c15:filteredLineSeries>
              <c15:ser>
                <c:idx val="27"/>
                <c:order val="2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'Q5 - Oil Impact'!$AD$101</c15:sqref>
                        </c15:formulaRef>
                      </c:ext>
                    </c:extLst>
                    <c:strCache>
                      <c:ptCount val="1"/>
                      <c:pt idx="0">
                        <c:v>General index inflation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'Q5 - Oil Impact'!$B$102:$B$130</c15:sqref>
                        </c15:formulaRef>
                      </c:ext>
                    </c:extLst>
                    <c:numCache>
                      <c:formatCode>mmm/yyyy</c:formatCode>
                      <c:ptCount val="29"/>
                      <c:pt idx="0">
                        <c:v>44197</c:v>
                      </c:pt>
                      <c:pt idx="1">
                        <c:v>44228</c:v>
                      </c:pt>
                      <c:pt idx="2">
                        <c:v>44256</c:v>
                      </c:pt>
                      <c:pt idx="3">
                        <c:v>44287</c:v>
                      </c:pt>
                      <c:pt idx="4">
                        <c:v>44317</c:v>
                      </c:pt>
                      <c:pt idx="5">
                        <c:v>44348</c:v>
                      </c:pt>
                      <c:pt idx="6">
                        <c:v>44378</c:v>
                      </c:pt>
                      <c:pt idx="7">
                        <c:v>44409</c:v>
                      </c:pt>
                      <c:pt idx="8">
                        <c:v>44440</c:v>
                      </c:pt>
                      <c:pt idx="9">
                        <c:v>44470</c:v>
                      </c:pt>
                      <c:pt idx="10">
                        <c:v>44501</c:v>
                      </c:pt>
                      <c:pt idx="11">
                        <c:v>44531</c:v>
                      </c:pt>
                      <c:pt idx="12">
                        <c:v>44562</c:v>
                      </c:pt>
                      <c:pt idx="13">
                        <c:v>44593</c:v>
                      </c:pt>
                      <c:pt idx="14">
                        <c:v>44621</c:v>
                      </c:pt>
                      <c:pt idx="15">
                        <c:v>44652</c:v>
                      </c:pt>
                      <c:pt idx="16">
                        <c:v>44682</c:v>
                      </c:pt>
                      <c:pt idx="17">
                        <c:v>44713</c:v>
                      </c:pt>
                      <c:pt idx="18">
                        <c:v>44743</c:v>
                      </c:pt>
                      <c:pt idx="19">
                        <c:v>44774</c:v>
                      </c:pt>
                      <c:pt idx="20">
                        <c:v>44805</c:v>
                      </c:pt>
                      <c:pt idx="21">
                        <c:v>44835</c:v>
                      </c:pt>
                      <c:pt idx="22">
                        <c:v>44866</c:v>
                      </c:pt>
                      <c:pt idx="23">
                        <c:v>44896</c:v>
                      </c:pt>
                      <c:pt idx="24">
                        <c:v>44927</c:v>
                      </c:pt>
                      <c:pt idx="25">
                        <c:v>44958</c:v>
                      </c:pt>
                      <c:pt idx="26">
                        <c:v>44986</c:v>
                      </c:pt>
                      <c:pt idx="27">
                        <c:v>45017</c:v>
                      </c:pt>
                      <c:pt idx="28">
                        <c:v>45047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'Q5 - Oil Impact'!$AD$102:$AD$130</c15:sqref>
                        </c15:formulaRef>
                      </c:ext>
                    </c:extLst>
                    <c:numCache>
                      <c:formatCode>0.00%</c:formatCode>
                      <c:ptCount val="29"/>
                      <c:pt idx="0">
                        <c:v>-1.006922592825673E-2</c:v>
                      </c:pt>
                      <c:pt idx="1">
                        <c:v>-4.4500953591863762E-3</c:v>
                      </c:pt>
                      <c:pt idx="2">
                        <c:v>1.2771392081737999E-3</c:v>
                      </c:pt>
                      <c:pt idx="3">
                        <c:v>6.3775510204081625E-3</c:v>
                      </c:pt>
                      <c:pt idx="4">
                        <c:v>1.6476552598225565E-2</c:v>
                      </c:pt>
                      <c:pt idx="5">
                        <c:v>5.6109725685785893E-3</c:v>
                      </c:pt>
                      <c:pt idx="6">
                        <c:v>7.439553626782322E-3</c:v>
                      </c:pt>
                      <c:pt idx="7">
                        <c:v>4.3076923076922381E-3</c:v>
                      </c:pt>
                      <c:pt idx="8">
                        <c:v>0</c:v>
                      </c:pt>
                      <c:pt idx="9">
                        <c:v>1.4093137254902032E-2</c:v>
                      </c:pt>
                      <c:pt idx="10">
                        <c:v>7.2507552870089949E-3</c:v>
                      </c:pt>
                      <c:pt idx="11">
                        <c:v>-2.999400119976005E-3</c:v>
                      </c:pt>
                      <c:pt idx="12">
                        <c:v>-3.0084235860409147E-3</c:v>
                      </c:pt>
                      <c:pt idx="13">
                        <c:v>2.4140012070006378E-3</c:v>
                      </c:pt>
                      <c:pt idx="14">
                        <c:v>9.6327513546056245E-3</c:v>
                      </c:pt>
                      <c:pt idx="15">
                        <c:v>1.4311270125223648E-2</c:v>
                      </c:pt>
                      <c:pt idx="16">
                        <c:v>9.4062316284538178E-3</c:v>
                      </c:pt>
                      <c:pt idx="17">
                        <c:v>5.2417006406523343E-3</c:v>
                      </c:pt>
                      <c:pt idx="18">
                        <c:v>4.634994206257308E-3</c:v>
                      </c:pt>
                      <c:pt idx="19">
                        <c:v>5.1903114186851538E-3</c:v>
                      </c:pt>
                      <c:pt idx="20">
                        <c:v>5.737234652897303E-3</c:v>
                      </c:pt>
                      <c:pt idx="21">
                        <c:v>7.9863091842554308E-3</c:v>
                      </c:pt>
                      <c:pt idx="22">
                        <c:v>-1.1318619128465684E-3</c:v>
                      </c:pt>
                      <c:pt idx="23">
                        <c:v>-4.5325779036827843E-3</c:v>
                      </c:pt>
                      <c:pt idx="24">
                        <c:v>4.5532157085942599E-3</c:v>
                      </c:pt>
                      <c:pt idx="25">
                        <c:v>3.9660056657223148E-3</c:v>
                      </c:pt>
                      <c:pt idx="26">
                        <c:v>0</c:v>
                      </c:pt>
                      <c:pt idx="27">
                        <c:v>5.0790067720090613E-3</c:v>
                      </c:pt>
                      <c:pt idx="28">
                        <c:v>5.614823133071308E-3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B-6DAA-425B-A1B0-92A98C4BC3C5}"/>
                  </c:ext>
                </c:extLst>
              </c15:ser>
            </c15:filteredLineSeries>
          </c:ext>
        </c:extLst>
      </c:lineChart>
      <c:dateAx>
        <c:axId val="9604400"/>
        <c:scaling>
          <c:orientation val="minMax"/>
        </c:scaling>
        <c:delete val="1"/>
        <c:axPos val="b"/>
        <c:numFmt formatCode="mmm/yyyy" sourceLinked="1"/>
        <c:majorTickMark val="out"/>
        <c:minorTickMark val="none"/>
        <c:tickLblPos val="nextTo"/>
        <c:crossAx val="1228754415"/>
        <c:crosses val="autoZero"/>
        <c:auto val="1"/>
        <c:lblOffset val="100"/>
        <c:baseTimeUnit val="months"/>
      </c:dateAx>
      <c:valAx>
        <c:axId val="1228754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4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'Q5 - Oil Impact'!$C$101</c:f>
              <c:strCache>
                <c:ptCount val="1"/>
                <c:pt idx="0">
                  <c:v>Oil Price change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'Q5 - Oil Impact'!$B$102:$B$130</c:f>
              <c:numCache>
                <c:formatCode>mmm/yyyy</c:formatCode>
                <c:ptCount val="29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</c:numCache>
            </c:numRef>
          </c:cat>
          <c:val>
            <c:numRef>
              <c:f>'Q5 - Oil Impact'!$C$102:$C$130</c:f>
              <c:numCache>
                <c:formatCode>0.00%</c:formatCode>
                <c:ptCount val="29"/>
                <c:pt idx="0">
                  <c:v>9.9413540730958747E-2</c:v>
                </c:pt>
                <c:pt idx="1">
                  <c:v>0.11719313991187642</c:v>
                </c:pt>
                <c:pt idx="2">
                  <c:v>5.7393046940909617E-2</c:v>
                </c:pt>
                <c:pt idx="3">
                  <c:v>-2.0585982416700527E-2</c:v>
                </c:pt>
                <c:pt idx="4">
                  <c:v>5.6092712133380143E-2</c:v>
                </c:pt>
                <c:pt idx="5">
                  <c:v>7.512070034381102E-2</c:v>
                </c:pt>
                <c:pt idx="6">
                  <c:v>2.1622058941749817E-2</c:v>
                </c:pt>
                <c:pt idx="7">
                  <c:v>-5.078030739324535E-2</c:v>
                </c:pt>
                <c:pt idx="8">
                  <c:v>4.7647403493843964E-2</c:v>
                </c:pt>
                <c:pt idx="9">
                  <c:v>0.122748049582014</c:v>
                </c:pt>
                <c:pt idx="10">
                  <c:v>-1.7904511325026917E-2</c:v>
                </c:pt>
                <c:pt idx="11">
                  <c:v>-9.1005991108670498E-2</c:v>
                </c:pt>
                <c:pt idx="12">
                  <c:v>0.15508428007030658</c:v>
                </c:pt>
                <c:pt idx="13">
                  <c:v>0.11104057112312367</c:v>
                </c:pt>
                <c:pt idx="14">
                  <c:v>0.19993126557988886</c:v>
                </c:pt>
                <c:pt idx="15">
                  <c:v>-8.7785717712309114E-2</c:v>
                </c:pt>
                <c:pt idx="16">
                  <c:v>6.3506788685496113E-2</c:v>
                </c:pt>
                <c:pt idx="17">
                  <c:v>5.9415963389681525E-2</c:v>
                </c:pt>
                <c:pt idx="18">
                  <c:v>-9.0681941866876919E-2</c:v>
                </c:pt>
                <c:pt idx="19">
                  <c:v>-7.6658321402549315E-2</c:v>
                </c:pt>
                <c:pt idx="20">
                  <c:v>-6.8766052866020555E-2</c:v>
                </c:pt>
                <c:pt idx="21">
                  <c:v>1.0943048058662044E-2</c:v>
                </c:pt>
                <c:pt idx="22">
                  <c:v>-4.5220612565410795E-2</c:v>
                </c:pt>
                <c:pt idx="23">
                  <c:v>-0.1079506472833215</c:v>
                </c:pt>
                <c:pt idx="24">
                  <c:v>3.6124114857364886E-2</c:v>
                </c:pt>
                <c:pt idx="25">
                  <c:v>1.676222127830582E-2</c:v>
                </c:pt>
                <c:pt idx="26">
                  <c:v>-4.5445857664744529E-2</c:v>
                </c:pt>
                <c:pt idx="27">
                  <c:v>6.6410907167830421E-2</c:v>
                </c:pt>
                <c:pt idx="28">
                  <c:v>-0.10475521515911457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48-4F96-BD74-0A813FD2536A}"/>
            </c:ext>
          </c:extLst>
        </c:ser>
        <c:ser>
          <c:idx val="2"/>
          <c:order val="2"/>
          <c:tx>
            <c:strRef>
              <c:f>'Q5 - Oil Impact'!$E$101</c:f>
              <c:strCache>
                <c:ptCount val="1"/>
                <c:pt idx="0">
                  <c:v>Meat and fish inflation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'Q5 - Oil Impact'!$B$102:$B$130</c:f>
              <c:numCache>
                <c:formatCode>mmm/yyyy</c:formatCode>
                <c:ptCount val="29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</c:numCache>
            </c:numRef>
          </c:cat>
          <c:val>
            <c:numRef>
              <c:f>'Q5 - Oil Impact'!$E$102:$E$130</c:f>
              <c:numCache>
                <c:formatCode>0.00%</c:formatCode>
                <c:ptCount val="29"/>
                <c:pt idx="0">
                  <c:v>-4.7120418848167834E-3</c:v>
                </c:pt>
                <c:pt idx="1">
                  <c:v>-1.8937401367701182E-2</c:v>
                </c:pt>
                <c:pt idx="2">
                  <c:v>3.0563002680965085E-2</c:v>
                </c:pt>
                <c:pt idx="3">
                  <c:v>3.0176899063475607E-2</c:v>
                </c:pt>
                <c:pt idx="4">
                  <c:v>1.2626262626262626E-2</c:v>
                </c:pt>
                <c:pt idx="5">
                  <c:v>7.481296758104738E-3</c:v>
                </c:pt>
                <c:pt idx="6">
                  <c:v>2.3762376237623818E-2</c:v>
                </c:pt>
                <c:pt idx="7">
                  <c:v>-1.3539651837524232E-2</c:v>
                </c:pt>
                <c:pt idx="8">
                  <c:v>0</c:v>
                </c:pt>
                <c:pt idx="9">
                  <c:v>2.9411764705882075E-3</c:v>
                </c:pt>
                <c:pt idx="10">
                  <c:v>-1.466275659824047E-2</c:v>
                </c:pt>
                <c:pt idx="11">
                  <c:v>-1.3888888888888805E-2</c:v>
                </c:pt>
                <c:pt idx="12">
                  <c:v>-5.0301810865202579E-4</c:v>
                </c:pt>
                <c:pt idx="13">
                  <c:v>9.5621540010065714E-3</c:v>
                </c:pt>
                <c:pt idx="14">
                  <c:v>5.0348953140578238E-2</c:v>
                </c:pt>
                <c:pt idx="15">
                  <c:v>5.2206929283342323E-3</c:v>
                </c:pt>
                <c:pt idx="16">
                  <c:v>2.4551463644948011E-2</c:v>
                </c:pt>
                <c:pt idx="17">
                  <c:v>1.1059907834101408E-2</c:v>
                </c:pt>
                <c:pt idx="18">
                  <c:v>-2.9170464904284436E-2</c:v>
                </c:pt>
                <c:pt idx="19">
                  <c:v>-3.0516431924882629E-2</c:v>
                </c:pt>
                <c:pt idx="20">
                  <c:v>1.3075060532687597E-2</c:v>
                </c:pt>
                <c:pt idx="21">
                  <c:v>8.1261950286807706E-3</c:v>
                </c:pt>
                <c:pt idx="22">
                  <c:v>-7.1123755334281651E-3</c:v>
                </c:pt>
                <c:pt idx="23">
                  <c:v>-1.9102196752626823E-3</c:v>
                </c:pt>
                <c:pt idx="24">
                  <c:v>8.1339712918659744E-3</c:v>
                </c:pt>
                <c:pt idx="25">
                  <c:v>-1.423825344091125E-2</c:v>
                </c:pt>
                <c:pt idx="26">
                  <c:v>0</c:v>
                </c:pt>
                <c:pt idx="27">
                  <c:v>7.7034183919115207E-3</c:v>
                </c:pt>
                <c:pt idx="28">
                  <c:v>2.3889154323936932E-2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A48-4F96-BD74-0A813FD2536A}"/>
            </c:ext>
          </c:extLst>
        </c:ser>
        <c:ser>
          <c:idx val="5"/>
          <c:order val="5"/>
          <c:tx>
            <c:strRef>
              <c:f>'Q5 - Oil Impact'!$H$101</c:f>
              <c:strCache>
                <c:ptCount val="1"/>
                <c:pt idx="0">
                  <c:v>Oils and fats inflation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'Q5 - Oil Impact'!$B$102:$B$130</c:f>
              <c:numCache>
                <c:formatCode>mmm/yyyy</c:formatCode>
                <c:ptCount val="29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</c:numCache>
            </c:numRef>
          </c:cat>
          <c:val>
            <c:numRef>
              <c:f>'Q5 - Oil Impact'!$H$102:$H$130</c:f>
              <c:numCache>
                <c:formatCode>0.00%</c:formatCode>
                <c:ptCount val="29"/>
                <c:pt idx="0">
                  <c:v>2.9331514324693123E-2</c:v>
                </c:pt>
                <c:pt idx="1">
                  <c:v>5.1689860834989942E-2</c:v>
                </c:pt>
                <c:pt idx="2">
                  <c:v>3.2766225582860853E-2</c:v>
                </c:pt>
                <c:pt idx="3">
                  <c:v>3.7827943868212255E-2</c:v>
                </c:pt>
                <c:pt idx="4">
                  <c:v>5.0558495002939415E-2</c:v>
                </c:pt>
                <c:pt idx="5">
                  <c:v>2.7979854504756579E-2</c:v>
                </c:pt>
                <c:pt idx="6">
                  <c:v>-8.7098530212302364E-3</c:v>
                </c:pt>
                <c:pt idx="7">
                  <c:v>3.2399780340472299E-2</c:v>
                </c:pt>
                <c:pt idx="8">
                  <c:v>0</c:v>
                </c:pt>
                <c:pt idx="9">
                  <c:v>1.3829787234042523E-2</c:v>
                </c:pt>
                <c:pt idx="10">
                  <c:v>-2.6232948583420779E-3</c:v>
                </c:pt>
                <c:pt idx="11">
                  <c:v>-1.3150973172014729E-2</c:v>
                </c:pt>
                <c:pt idx="12">
                  <c:v>-1.5458422174840116E-2</c:v>
                </c:pt>
                <c:pt idx="13">
                  <c:v>1.0828370330266219E-3</c:v>
                </c:pt>
                <c:pt idx="14">
                  <c:v>5.2460789616008592E-2</c:v>
                </c:pt>
                <c:pt idx="15">
                  <c:v>2.5179856115107944E-2</c:v>
                </c:pt>
                <c:pt idx="16">
                  <c:v>1.4536340852130354E-2</c:v>
                </c:pt>
                <c:pt idx="17">
                  <c:v>-7.411067193675889E-3</c:v>
                </c:pt>
                <c:pt idx="18">
                  <c:v>-2.5385764061722219E-2</c:v>
                </c:pt>
                <c:pt idx="19">
                  <c:v>-1.7364657814096043E-2</c:v>
                </c:pt>
                <c:pt idx="20">
                  <c:v>-1.9230769230769319E-2</c:v>
                </c:pt>
                <c:pt idx="21">
                  <c:v>-1.1658717541070422E-2</c:v>
                </c:pt>
                <c:pt idx="22">
                  <c:v>1.286863270777483E-2</c:v>
                </c:pt>
                <c:pt idx="23">
                  <c:v>-2.1175224986765785E-3</c:v>
                </c:pt>
                <c:pt idx="24">
                  <c:v>-6.8965517241379917E-3</c:v>
                </c:pt>
                <c:pt idx="25">
                  <c:v>-4.2200854700854579E-2</c:v>
                </c:pt>
                <c:pt idx="26">
                  <c:v>-5.5772448410497898E-4</c:v>
                </c:pt>
                <c:pt idx="27">
                  <c:v>-2.3995535714285622E-2</c:v>
                </c:pt>
                <c:pt idx="28">
                  <c:v>-2.801600914808465E-2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A48-4F96-BD74-0A813FD2536A}"/>
            </c:ext>
          </c:extLst>
        </c:ser>
        <c:ser>
          <c:idx val="11"/>
          <c:order val="11"/>
          <c:tx>
            <c:strRef>
              <c:f>'Q5 - Oil Impact'!$N$101</c:f>
              <c:strCache>
                <c:ptCount val="1"/>
                <c:pt idx="0">
                  <c:v>Non-alcoholic beverages inflation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'Q5 - Oil Impact'!$B$102:$B$130</c:f>
              <c:numCache>
                <c:formatCode>mmm/yyyy</c:formatCode>
                <c:ptCount val="29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</c:numCache>
            </c:numRef>
          </c:cat>
          <c:val>
            <c:numRef>
              <c:f>'Q5 - Oil Impact'!$N$102:$N$130</c:f>
              <c:numCache>
                <c:formatCode>0.00%</c:formatCode>
                <c:ptCount val="29"/>
                <c:pt idx="0">
                  <c:v>1.7426273458445194E-2</c:v>
                </c:pt>
                <c:pt idx="1">
                  <c:v>2.4374176548089516E-2</c:v>
                </c:pt>
                <c:pt idx="2">
                  <c:v>6.4308681672025723E-3</c:v>
                </c:pt>
                <c:pt idx="3">
                  <c:v>7.0287539936101876E-3</c:v>
                </c:pt>
                <c:pt idx="4">
                  <c:v>1.0786802030456961E-2</c:v>
                </c:pt>
                <c:pt idx="5">
                  <c:v>4.394224733207712E-3</c:v>
                </c:pt>
                <c:pt idx="6">
                  <c:v>5.6250000000000354E-3</c:v>
                </c:pt>
                <c:pt idx="7">
                  <c:v>1.1187072715972548E-2</c:v>
                </c:pt>
                <c:pt idx="8">
                  <c:v>0</c:v>
                </c:pt>
                <c:pt idx="9">
                  <c:v>3.0731407498463433E-3</c:v>
                </c:pt>
                <c:pt idx="10">
                  <c:v>3.0637254901960788E-3</c:v>
                </c:pt>
                <c:pt idx="11">
                  <c:v>3.0543677458766036E-3</c:v>
                </c:pt>
                <c:pt idx="12">
                  <c:v>6.0901339829490101E-4</c:v>
                </c:pt>
                <c:pt idx="13">
                  <c:v>2.4345709068775241E-3</c:v>
                </c:pt>
                <c:pt idx="14">
                  <c:v>3.6429872495447649E-3</c:v>
                </c:pt>
                <c:pt idx="15">
                  <c:v>5.4446460980034916E-3</c:v>
                </c:pt>
                <c:pt idx="16">
                  <c:v>5.4151624548736807E-3</c:v>
                </c:pt>
                <c:pt idx="17">
                  <c:v>4.7875523638540481E-3</c:v>
                </c:pt>
                <c:pt idx="18">
                  <c:v>2.9779630732578916E-3</c:v>
                </c:pt>
                <c:pt idx="19">
                  <c:v>2.3752969121140478E-3</c:v>
                </c:pt>
                <c:pt idx="20">
                  <c:v>3.5545023696682125E-3</c:v>
                </c:pt>
                <c:pt idx="21">
                  <c:v>2.9515938606847697E-3</c:v>
                </c:pt>
                <c:pt idx="22">
                  <c:v>2.942907592701589E-3</c:v>
                </c:pt>
                <c:pt idx="23">
                  <c:v>3.521126760563347E-3</c:v>
                </c:pt>
                <c:pt idx="24">
                  <c:v>2.339181286549741E-3</c:v>
                </c:pt>
                <c:pt idx="25">
                  <c:v>5.2508751458576761E-3</c:v>
                </c:pt>
                <c:pt idx="26">
                  <c:v>0</c:v>
                </c:pt>
                <c:pt idx="27">
                  <c:v>3.4822983168891135E-3</c:v>
                </c:pt>
                <c:pt idx="28">
                  <c:v>2.8918449971081549E-3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3A48-4F96-BD74-0A813FD253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1205343"/>
        <c:axId val="1228689615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'Q5 - Oil Impact'!$D$101</c15:sqref>
                        </c15:formulaRef>
                      </c:ext>
                    </c:extLst>
                    <c:strCache>
                      <c:ptCount val="1"/>
                      <c:pt idx="0">
                        <c:v>Cereals and products inflation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'Q5 - Oil Impact'!$B$102:$B$130</c15:sqref>
                        </c15:formulaRef>
                      </c:ext>
                    </c:extLst>
                    <c:numCache>
                      <c:formatCode>mmm/yyyy</c:formatCode>
                      <c:ptCount val="29"/>
                      <c:pt idx="0">
                        <c:v>44197</c:v>
                      </c:pt>
                      <c:pt idx="1">
                        <c:v>44228</c:v>
                      </c:pt>
                      <c:pt idx="2">
                        <c:v>44256</c:v>
                      </c:pt>
                      <c:pt idx="3">
                        <c:v>44287</c:v>
                      </c:pt>
                      <c:pt idx="4">
                        <c:v>44317</c:v>
                      </c:pt>
                      <c:pt idx="5">
                        <c:v>44348</c:v>
                      </c:pt>
                      <c:pt idx="6">
                        <c:v>44378</c:v>
                      </c:pt>
                      <c:pt idx="7">
                        <c:v>44409</c:v>
                      </c:pt>
                      <c:pt idx="8">
                        <c:v>44440</c:v>
                      </c:pt>
                      <c:pt idx="9">
                        <c:v>44470</c:v>
                      </c:pt>
                      <c:pt idx="10">
                        <c:v>44501</c:v>
                      </c:pt>
                      <c:pt idx="11">
                        <c:v>44531</c:v>
                      </c:pt>
                      <c:pt idx="12">
                        <c:v>44562</c:v>
                      </c:pt>
                      <c:pt idx="13">
                        <c:v>44593</c:v>
                      </c:pt>
                      <c:pt idx="14">
                        <c:v>44621</c:v>
                      </c:pt>
                      <c:pt idx="15">
                        <c:v>44652</c:v>
                      </c:pt>
                      <c:pt idx="16">
                        <c:v>44682</c:v>
                      </c:pt>
                      <c:pt idx="17">
                        <c:v>44713</c:v>
                      </c:pt>
                      <c:pt idx="18">
                        <c:v>44743</c:v>
                      </c:pt>
                      <c:pt idx="19">
                        <c:v>44774</c:v>
                      </c:pt>
                      <c:pt idx="20">
                        <c:v>44805</c:v>
                      </c:pt>
                      <c:pt idx="21">
                        <c:v>44835</c:v>
                      </c:pt>
                      <c:pt idx="22">
                        <c:v>44866</c:v>
                      </c:pt>
                      <c:pt idx="23">
                        <c:v>44896</c:v>
                      </c:pt>
                      <c:pt idx="24">
                        <c:v>44927</c:v>
                      </c:pt>
                      <c:pt idx="25">
                        <c:v>44958</c:v>
                      </c:pt>
                      <c:pt idx="26">
                        <c:v>44986</c:v>
                      </c:pt>
                      <c:pt idx="27">
                        <c:v>45017</c:v>
                      </c:pt>
                      <c:pt idx="28">
                        <c:v>45047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'Q5 - Oil Impact'!$D$102:$D$130</c15:sqref>
                        </c15:formulaRef>
                      </c:ext>
                    </c:extLst>
                    <c:numCache>
                      <c:formatCode>0.00%</c:formatCode>
                      <c:ptCount val="29"/>
                      <c:pt idx="0">
                        <c:v>-7.534246575342427E-3</c:v>
                      </c:pt>
                      <c:pt idx="1">
                        <c:v>-4.1407867494823621E-3</c:v>
                      </c:pt>
                      <c:pt idx="2">
                        <c:v>-1.386001386001504E-3</c:v>
                      </c:pt>
                      <c:pt idx="3">
                        <c:v>1.3879250520473078E-3</c:v>
                      </c:pt>
                      <c:pt idx="4">
                        <c:v>1.386001386001386E-2</c:v>
                      </c:pt>
                      <c:pt idx="5">
                        <c:v>2.7341079972657365E-3</c:v>
                      </c:pt>
                      <c:pt idx="6">
                        <c:v>-2.0449897750510087E-3</c:v>
                      </c:pt>
                      <c:pt idx="7">
                        <c:v>1.3661202185791573E-3</c:v>
                      </c:pt>
                      <c:pt idx="8">
                        <c:v>0</c:v>
                      </c:pt>
                      <c:pt idx="9">
                        <c:v>5.4570259208732022E-3</c:v>
                      </c:pt>
                      <c:pt idx="10">
                        <c:v>5.4274084124829236E-3</c:v>
                      </c:pt>
                      <c:pt idx="11">
                        <c:v>3.3738191632928477E-3</c:v>
                      </c:pt>
                      <c:pt idx="12">
                        <c:v>5.3799596503026998E-3</c:v>
                      </c:pt>
                      <c:pt idx="13">
                        <c:v>3.3444816053511705E-3</c:v>
                      </c:pt>
                      <c:pt idx="14">
                        <c:v>8.6666666666667426E-3</c:v>
                      </c:pt>
                      <c:pt idx="15">
                        <c:v>1.0575016523463279E-2</c:v>
                      </c:pt>
                      <c:pt idx="16">
                        <c:v>7.848266841072522E-3</c:v>
                      </c:pt>
                      <c:pt idx="17">
                        <c:v>5.8403634003893947E-3</c:v>
                      </c:pt>
                      <c:pt idx="18">
                        <c:v>9.6774193548387101E-3</c:v>
                      </c:pt>
                      <c:pt idx="19">
                        <c:v>2.4281150159744483E-2</c:v>
                      </c:pt>
                      <c:pt idx="20">
                        <c:v>1.9962570180910719E-2</c:v>
                      </c:pt>
                      <c:pt idx="21">
                        <c:v>1.0397553516819502E-2</c:v>
                      </c:pt>
                      <c:pt idx="22">
                        <c:v>1.3317191283293082E-2</c:v>
                      </c:pt>
                      <c:pt idx="23">
                        <c:v>1.0752688172042909E-2</c:v>
                      </c:pt>
                      <c:pt idx="24">
                        <c:v>2.7186761229314557E-2</c:v>
                      </c:pt>
                      <c:pt idx="25">
                        <c:v>3.4522439585730398E-3</c:v>
                      </c:pt>
                      <c:pt idx="26">
                        <c:v>0</c:v>
                      </c:pt>
                      <c:pt idx="27">
                        <c:v>-3.4403669724770315E-3</c:v>
                      </c:pt>
                      <c:pt idx="28">
                        <c:v>-5.7537399309564284E-4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3A48-4F96-BD74-0A813FD2536A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'Q5 - Oil Impact'!$F$101</c15:sqref>
                        </c15:formulaRef>
                      </c:ext>
                    </c:extLst>
                    <c:strCache>
                      <c:ptCount val="1"/>
                      <c:pt idx="0">
                        <c:v>Egg inflation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'Q5 - Oil Impact'!$B$102:$B$130</c15:sqref>
                        </c15:formulaRef>
                      </c:ext>
                    </c:extLst>
                    <c:numCache>
                      <c:formatCode>mmm/yyyy</c:formatCode>
                      <c:ptCount val="29"/>
                      <c:pt idx="0">
                        <c:v>44197</c:v>
                      </c:pt>
                      <c:pt idx="1">
                        <c:v>44228</c:v>
                      </c:pt>
                      <c:pt idx="2">
                        <c:v>44256</c:v>
                      </c:pt>
                      <c:pt idx="3">
                        <c:v>44287</c:v>
                      </c:pt>
                      <c:pt idx="4">
                        <c:v>44317</c:v>
                      </c:pt>
                      <c:pt idx="5">
                        <c:v>44348</c:v>
                      </c:pt>
                      <c:pt idx="6">
                        <c:v>44378</c:v>
                      </c:pt>
                      <c:pt idx="7">
                        <c:v>44409</c:v>
                      </c:pt>
                      <c:pt idx="8">
                        <c:v>44440</c:v>
                      </c:pt>
                      <c:pt idx="9">
                        <c:v>44470</c:v>
                      </c:pt>
                      <c:pt idx="10">
                        <c:v>44501</c:v>
                      </c:pt>
                      <c:pt idx="11">
                        <c:v>44531</c:v>
                      </c:pt>
                      <c:pt idx="12">
                        <c:v>44562</c:v>
                      </c:pt>
                      <c:pt idx="13">
                        <c:v>44593</c:v>
                      </c:pt>
                      <c:pt idx="14">
                        <c:v>44621</c:v>
                      </c:pt>
                      <c:pt idx="15">
                        <c:v>44652</c:v>
                      </c:pt>
                      <c:pt idx="16">
                        <c:v>44682</c:v>
                      </c:pt>
                      <c:pt idx="17">
                        <c:v>44713</c:v>
                      </c:pt>
                      <c:pt idx="18">
                        <c:v>44743</c:v>
                      </c:pt>
                      <c:pt idx="19">
                        <c:v>44774</c:v>
                      </c:pt>
                      <c:pt idx="20">
                        <c:v>44805</c:v>
                      </c:pt>
                      <c:pt idx="21">
                        <c:v>44835</c:v>
                      </c:pt>
                      <c:pt idx="22">
                        <c:v>44866</c:v>
                      </c:pt>
                      <c:pt idx="23">
                        <c:v>44896</c:v>
                      </c:pt>
                      <c:pt idx="24">
                        <c:v>44927</c:v>
                      </c:pt>
                      <c:pt idx="25">
                        <c:v>44958</c:v>
                      </c:pt>
                      <c:pt idx="26">
                        <c:v>44986</c:v>
                      </c:pt>
                      <c:pt idx="27">
                        <c:v>45017</c:v>
                      </c:pt>
                      <c:pt idx="28">
                        <c:v>45047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'Q5 - Oil Impact'!$F$102:$F$130</c15:sqref>
                        </c15:formulaRef>
                      </c:ext>
                    </c:extLst>
                    <c:numCache>
                      <c:formatCode>0.00%</c:formatCode>
                      <c:ptCount val="29"/>
                      <c:pt idx="0">
                        <c:v>0</c:v>
                      </c:pt>
                      <c:pt idx="1">
                        <c:v>-3.764974329720492E-2</c:v>
                      </c:pt>
                      <c:pt idx="2">
                        <c:v>-2.9045643153526837E-2</c:v>
                      </c:pt>
                      <c:pt idx="3">
                        <c:v>4.8840048840047799E-3</c:v>
                      </c:pt>
                      <c:pt idx="4">
                        <c:v>3.4629404617254056E-2</c:v>
                      </c:pt>
                      <c:pt idx="5">
                        <c:v>6.1068702290076202E-2</c:v>
                      </c:pt>
                      <c:pt idx="6">
                        <c:v>8.3010514665190927E-3</c:v>
                      </c:pt>
                      <c:pt idx="7">
                        <c:v>-5.1591657519209536E-2</c:v>
                      </c:pt>
                      <c:pt idx="8">
                        <c:v>0</c:v>
                      </c:pt>
                      <c:pt idx="9">
                        <c:v>-9.2592592592593906E-3</c:v>
                      </c:pt>
                      <c:pt idx="10">
                        <c:v>1.0514018691588852E-2</c:v>
                      </c:pt>
                      <c:pt idx="11">
                        <c:v>2.8323699421965352E-2</c:v>
                      </c:pt>
                      <c:pt idx="12">
                        <c:v>5.0590219224283623E-3</c:v>
                      </c:pt>
                      <c:pt idx="13">
                        <c:v>-1.6778523489932886E-2</c:v>
                      </c:pt>
                      <c:pt idx="14">
                        <c:v>-4.5506257110352673E-2</c:v>
                      </c:pt>
                      <c:pt idx="15">
                        <c:v>-1.9666269368295658E-2</c:v>
                      </c:pt>
                      <c:pt idx="16">
                        <c:v>-1.2765957446808475E-2</c:v>
                      </c:pt>
                      <c:pt idx="17">
                        <c:v>5.1724137931034517E-2</c:v>
                      </c:pt>
                      <c:pt idx="18">
                        <c:v>2.5761124121779725E-2</c:v>
                      </c:pt>
                      <c:pt idx="19">
                        <c:v>-3.4246575342465758E-2</c:v>
                      </c:pt>
                      <c:pt idx="20">
                        <c:v>2.9550827423167852E-3</c:v>
                      </c:pt>
                      <c:pt idx="21">
                        <c:v>7.0713022981733478E-3</c:v>
                      </c:pt>
                      <c:pt idx="22">
                        <c:v>6.1439438267992974E-2</c:v>
                      </c:pt>
                      <c:pt idx="23">
                        <c:v>4.8511576626240255E-2</c:v>
                      </c:pt>
                      <c:pt idx="24">
                        <c:v>2.2607781282860208E-2</c:v>
                      </c:pt>
                      <c:pt idx="25">
                        <c:v>-9.9228791773778982E-2</c:v>
                      </c:pt>
                      <c:pt idx="26">
                        <c:v>0</c:v>
                      </c:pt>
                      <c:pt idx="27">
                        <c:v>-3.1963470319634674E-2</c:v>
                      </c:pt>
                      <c:pt idx="28">
                        <c:v>2.122641509433959E-2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A48-4F96-BD74-0A813FD2536A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'Q5 - Oil Impact'!$G$101</c15:sqref>
                        </c15:formulaRef>
                      </c:ext>
                    </c:extLst>
                    <c:strCache>
                      <c:ptCount val="1"/>
                      <c:pt idx="0">
                        <c:v>Milk and products inflation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'Q5 - Oil Impact'!$B$102:$B$130</c15:sqref>
                        </c15:formulaRef>
                      </c:ext>
                    </c:extLst>
                    <c:numCache>
                      <c:formatCode>mmm/yyyy</c:formatCode>
                      <c:ptCount val="29"/>
                      <c:pt idx="0">
                        <c:v>44197</c:v>
                      </c:pt>
                      <c:pt idx="1">
                        <c:v>44228</c:v>
                      </c:pt>
                      <c:pt idx="2">
                        <c:v>44256</c:v>
                      </c:pt>
                      <c:pt idx="3">
                        <c:v>44287</c:v>
                      </c:pt>
                      <c:pt idx="4">
                        <c:v>44317</c:v>
                      </c:pt>
                      <c:pt idx="5">
                        <c:v>44348</c:v>
                      </c:pt>
                      <c:pt idx="6">
                        <c:v>44378</c:v>
                      </c:pt>
                      <c:pt idx="7">
                        <c:v>44409</c:v>
                      </c:pt>
                      <c:pt idx="8">
                        <c:v>44440</c:v>
                      </c:pt>
                      <c:pt idx="9">
                        <c:v>44470</c:v>
                      </c:pt>
                      <c:pt idx="10">
                        <c:v>44501</c:v>
                      </c:pt>
                      <c:pt idx="11">
                        <c:v>44531</c:v>
                      </c:pt>
                      <c:pt idx="12">
                        <c:v>44562</c:v>
                      </c:pt>
                      <c:pt idx="13">
                        <c:v>44593</c:v>
                      </c:pt>
                      <c:pt idx="14">
                        <c:v>44621</c:v>
                      </c:pt>
                      <c:pt idx="15">
                        <c:v>44652</c:v>
                      </c:pt>
                      <c:pt idx="16">
                        <c:v>44682</c:v>
                      </c:pt>
                      <c:pt idx="17">
                        <c:v>44713</c:v>
                      </c:pt>
                      <c:pt idx="18">
                        <c:v>44743</c:v>
                      </c:pt>
                      <c:pt idx="19">
                        <c:v>44774</c:v>
                      </c:pt>
                      <c:pt idx="20">
                        <c:v>44805</c:v>
                      </c:pt>
                      <c:pt idx="21">
                        <c:v>44835</c:v>
                      </c:pt>
                      <c:pt idx="22">
                        <c:v>44866</c:v>
                      </c:pt>
                      <c:pt idx="23">
                        <c:v>44896</c:v>
                      </c:pt>
                      <c:pt idx="24">
                        <c:v>44927</c:v>
                      </c:pt>
                      <c:pt idx="25">
                        <c:v>44958</c:v>
                      </c:pt>
                      <c:pt idx="26">
                        <c:v>44986</c:v>
                      </c:pt>
                      <c:pt idx="27">
                        <c:v>45017</c:v>
                      </c:pt>
                      <c:pt idx="28">
                        <c:v>45047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'Q5 - Oil Impact'!$G$102:$G$130</c15:sqref>
                        </c15:formulaRef>
                      </c:ext>
                    </c:extLst>
                    <c:numCache>
                      <c:formatCode>0.00%</c:formatCode>
                      <c:ptCount val="29"/>
                      <c:pt idx="0">
                        <c:v>0</c:v>
                      </c:pt>
                      <c:pt idx="1">
                        <c:v>3.893575600259535E-3</c:v>
                      </c:pt>
                      <c:pt idx="2">
                        <c:v>1.2928248222366973E-3</c:v>
                      </c:pt>
                      <c:pt idx="3">
                        <c:v>3.2278889606197547E-3</c:v>
                      </c:pt>
                      <c:pt idx="4">
                        <c:v>4.5045045045044316E-3</c:v>
                      </c:pt>
                      <c:pt idx="5">
                        <c:v>6.4061499039073878E-4</c:v>
                      </c:pt>
                      <c:pt idx="6">
                        <c:v>8.32266325224079E-3</c:v>
                      </c:pt>
                      <c:pt idx="7">
                        <c:v>5.7142857142857507E-3</c:v>
                      </c:pt>
                      <c:pt idx="8">
                        <c:v>0</c:v>
                      </c:pt>
                      <c:pt idx="9">
                        <c:v>1.8939393939392862E-3</c:v>
                      </c:pt>
                      <c:pt idx="10">
                        <c:v>3.7807183364840756E-3</c:v>
                      </c:pt>
                      <c:pt idx="11">
                        <c:v>3.766478342749493E-3</c:v>
                      </c:pt>
                      <c:pt idx="12">
                        <c:v>3.7523452157598143E-3</c:v>
                      </c:pt>
                      <c:pt idx="13">
                        <c:v>1.2461059190030444E-3</c:v>
                      </c:pt>
                      <c:pt idx="14">
                        <c:v>9.3341630367143758E-3</c:v>
                      </c:pt>
                      <c:pt idx="15">
                        <c:v>1.0480887792848441E-2</c:v>
                      </c:pt>
                      <c:pt idx="16">
                        <c:v>6.1012812690665035E-3</c:v>
                      </c:pt>
                      <c:pt idx="17">
                        <c:v>5.4578532443905741E-3</c:v>
                      </c:pt>
                      <c:pt idx="18">
                        <c:v>4.8250904704462173E-3</c:v>
                      </c:pt>
                      <c:pt idx="19">
                        <c:v>9.00360144057623E-3</c:v>
                      </c:pt>
                      <c:pt idx="20">
                        <c:v>9.5181439619273899E-3</c:v>
                      </c:pt>
                      <c:pt idx="21">
                        <c:v>7.0713022981733478E-3</c:v>
                      </c:pt>
                      <c:pt idx="22">
                        <c:v>8.1919251023990971E-3</c:v>
                      </c:pt>
                      <c:pt idx="23">
                        <c:v>7.5449796865930518E-3</c:v>
                      </c:pt>
                      <c:pt idx="24">
                        <c:v>5.7603686635944703E-3</c:v>
                      </c:pt>
                      <c:pt idx="25">
                        <c:v>1.5463917525773294E-2</c:v>
                      </c:pt>
                      <c:pt idx="26">
                        <c:v>0</c:v>
                      </c:pt>
                      <c:pt idx="27">
                        <c:v>6.2041737168640398E-3</c:v>
                      </c:pt>
                      <c:pt idx="28">
                        <c:v>6.1659192825111791E-3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A48-4F96-BD74-0A813FD2536A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'Q5 - Oil Impact'!$I$101</c15:sqref>
                        </c15:formulaRef>
                      </c:ext>
                    </c:extLst>
                    <c:strCache>
                      <c:ptCount val="1"/>
                      <c:pt idx="0">
                        <c:v>Fruits inflation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'Q5 - Oil Impact'!$B$102:$B$130</c15:sqref>
                        </c15:formulaRef>
                      </c:ext>
                    </c:extLst>
                    <c:numCache>
                      <c:formatCode>mmm/yyyy</c:formatCode>
                      <c:ptCount val="29"/>
                      <c:pt idx="0">
                        <c:v>44197</c:v>
                      </c:pt>
                      <c:pt idx="1">
                        <c:v>44228</c:v>
                      </c:pt>
                      <c:pt idx="2">
                        <c:v>44256</c:v>
                      </c:pt>
                      <c:pt idx="3">
                        <c:v>44287</c:v>
                      </c:pt>
                      <c:pt idx="4">
                        <c:v>44317</c:v>
                      </c:pt>
                      <c:pt idx="5">
                        <c:v>44348</c:v>
                      </c:pt>
                      <c:pt idx="6">
                        <c:v>44378</c:v>
                      </c:pt>
                      <c:pt idx="7">
                        <c:v>44409</c:v>
                      </c:pt>
                      <c:pt idx="8">
                        <c:v>44440</c:v>
                      </c:pt>
                      <c:pt idx="9">
                        <c:v>44470</c:v>
                      </c:pt>
                      <c:pt idx="10">
                        <c:v>44501</c:v>
                      </c:pt>
                      <c:pt idx="11">
                        <c:v>44531</c:v>
                      </c:pt>
                      <c:pt idx="12">
                        <c:v>44562</c:v>
                      </c:pt>
                      <c:pt idx="13">
                        <c:v>44593</c:v>
                      </c:pt>
                      <c:pt idx="14">
                        <c:v>44621</c:v>
                      </c:pt>
                      <c:pt idx="15">
                        <c:v>44652</c:v>
                      </c:pt>
                      <c:pt idx="16">
                        <c:v>44682</c:v>
                      </c:pt>
                      <c:pt idx="17">
                        <c:v>44713</c:v>
                      </c:pt>
                      <c:pt idx="18">
                        <c:v>44743</c:v>
                      </c:pt>
                      <c:pt idx="19">
                        <c:v>44774</c:v>
                      </c:pt>
                      <c:pt idx="20">
                        <c:v>44805</c:v>
                      </c:pt>
                      <c:pt idx="21">
                        <c:v>44835</c:v>
                      </c:pt>
                      <c:pt idx="22">
                        <c:v>44866</c:v>
                      </c:pt>
                      <c:pt idx="23">
                        <c:v>44896</c:v>
                      </c:pt>
                      <c:pt idx="24">
                        <c:v>44927</c:v>
                      </c:pt>
                      <c:pt idx="25">
                        <c:v>44958</c:v>
                      </c:pt>
                      <c:pt idx="26">
                        <c:v>44986</c:v>
                      </c:pt>
                      <c:pt idx="27">
                        <c:v>45017</c:v>
                      </c:pt>
                      <c:pt idx="28">
                        <c:v>45047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'Q5 - Oil Impact'!$I$102:$I$130</c15:sqref>
                        </c15:formulaRef>
                      </c:ext>
                    </c:extLst>
                    <c:numCache>
                      <c:formatCode>0.00%</c:formatCode>
                      <c:ptCount val="29"/>
                      <c:pt idx="0">
                        <c:v>1.2863913337847026E-2</c:v>
                      </c:pt>
                      <c:pt idx="1">
                        <c:v>7.3529411764705508E-3</c:v>
                      </c:pt>
                      <c:pt idx="2">
                        <c:v>1.9907100199071003E-2</c:v>
                      </c:pt>
                      <c:pt idx="3">
                        <c:v>6.9616135328562256E-2</c:v>
                      </c:pt>
                      <c:pt idx="4">
                        <c:v>1.6423357664233508E-2</c:v>
                      </c:pt>
                      <c:pt idx="5">
                        <c:v>-1.4961101137043686E-2</c:v>
                      </c:pt>
                      <c:pt idx="6">
                        <c:v>-4.2527339003644513E-3</c:v>
                      </c:pt>
                      <c:pt idx="7">
                        <c:v>-4.3319097010372141E-2</c:v>
                      </c:pt>
                      <c:pt idx="8">
                        <c:v>-6.3775510204096134E-4</c:v>
                      </c:pt>
                      <c:pt idx="9">
                        <c:v>-6.3816209317166563E-3</c:v>
                      </c:pt>
                      <c:pt idx="10">
                        <c:v>5.1380860629416276E-3</c:v>
                      </c:pt>
                      <c:pt idx="11">
                        <c:v>-1.0223642172523926E-2</c:v>
                      </c:pt>
                      <c:pt idx="12">
                        <c:v>-7.7469335054875209E-3</c:v>
                      </c:pt>
                      <c:pt idx="13">
                        <c:v>0</c:v>
                      </c:pt>
                      <c:pt idx="14">
                        <c:v>2.5374105400130163E-2</c:v>
                      </c:pt>
                      <c:pt idx="15">
                        <c:v>9.5177664974619297E-2</c:v>
                      </c:pt>
                      <c:pt idx="16">
                        <c:v>-9.2699884125144513E-3</c:v>
                      </c:pt>
                      <c:pt idx="17">
                        <c:v>-7.6023391812866164E-3</c:v>
                      </c:pt>
                      <c:pt idx="18">
                        <c:v>2.6517383618149679E-2</c:v>
                      </c:pt>
                      <c:pt idx="19">
                        <c:v>-7.4626865671640818E-3</c:v>
                      </c:pt>
                      <c:pt idx="20">
                        <c:v>-4.1642567958357531E-2</c:v>
                      </c:pt>
                      <c:pt idx="21">
                        <c:v>-1.1466505733252729E-2</c:v>
                      </c:pt>
                      <c:pt idx="22">
                        <c:v>-1.8925518925519063E-2</c:v>
                      </c:pt>
                      <c:pt idx="23">
                        <c:v>-1.6801493466085806E-2</c:v>
                      </c:pt>
                      <c:pt idx="24">
                        <c:v>1.8987341772152618E-3</c:v>
                      </c:pt>
                      <c:pt idx="25">
                        <c:v>7.0751737207833149E-2</c:v>
                      </c:pt>
                      <c:pt idx="26">
                        <c:v>0</c:v>
                      </c:pt>
                      <c:pt idx="27">
                        <c:v>4.0117994100295054E-2</c:v>
                      </c:pt>
                      <c:pt idx="28">
                        <c:v>-2.32558139534885E-2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3A48-4F96-BD74-0A813FD2536A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'Q5 - Oil Impact'!$J$101</c15:sqref>
                        </c15:formulaRef>
                      </c:ext>
                    </c:extLst>
                    <c:strCache>
                      <c:ptCount val="1"/>
                      <c:pt idx="0">
                        <c:v>Vegetables inflation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'Q5 - Oil Impact'!$B$102:$B$130</c15:sqref>
                        </c15:formulaRef>
                      </c:ext>
                    </c:extLst>
                    <c:numCache>
                      <c:formatCode>mmm/yyyy</c:formatCode>
                      <c:ptCount val="29"/>
                      <c:pt idx="0">
                        <c:v>44197</c:v>
                      </c:pt>
                      <c:pt idx="1">
                        <c:v>44228</c:v>
                      </c:pt>
                      <c:pt idx="2">
                        <c:v>44256</c:v>
                      </c:pt>
                      <c:pt idx="3">
                        <c:v>44287</c:v>
                      </c:pt>
                      <c:pt idx="4">
                        <c:v>44317</c:v>
                      </c:pt>
                      <c:pt idx="5">
                        <c:v>44348</c:v>
                      </c:pt>
                      <c:pt idx="6">
                        <c:v>44378</c:v>
                      </c:pt>
                      <c:pt idx="7">
                        <c:v>44409</c:v>
                      </c:pt>
                      <c:pt idx="8">
                        <c:v>44440</c:v>
                      </c:pt>
                      <c:pt idx="9">
                        <c:v>44470</c:v>
                      </c:pt>
                      <c:pt idx="10">
                        <c:v>44501</c:v>
                      </c:pt>
                      <c:pt idx="11">
                        <c:v>44531</c:v>
                      </c:pt>
                      <c:pt idx="12">
                        <c:v>44562</c:v>
                      </c:pt>
                      <c:pt idx="13">
                        <c:v>44593</c:v>
                      </c:pt>
                      <c:pt idx="14">
                        <c:v>44621</c:v>
                      </c:pt>
                      <c:pt idx="15">
                        <c:v>44652</c:v>
                      </c:pt>
                      <c:pt idx="16">
                        <c:v>44682</c:v>
                      </c:pt>
                      <c:pt idx="17">
                        <c:v>44713</c:v>
                      </c:pt>
                      <c:pt idx="18">
                        <c:v>44743</c:v>
                      </c:pt>
                      <c:pt idx="19">
                        <c:v>44774</c:v>
                      </c:pt>
                      <c:pt idx="20">
                        <c:v>44805</c:v>
                      </c:pt>
                      <c:pt idx="21">
                        <c:v>44835</c:v>
                      </c:pt>
                      <c:pt idx="22">
                        <c:v>44866</c:v>
                      </c:pt>
                      <c:pt idx="23">
                        <c:v>44896</c:v>
                      </c:pt>
                      <c:pt idx="24">
                        <c:v>44927</c:v>
                      </c:pt>
                      <c:pt idx="25">
                        <c:v>44958</c:v>
                      </c:pt>
                      <c:pt idx="26">
                        <c:v>44986</c:v>
                      </c:pt>
                      <c:pt idx="27">
                        <c:v>45017</c:v>
                      </c:pt>
                      <c:pt idx="28">
                        <c:v>45047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'Q5 - Oil Impact'!$J$102:$J$130</c15:sqref>
                        </c15:formulaRef>
                      </c:ext>
                    </c:extLst>
                    <c:numCache>
                      <c:formatCode>0.00%</c:formatCode>
                      <c:ptCount val="29"/>
                      <c:pt idx="0">
                        <c:v>-0.15748373101952282</c:v>
                      </c:pt>
                      <c:pt idx="1">
                        <c:v>-0.17610710607621005</c:v>
                      </c:pt>
                      <c:pt idx="2">
                        <c:v>-6.5625000000000003E-2</c:v>
                      </c:pt>
                      <c:pt idx="3">
                        <c:v>-3.6120401337792679E-2</c:v>
                      </c:pt>
                      <c:pt idx="4">
                        <c:v>2.637057598889668E-2</c:v>
                      </c:pt>
                      <c:pt idx="5">
                        <c:v>5.0709939148073022E-2</c:v>
                      </c:pt>
                      <c:pt idx="6">
                        <c:v>5.662805662805652E-2</c:v>
                      </c:pt>
                      <c:pt idx="7">
                        <c:v>-1.2180267965895251E-2</c:v>
                      </c:pt>
                      <c:pt idx="8">
                        <c:v>6.1652281134415992E-4</c:v>
                      </c:pt>
                      <c:pt idx="9">
                        <c:v>0.14171287738755389</c:v>
                      </c:pt>
                      <c:pt idx="10">
                        <c:v>7.5013491635186058E-2</c:v>
                      </c:pt>
                      <c:pt idx="11">
                        <c:v>-5.4718875502007921E-2</c:v>
                      </c:pt>
                      <c:pt idx="12">
                        <c:v>-7.4349442379182146E-2</c:v>
                      </c:pt>
                      <c:pt idx="13">
                        <c:v>-2.6391279403327726E-2</c:v>
                      </c:pt>
                      <c:pt idx="14">
                        <c:v>-1.6499705362404145E-2</c:v>
                      </c:pt>
                      <c:pt idx="15">
                        <c:v>-4.1941282204914143E-3</c:v>
                      </c:pt>
                      <c:pt idx="16">
                        <c:v>5.2346570397112019E-2</c:v>
                      </c:pt>
                      <c:pt idx="17">
                        <c:v>4.230989136649517E-2</c:v>
                      </c:pt>
                      <c:pt idx="18">
                        <c:v>-1.0970927043336097E-3</c:v>
                      </c:pt>
                      <c:pt idx="19">
                        <c:v>2.5260845689181737E-2</c:v>
                      </c:pt>
                      <c:pt idx="20">
                        <c:v>2.7316550615961558E-2</c:v>
                      </c:pt>
                      <c:pt idx="21">
                        <c:v>4.118873826903012E-2</c:v>
                      </c:pt>
                      <c:pt idx="22">
                        <c:v>-8.3124687030545791E-2</c:v>
                      </c:pt>
                      <c:pt idx="23">
                        <c:v>-0.12670671764063349</c:v>
                      </c:pt>
                      <c:pt idx="24">
                        <c:v>-3.7523452157598496E-2</c:v>
                      </c:pt>
                      <c:pt idx="25">
                        <c:v>-7.7972709551658026E-3</c:v>
                      </c:pt>
                      <c:pt idx="26">
                        <c:v>6.5487884741337755E-4</c:v>
                      </c:pt>
                      <c:pt idx="27">
                        <c:v>1.7015706806282685E-2</c:v>
                      </c:pt>
                      <c:pt idx="28">
                        <c:v>3.6036036036036001E-2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3A48-4F96-BD74-0A813FD2536A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'Q5 - Oil Impact'!$K$101</c15:sqref>
                        </c15:formulaRef>
                      </c:ext>
                    </c:extLst>
                    <c:strCache>
                      <c:ptCount val="1"/>
                      <c:pt idx="0">
                        <c:v>Pulses and products inflation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'Q5 - Oil Impact'!$B$102:$B$130</c15:sqref>
                        </c15:formulaRef>
                      </c:ext>
                    </c:extLst>
                    <c:numCache>
                      <c:formatCode>mmm/yyyy</c:formatCode>
                      <c:ptCount val="29"/>
                      <c:pt idx="0">
                        <c:v>44197</c:v>
                      </c:pt>
                      <c:pt idx="1">
                        <c:v>44228</c:v>
                      </c:pt>
                      <c:pt idx="2">
                        <c:v>44256</c:v>
                      </c:pt>
                      <c:pt idx="3">
                        <c:v>44287</c:v>
                      </c:pt>
                      <c:pt idx="4">
                        <c:v>44317</c:v>
                      </c:pt>
                      <c:pt idx="5">
                        <c:v>44348</c:v>
                      </c:pt>
                      <c:pt idx="6">
                        <c:v>44378</c:v>
                      </c:pt>
                      <c:pt idx="7">
                        <c:v>44409</c:v>
                      </c:pt>
                      <c:pt idx="8">
                        <c:v>44440</c:v>
                      </c:pt>
                      <c:pt idx="9">
                        <c:v>44470</c:v>
                      </c:pt>
                      <c:pt idx="10">
                        <c:v>44501</c:v>
                      </c:pt>
                      <c:pt idx="11">
                        <c:v>44531</c:v>
                      </c:pt>
                      <c:pt idx="12">
                        <c:v>44562</c:v>
                      </c:pt>
                      <c:pt idx="13">
                        <c:v>44593</c:v>
                      </c:pt>
                      <c:pt idx="14">
                        <c:v>44621</c:v>
                      </c:pt>
                      <c:pt idx="15">
                        <c:v>44652</c:v>
                      </c:pt>
                      <c:pt idx="16">
                        <c:v>44682</c:v>
                      </c:pt>
                      <c:pt idx="17">
                        <c:v>44713</c:v>
                      </c:pt>
                      <c:pt idx="18">
                        <c:v>44743</c:v>
                      </c:pt>
                      <c:pt idx="19">
                        <c:v>44774</c:v>
                      </c:pt>
                      <c:pt idx="20">
                        <c:v>44805</c:v>
                      </c:pt>
                      <c:pt idx="21">
                        <c:v>44835</c:v>
                      </c:pt>
                      <c:pt idx="22">
                        <c:v>44866</c:v>
                      </c:pt>
                      <c:pt idx="23">
                        <c:v>44896</c:v>
                      </c:pt>
                      <c:pt idx="24">
                        <c:v>44927</c:v>
                      </c:pt>
                      <c:pt idx="25">
                        <c:v>44958</c:v>
                      </c:pt>
                      <c:pt idx="26">
                        <c:v>44986</c:v>
                      </c:pt>
                      <c:pt idx="27">
                        <c:v>45017</c:v>
                      </c:pt>
                      <c:pt idx="28">
                        <c:v>45047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'Q5 - Oil Impact'!$K$102:$K$130</c15:sqref>
                        </c15:formulaRef>
                      </c:ext>
                    </c:extLst>
                    <c:numCache>
                      <c:formatCode>0.00%</c:formatCode>
                      <c:ptCount val="29"/>
                      <c:pt idx="0">
                        <c:v>1.2484394506867482E-3</c:v>
                      </c:pt>
                      <c:pt idx="1">
                        <c:v>-9.9750623441396159E-3</c:v>
                      </c:pt>
                      <c:pt idx="2">
                        <c:v>6.2972292191435762E-3</c:v>
                      </c:pt>
                      <c:pt idx="3">
                        <c:v>1.1889862327909744E-2</c:v>
                      </c:pt>
                      <c:pt idx="4">
                        <c:v>2.2881880024737275E-2</c:v>
                      </c:pt>
                      <c:pt idx="5">
                        <c:v>3.6275695284159267E-3</c:v>
                      </c:pt>
                      <c:pt idx="6">
                        <c:v>-1.2048192771084338E-2</c:v>
                      </c:pt>
                      <c:pt idx="7">
                        <c:v>6.0975609756094091E-4</c:v>
                      </c:pt>
                      <c:pt idx="8">
                        <c:v>0</c:v>
                      </c:pt>
                      <c:pt idx="9">
                        <c:v>6.7032297379646215E-3</c:v>
                      </c:pt>
                      <c:pt idx="10">
                        <c:v>6.0532687651345491E-4</c:v>
                      </c:pt>
                      <c:pt idx="11">
                        <c:v>-5.4446460980036634E-3</c:v>
                      </c:pt>
                      <c:pt idx="12">
                        <c:v>-3.0413625304136251E-3</c:v>
                      </c:pt>
                      <c:pt idx="13">
                        <c:v>-1.2202562538134048E-3</c:v>
                      </c:pt>
                      <c:pt idx="14">
                        <c:v>1.2217470983507458E-3</c:v>
                      </c:pt>
                      <c:pt idx="15">
                        <c:v>4.8810250152530989E-3</c:v>
                      </c:pt>
                      <c:pt idx="16">
                        <c:v>0</c:v>
                      </c:pt>
                      <c:pt idx="17">
                        <c:v>-2.4286581663629466E-3</c:v>
                      </c:pt>
                      <c:pt idx="18">
                        <c:v>0</c:v>
                      </c:pt>
                      <c:pt idx="19">
                        <c:v>1.7650639074862917E-2</c:v>
                      </c:pt>
                      <c:pt idx="20">
                        <c:v>1.1363636363636399E-2</c:v>
                      </c:pt>
                      <c:pt idx="21">
                        <c:v>4.1395623891189656E-3</c:v>
                      </c:pt>
                      <c:pt idx="22">
                        <c:v>4.1224970553591792E-3</c:v>
                      </c:pt>
                      <c:pt idx="23">
                        <c:v>1.7595307917889231E-3</c:v>
                      </c:pt>
                      <c:pt idx="24">
                        <c:v>5.854800936767817E-4</c:v>
                      </c:pt>
                      <c:pt idx="25">
                        <c:v>5.8513750731418557E-4</c:v>
                      </c:pt>
                      <c:pt idx="26">
                        <c:v>5.8479532163739363E-4</c:v>
                      </c:pt>
                      <c:pt idx="27">
                        <c:v>1.3442431326709593E-2</c:v>
                      </c:pt>
                      <c:pt idx="28">
                        <c:v>1.2687427912341341E-2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3A48-4F96-BD74-0A813FD2536A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'Q5 - Oil Impact'!$L$101</c15:sqref>
                        </c15:formulaRef>
                      </c:ext>
                    </c:extLst>
                    <c:strCache>
                      <c:ptCount val="1"/>
                      <c:pt idx="0">
                        <c:v>Sugar and Confectionery inflation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'Q5 - Oil Impact'!$B$102:$B$130</c15:sqref>
                        </c15:formulaRef>
                      </c:ext>
                    </c:extLst>
                    <c:numCache>
                      <c:formatCode>mmm/yyyy</c:formatCode>
                      <c:ptCount val="29"/>
                      <c:pt idx="0">
                        <c:v>44197</c:v>
                      </c:pt>
                      <c:pt idx="1">
                        <c:v>44228</c:v>
                      </c:pt>
                      <c:pt idx="2">
                        <c:v>44256</c:v>
                      </c:pt>
                      <c:pt idx="3">
                        <c:v>44287</c:v>
                      </c:pt>
                      <c:pt idx="4">
                        <c:v>44317</c:v>
                      </c:pt>
                      <c:pt idx="5">
                        <c:v>44348</c:v>
                      </c:pt>
                      <c:pt idx="6">
                        <c:v>44378</c:v>
                      </c:pt>
                      <c:pt idx="7">
                        <c:v>44409</c:v>
                      </c:pt>
                      <c:pt idx="8">
                        <c:v>44440</c:v>
                      </c:pt>
                      <c:pt idx="9">
                        <c:v>44470</c:v>
                      </c:pt>
                      <c:pt idx="10">
                        <c:v>44501</c:v>
                      </c:pt>
                      <c:pt idx="11">
                        <c:v>44531</c:v>
                      </c:pt>
                      <c:pt idx="12">
                        <c:v>44562</c:v>
                      </c:pt>
                      <c:pt idx="13">
                        <c:v>44593</c:v>
                      </c:pt>
                      <c:pt idx="14">
                        <c:v>44621</c:v>
                      </c:pt>
                      <c:pt idx="15">
                        <c:v>44652</c:v>
                      </c:pt>
                      <c:pt idx="16">
                        <c:v>44682</c:v>
                      </c:pt>
                      <c:pt idx="17">
                        <c:v>44713</c:v>
                      </c:pt>
                      <c:pt idx="18">
                        <c:v>44743</c:v>
                      </c:pt>
                      <c:pt idx="19">
                        <c:v>44774</c:v>
                      </c:pt>
                      <c:pt idx="20">
                        <c:v>44805</c:v>
                      </c:pt>
                      <c:pt idx="21">
                        <c:v>44835</c:v>
                      </c:pt>
                      <c:pt idx="22">
                        <c:v>44866</c:v>
                      </c:pt>
                      <c:pt idx="23">
                        <c:v>44896</c:v>
                      </c:pt>
                      <c:pt idx="24">
                        <c:v>44927</c:v>
                      </c:pt>
                      <c:pt idx="25">
                        <c:v>44958</c:v>
                      </c:pt>
                      <c:pt idx="26">
                        <c:v>44986</c:v>
                      </c:pt>
                      <c:pt idx="27">
                        <c:v>45017</c:v>
                      </c:pt>
                      <c:pt idx="28">
                        <c:v>45047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'Q5 - Oil Impact'!$L$102:$L$130</c15:sqref>
                        </c15:formulaRef>
                      </c:ext>
                    </c:extLst>
                    <c:numCache>
                      <c:formatCode>0.00%</c:formatCode>
                      <c:ptCount val="29"/>
                      <c:pt idx="0">
                        <c:v>-6.0711188204683681E-3</c:v>
                      </c:pt>
                      <c:pt idx="1">
                        <c:v>-1.5706806282722488E-2</c:v>
                      </c:pt>
                      <c:pt idx="2">
                        <c:v>-1.7730496453900962E-3</c:v>
                      </c:pt>
                      <c:pt idx="3">
                        <c:v>4.4404973357015992E-3</c:v>
                      </c:pt>
                      <c:pt idx="4">
                        <c:v>1.503094606542885E-2</c:v>
                      </c:pt>
                      <c:pt idx="5">
                        <c:v>2.6132404181184424E-3</c:v>
                      </c:pt>
                      <c:pt idx="6">
                        <c:v>-5.2128583840138519E-3</c:v>
                      </c:pt>
                      <c:pt idx="7">
                        <c:v>4.5414847161572076E-2</c:v>
                      </c:pt>
                      <c:pt idx="8">
                        <c:v>0</c:v>
                      </c:pt>
                      <c:pt idx="9">
                        <c:v>1.8379281537176297E-2</c:v>
                      </c:pt>
                      <c:pt idx="10">
                        <c:v>4.1017227235438884E-3</c:v>
                      </c:pt>
                      <c:pt idx="11">
                        <c:v>-1.1437908496732072E-2</c:v>
                      </c:pt>
                      <c:pt idx="12">
                        <c:v>-8.2644628099173556E-3</c:v>
                      </c:pt>
                      <c:pt idx="13">
                        <c:v>-9.1666666666666199E-3</c:v>
                      </c:pt>
                      <c:pt idx="14">
                        <c:v>-8.4104289318762419E-4</c:v>
                      </c:pt>
                      <c:pt idx="15">
                        <c:v>1.6835016835017075E-3</c:v>
                      </c:pt>
                      <c:pt idx="16">
                        <c:v>5.8823529411764948E-3</c:v>
                      </c:pt>
                      <c:pt idx="17">
                        <c:v>1.6708437761069578E-3</c:v>
                      </c:pt>
                      <c:pt idx="18">
                        <c:v>8.3402835696408937E-4</c:v>
                      </c:pt>
                      <c:pt idx="19">
                        <c:v>7.5000000000000474E-3</c:v>
                      </c:pt>
                      <c:pt idx="20">
                        <c:v>5.7899090157153728E-3</c:v>
                      </c:pt>
                      <c:pt idx="21">
                        <c:v>2.4671052631579883E-3</c:v>
                      </c:pt>
                      <c:pt idx="22">
                        <c:v>1.640689089417462E-3</c:v>
                      </c:pt>
                      <c:pt idx="23">
                        <c:v>-2.457002457002434E-3</c:v>
                      </c:pt>
                      <c:pt idx="24">
                        <c:v>-5.7471264367816325E-3</c:v>
                      </c:pt>
                      <c:pt idx="25">
                        <c:v>-9.0834021469859156E-3</c:v>
                      </c:pt>
                      <c:pt idx="26">
                        <c:v>0</c:v>
                      </c:pt>
                      <c:pt idx="27">
                        <c:v>1.0833333333333309E-2</c:v>
                      </c:pt>
                      <c:pt idx="28">
                        <c:v>1.1541632316570533E-2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3A48-4F96-BD74-0A813FD2536A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'Q5 - Oil Impact'!$M$101</c15:sqref>
                        </c15:formulaRef>
                      </c:ext>
                    </c:extLst>
                    <c:strCache>
                      <c:ptCount val="1"/>
                      <c:pt idx="0">
                        <c:v>Spices inflation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'Q5 - Oil Impact'!$B$102:$B$130</c15:sqref>
                        </c15:formulaRef>
                      </c:ext>
                    </c:extLst>
                    <c:numCache>
                      <c:formatCode>mmm/yyyy</c:formatCode>
                      <c:ptCount val="29"/>
                      <c:pt idx="0">
                        <c:v>44197</c:v>
                      </c:pt>
                      <c:pt idx="1">
                        <c:v>44228</c:v>
                      </c:pt>
                      <c:pt idx="2">
                        <c:v>44256</c:v>
                      </c:pt>
                      <c:pt idx="3">
                        <c:v>44287</c:v>
                      </c:pt>
                      <c:pt idx="4">
                        <c:v>44317</c:v>
                      </c:pt>
                      <c:pt idx="5">
                        <c:v>44348</c:v>
                      </c:pt>
                      <c:pt idx="6">
                        <c:v>44378</c:v>
                      </c:pt>
                      <c:pt idx="7">
                        <c:v>44409</c:v>
                      </c:pt>
                      <c:pt idx="8">
                        <c:v>44440</c:v>
                      </c:pt>
                      <c:pt idx="9">
                        <c:v>44470</c:v>
                      </c:pt>
                      <c:pt idx="10">
                        <c:v>44501</c:v>
                      </c:pt>
                      <c:pt idx="11">
                        <c:v>44531</c:v>
                      </c:pt>
                      <c:pt idx="12">
                        <c:v>44562</c:v>
                      </c:pt>
                      <c:pt idx="13">
                        <c:v>44593</c:v>
                      </c:pt>
                      <c:pt idx="14">
                        <c:v>44621</c:v>
                      </c:pt>
                      <c:pt idx="15">
                        <c:v>44652</c:v>
                      </c:pt>
                      <c:pt idx="16">
                        <c:v>44682</c:v>
                      </c:pt>
                      <c:pt idx="17">
                        <c:v>44713</c:v>
                      </c:pt>
                      <c:pt idx="18">
                        <c:v>44743</c:v>
                      </c:pt>
                      <c:pt idx="19">
                        <c:v>44774</c:v>
                      </c:pt>
                      <c:pt idx="20">
                        <c:v>44805</c:v>
                      </c:pt>
                      <c:pt idx="21">
                        <c:v>44835</c:v>
                      </c:pt>
                      <c:pt idx="22">
                        <c:v>44866</c:v>
                      </c:pt>
                      <c:pt idx="23">
                        <c:v>44896</c:v>
                      </c:pt>
                      <c:pt idx="24">
                        <c:v>44927</c:v>
                      </c:pt>
                      <c:pt idx="25">
                        <c:v>44958</c:v>
                      </c:pt>
                      <c:pt idx="26">
                        <c:v>44986</c:v>
                      </c:pt>
                      <c:pt idx="27">
                        <c:v>45017</c:v>
                      </c:pt>
                      <c:pt idx="28">
                        <c:v>45047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'Q5 - Oil Impact'!$M$102:$M$130</c15:sqref>
                        </c15:formulaRef>
                      </c:ext>
                    </c:extLst>
                    <c:numCache>
                      <c:formatCode>0.00%</c:formatCode>
                      <c:ptCount val="29"/>
                      <c:pt idx="0">
                        <c:v>6.1349693251533744E-3</c:v>
                      </c:pt>
                      <c:pt idx="1">
                        <c:v>1.2195121951218818E-3</c:v>
                      </c:pt>
                      <c:pt idx="2">
                        <c:v>-4.2630937880632682E-3</c:v>
                      </c:pt>
                      <c:pt idx="3">
                        <c:v>2.4464831804281695E-3</c:v>
                      </c:pt>
                      <c:pt idx="4">
                        <c:v>2.6235509456985863E-2</c:v>
                      </c:pt>
                      <c:pt idx="5">
                        <c:v>1.7835909631391878E-3</c:v>
                      </c:pt>
                      <c:pt idx="6">
                        <c:v>-1.1869436201779741E-3</c:v>
                      </c:pt>
                      <c:pt idx="7">
                        <c:v>2.9708853238265003E-3</c:v>
                      </c:pt>
                      <c:pt idx="8">
                        <c:v>0</c:v>
                      </c:pt>
                      <c:pt idx="9">
                        <c:v>2.9620853080568718E-3</c:v>
                      </c:pt>
                      <c:pt idx="10">
                        <c:v>1.772002362669716E-3</c:v>
                      </c:pt>
                      <c:pt idx="11">
                        <c:v>5.3066037735849392E-3</c:v>
                      </c:pt>
                      <c:pt idx="12">
                        <c:v>9.3841642228738673E-3</c:v>
                      </c:pt>
                      <c:pt idx="13">
                        <c:v>1.2783265543288885E-2</c:v>
                      </c:pt>
                      <c:pt idx="14">
                        <c:v>1.7785427423981606E-2</c:v>
                      </c:pt>
                      <c:pt idx="15">
                        <c:v>2.1984216459977484E-2</c:v>
                      </c:pt>
                      <c:pt idx="16">
                        <c:v>1.9856591285162681E-2</c:v>
                      </c:pt>
                      <c:pt idx="17">
                        <c:v>1.1898323418063756E-2</c:v>
                      </c:pt>
                      <c:pt idx="18">
                        <c:v>1.5499732763228252E-2</c:v>
                      </c:pt>
                      <c:pt idx="19">
                        <c:v>1.8947368421052602E-2</c:v>
                      </c:pt>
                      <c:pt idx="20">
                        <c:v>1.9111570247933973E-2</c:v>
                      </c:pt>
                      <c:pt idx="21">
                        <c:v>1.3177901672579798E-2</c:v>
                      </c:pt>
                      <c:pt idx="22">
                        <c:v>1.4507253626813434E-2</c:v>
                      </c:pt>
                      <c:pt idx="23">
                        <c:v>1.1834319526627106E-2</c:v>
                      </c:pt>
                      <c:pt idx="24">
                        <c:v>1.5594541910331468E-2</c:v>
                      </c:pt>
                      <c:pt idx="25">
                        <c:v>6.2380038387715112E-3</c:v>
                      </c:pt>
                      <c:pt idx="26">
                        <c:v>0</c:v>
                      </c:pt>
                      <c:pt idx="27">
                        <c:v>1.5259895088221351E-2</c:v>
                      </c:pt>
                      <c:pt idx="28">
                        <c:v>2.3954908407703118E-2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3A48-4F96-BD74-0A813FD2536A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'Q5 - Oil Impact'!$O$101</c15:sqref>
                        </c15:formulaRef>
                      </c:ext>
                    </c:extLst>
                    <c:strCache>
                      <c:ptCount val="1"/>
                      <c:pt idx="0">
                        <c:v>Prepared meals, snacks, sweets etc. inflation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'Q5 - Oil Impact'!$B$102:$B$130</c15:sqref>
                        </c15:formulaRef>
                      </c:ext>
                    </c:extLst>
                    <c:numCache>
                      <c:formatCode>mmm/yyyy</c:formatCode>
                      <c:ptCount val="29"/>
                      <c:pt idx="0">
                        <c:v>44197</c:v>
                      </c:pt>
                      <c:pt idx="1">
                        <c:v>44228</c:v>
                      </c:pt>
                      <c:pt idx="2">
                        <c:v>44256</c:v>
                      </c:pt>
                      <c:pt idx="3">
                        <c:v>44287</c:v>
                      </c:pt>
                      <c:pt idx="4">
                        <c:v>44317</c:v>
                      </c:pt>
                      <c:pt idx="5">
                        <c:v>44348</c:v>
                      </c:pt>
                      <c:pt idx="6">
                        <c:v>44378</c:v>
                      </c:pt>
                      <c:pt idx="7">
                        <c:v>44409</c:v>
                      </c:pt>
                      <c:pt idx="8">
                        <c:v>44440</c:v>
                      </c:pt>
                      <c:pt idx="9">
                        <c:v>44470</c:v>
                      </c:pt>
                      <c:pt idx="10">
                        <c:v>44501</c:v>
                      </c:pt>
                      <c:pt idx="11">
                        <c:v>44531</c:v>
                      </c:pt>
                      <c:pt idx="12">
                        <c:v>44562</c:v>
                      </c:pt>
                      <c:pt idx="13">
                        <c:v>44593</c:v>
                      </c:pt>
                      <c:pt idx="14">
                        <c:v>44621</c:v>
                      </c:pt>
                      <c:pt idx="15">
                        <c:v>44652</c:v>
                      </c:pt>
                      <c:pt idx="16">
                        <c:v>44682</c:v>
                      </c:pt>
                      <c:pt idx="17">
                        <c:v>44713</c:v>
                      </c:pt>
                      <c:pt idx="18">
                        <c:v>44743</c:v>
                      </c:pt>
                      <c:pt idx="19">
                        <c:v>44774</c:v>
                      </c:pt>
                      <c:pt idx="20">
                        <c:v>44805</c:v>
                      </c:pt>
                      <c:pt idx="21">
                        <c:v>44835</c:v>
                      </c:pt>
                      <c:pt idx="22">
                        <c:v>44866</c:v>
                      </c:pt>
                      <c:pt idx="23">
                        <c:v>44896</c:v>
                      </c:pt>
                      <c:pt idx="24">
                        <c:v>44927</c:v>
                      </c:pt>
                      <c:pt idx="25">
                        <c:v>44958</c:v>
                      </c:pt>
                      <c:pt idx="26">
                        <c:v>44986</c:v>
                      </c:pt>
                      <c:pt idx="27">
                        <c:v>45017</c:v>
                      </c:pt>
                      <c:pt idx="28">
                        <c:v>45047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'Q5 - Oil Impact'!$O$102:$O$130</c15:sqref>
                        </c15:formulaRef>
                      </c:ext>
                    </c:extLst>
                    <c:numCache>
                      <c:formatCode>0.00%</c:formatCode>
                      <c:ptCount val="29"/>
                      <c:pt idx="0">
                        <c:v>4.8543689320387313E-3</c:v>
                      </c:pt>
                      <c:pt idx="1">
                        <c:v>1.1473429951690857E-2</c:v>
                      </c:pt>
                      <c:pt idx="2">
                        <c:v>4.1791044776118723E-3</c:v>
                      </c:pt>
                      <c:pt idx="3">
                        <c:v>4.1617122473247151E-3</c:v>
                      </c:pt>
                      <c:pt idx="4">
                        <c:v>8.8809946714031966E-3</c:v>
                      </c:pt>
                      <c:pt idx="5">
                        <c:v>1.1737089201877934E-2</c:v>
                      </c:pt>
                      <c:pt idx="6">
                        <c:v>-1.1600928074246928E-3</c:v>
                      </c:pt>
                      <c:pt idx="7">
                        <c:v>9.872241579558752E-3</c:v>
                      </c:pt>
                      <c:pt idx="8">
                        <c:v>0</c:v>
                      </c:pt>
                      <c:pt idx="9">
                        <c:v>4.6003450258768428E-3</c:v>
                      </c:pt>
                      <c:pt idx="10">
                        <c:v>4.5792787635947994E-3</c:v>
                      </c:pt>
                      <c:pt idx="11">
                        <c:v>5.6980056980056983E-3</c:v>
                      </c:pt>
                      <c:pt idx="12">
                        <c:v>4.5325779036827843E-3</c:v>
                      </c:pt>
                      <c:pt idx="13">
                        <c:v>3.948110547095254E-3</c:v>
                      </c:pt>
                      <c:pt idx="14">
                        <c:v>7.3033707865169176E-3</c:v>
                      </c:pt>
                      <c:pt idx="15">
                        <c:v>8.9235917456776028E-3</c:v>
                      </c:pt>
                      <c:pt idx="16">
                        <c:v>8.8446655610834399E-3</c:v>
                      </c:pt>
                      <c:pt idx="17">
                        <c:v>7.6712328767123599E-3</c:v>
                      </c:pt>
                      <c:pt idx="18">
                        <c:v>7.0690592713430287E-3</c:v>
                      </c:pt>
                      <c:pt idx="19">
                        <c:v>5.9395248380130824E-3</c:v>
                      </c:pt>
                      <c:pt idx="20">
                        <c:v>5.9044551798174676E-3</c:v>
                      </c:pt>
                      <c:pt idx="21">
                        <c:v>4.8025613660619302E-3</c:v>
                      </c:pt>
                      <c:pt idx="22">
                        <c:v>6.3728093467869812E-3</c:v>
                      </c:pt>
                      <c:pt idx="23">
                        <c:v>4.2216358839050729E-3</c:v>
                      </c:pt>
                      <c:pt idx="24">
                        <c:v>4.7293746715710832E-3</c:v>
                      </c:pt>
                      <c:pt idx="25">
                        <c:v>9.4142259414226534E-3</c:v>
                      </c:pt>
                      <c:pt idx="26">
                        <c:v>0</c:v>
                      </c:pt>
                      <c:pt idx="27">
                        <c:v>2.5906735751295338E-3</c:v>
                      </c:pt>
                      <c:pt idx="28">
                        <c:v>3.6175710594314658E-3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3A48-4F96-BD74-0A813FD2536A}"/>
                  </c:ext>
                </c:extLst>
              </c15:ser>
            </c15:filteredLineSeries>
            <c15:filteredLineSeries>
              <c15:ser>
                <c:idx val="13"/>
                <c:order val="1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'Q5 - Oil Impact'!$P$101</c15:sqref>
                        </c15:formulaRef>
                      </c:ext>
                    </c:extLst>
                    <c:strCache>
                      <c:ptCount val="1"/>
                      <c:pt idx="0">
                        <c:v>Food and beverages inflation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'Q5 - Oil Impact'!$B$102:$B$130</c15:sqref>
                        </c15:formulaRef>
                      </c:ext>
                    </c:extLst>
                    <c:numCache>
                      <c:formatCode>mmm/yyyy</c:formatCode>
                      <c:ptCount val="29"/>
                      <c:pt idx="0">
                        <c:v>44197</c:v>
                      </c:pt>
                      <c:pt idx="1">
                        <c:v>44228</c:v>
                      </c:pt>
                      <c:pt idx="2">
                        <c:v>44256</c:v>
                      </c:pt>
                      <c:pt idx="3">
                        <c:v>44287</c:v>
                      </c:pt>
                      <c:pt idx="4">
                        <c:v>44317</c:v>
                      </c:pt>
                      <c:pt idx="5">
                        <c:v>44348</c:v>
                      </c:pt>
                      <c:pt idx="6">
                        <c:v>44378</c:v>
                      </c:pt>
                      <c:pt idx="7">
                        <c:v>44409</c:v>
                      </c:pt>
                      <c:pt idx="8">
                        <c:v>44440</c:v>
                      </c:pt>
                      <c:pt idx="9">
                        <c:v>44470</c:v>
                      </c:pt>
                      <c:pt idx="10">
                        <c:v>44501</c:v>
                      </c:pt>
                      <c:pt idx="11">
                        <c:v>44531</c:v>
                      </c:pt>
                      <c:pt idx="12">
                        <c:v>44562</c:v>
                      </c:pt>
                      <c:pt idx="13">
                        <c:v>44593</c:v>
                      </c:pt>
                      <c:pt idx="14">
                        <c:v>44621</c:v>
                      </c:pt>
                      <c:pt idx="15">
                        <c:v>44652</c:v>
                      </c:pt>
                      <c:pt idx="16">
                        <c:v>44682</c:v>
                      </c:pt>
                      <c:pt idx="17">
                        <c:v>44713</c:v>
                      </c:pt>
                      <c:pt idx="18">
                        <c:v>44743</c:v>
                      </c:pt>
                      <c:pt idx="19">
                        <c:v>44774</c:v>
                      </c:pt>
                      <c:pt idx="20">
                        <c:v>44805</c:v>
                      </c:pt>
                      <c:pt idx="21">
                        <c:v>44835</c:v>
                      </c:pt>
                      <c:pt idx="22">
                        <c:v>44866</c:v>
                      </c:pt>
                      <c:pt idx="23">
                        <c:v>44896</c:v>
                      </c:pt>
                      <c:pt idx="24">
                        <c:v>44927</c:v>
                      </c:pt>
                      <c:pt idx="25">
                        <c:v>44958</c:v>
                      </c:pt>
                      <c:pt idx="26">
                        <c:v>44986</c:v>
                      </c:pt>
                      <c:pt idx="27">
                        <c:v>45017</c:v>
                      </c:pt>
                      <c:pt idx="28">
                        <c:v>45047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'Q5 - Oil Impact'!$P$102:$P$130</c15:sqref>
                        </c15:formulaRef>
                      </c:ext>
                    </c:extLst>
                    <c:numCache>
                      <c:formatCode>0.00%</c:formatCode>
                      <c:ptCount val="29"/>
                      <c:pt idx="0">
                        <c:v>-2.6602176541717083E-2</c:v>
                      </c:pt>
                      <c:pt idx="1">
                        <c:v>-2.5465838509316736E-2</c:v>
                      </c:pt>
                      <c:pt idx="2">
                        <c:v>-1.2746972594010009E-3</c:v>
                      </c:pt>
                      <c:pt idx="3">
                        <c:v>8.2961072112317253E-3</c:v>
                      </c:pt>
                      <c:pt idx="4">
                        <c:v>1.7088607594936637E-2</c:v>
                      </c:pt>
                      <c:pt idx="5">
                        <c:v>1.1823273179838244E-2</c:v>
                      </c:pt>
                      <c:pt idx="6">
                        <c:v>8.6100861008610446E-3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2.2560975609756027E-2</c:v>
                      </c:pt>
                      <c:pt idx="10">
                        <c:v>1.1926058437686345E-2</c:v>
                      </c:pt>
                      <c:pt idx="11">
                        <c:v>-8.8391278727165592E-3</c:v>
                      </c:pt>
                      <c:pt idx="12">
                        <c:v>-1.070154577883462E-2</c:v>
                      </c:pt>
                      <c:pt idx="13">
                        <c:v>-1.2019230769231793E-3</c:v>
                      </c:pt>
                      <c:pt idx="14">
                        <c:v>1.3237063778580128E-2</c:v>
                      </c:pt>
                      <c:pt idx="15">
                        <c:v>1.4251781472684119E-2</c:v>
                      </c:pt>
                      <c:pt idx="16">
                        <c:v>1.4637002341920374E-2</c:v>
                      </c:pt>
                      <c:pt idx="17">
                        <c:v>9.2325447201384546E-3</c:v>
                      </c:pt>
                      <c:pt idx="18">
                        <c:v>5.7175528873638828E-4</c:v>
                      </c:pt>
                      <c:pt idx="19">
                        <c:v>7.4285714285714935E-3</c:v>
                      </c:pt>
                      <c:pt idx="20">
                        <c:v>8.5082246171298923E-3</c:v>
                      </c:pt>
                      <c:pt idx="21">
                        <c:v>1.0123734533183255E-2</c:v>
                      </c:pt>
                      <c:pt idx="22">
                        <c:v>-7.2383073496658295E-3</c:v>
                      </c:pt>
                      <c:pt idx="23">
                        <c:v>-1.3460459899046581E-2</c:v>
                      </c:pt>
                      <c:pt idx="24">
                        <c:v>4.5480386583284984E-3</c:v>
                      </c:pt>
                      <c:pt idx="25">
                        <c:v>1.6977928692700134E-3</c:v>
                      </c:pt>
                      <c:pt idx="26">
                        <c:v>0</c:v>
                      </c:pt>
                      <c:pt idx="27">
                        <c:v>5.0847457627118961E-3</c:v>
                      </c:pt>
                      <c:pt idx="28">
                        <c:v>6.7453625632377095E-3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3A48-4F96-BD74-0A813FD2536A}"/>
                  </c:ext>
                </c:extLst>
              </c15:ser>
            </c15:filteredLineSeries>
            <c15:filteredLineSeries>
              <c15:ser>
                <c:idx val="14"/>
                <c:order val="1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'Q5 - Oil Impact'!$Q$101</c15:sqref>
                        </c15:formulaRef>
                      </c:ext>
                    </c:extLst>
                    <c:strCache>
                      <c:ptCount val="1"/>
                      <c:pt idx="0">
                        <c:v>Pan, tobacco and intoxicants inflation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'Q5 - Oil Impact'!$B$102:$B$130</c15:sqref>
                        </c15:formulaRef>
                      </c:ext>
                    </c:extLst>
                    <c:numCache>
                      <c:formatCode>mmm/yyyy</c:formatCode>
                      <c:ptCount val="29"/>
                      <c:pt idx="0">
                        <c:v>44197</c:v>
                      </c:pt>
                      <c:pt idx="1">
                        <c:v>44228</c:v>
                      </c:pt>
                      <c:pt idx="2">
                        <c:v>44256</c:v>
                      </c:pt>
                      <c:pt idx="3">
                        <c:v>44287</c:v>
                      </c:pt>
                      <c:pt idx="4">
                        <c:v>44317</c:v>
                      </c:pt>
                      <c:pt idx="5">
                        <c:v>44348</c:v>
                      </c:pt>
                      <c:pt idx="6">
                        <c:v>44378</c:v>
                      </c:pt>
                      <c:pt idx="7">
                        <c:v>44409</c:v>
                      </c:pt>
                      <c:pt idx="8">
                        <c:v>44440</c:v>
                      </c:pt>
                      <c:pt idx="9">
                        <c:v>44470</c:v>
                      </c:pt>
                      <c:pt idx="10">
                        <c:v>44501</c:v>
                      </c:pt>
                      <c:pt idx="11">
                        <c:v>44531</c:v>
                      </c:pt>
                      <c:pt idx="12">
                        <c:v>44562</c:v>
                      </c:pt>
                      <c:pt idx="13">
                        <c:v>44593</c:v>
                      </c:pt>
                      <c:pt idx="14">
                        <c:v>44621</c:v>
                      </c:pt>
                      <c:pt idx="15">
                        <c:v>44652</c:v>
                      </c:pt>
                      <c:pt idx="16">
                        <c:v>44682</c:v>
                      </c:pt>
                      <c:pt idx="17">
                        <c:v>44713</c:v>
                      </c:pt>
                      <c:pt idx="18">
                        <c:v>44743</c:v>
                      </c:pt>
                      <c:pt idx="19">
                        <c:v>44774</c:v>
                      </c:pt>
                      <c:pt idx="20">
                        <c:v>44805</c:v>
                      </c:pt>
                      <c:pt idx="21">
                        <c:v>44835</c:v>
                      </c:pt>
                      <c:pt idx="22">
                        <c:v>44866</c:v>
                      </c:pt>
                      <c:pt idx="23">
                        <c:v>44896</c:v>
                      </c:pt>
                      <c:pt idx="24">
                        <c:v>44927</c:v>
                      </c:pt>
                      <c:pt idx="25">
                        <c:v>44958</c:v>
                      </c:pt>
                      <c:pt idx="26">
                        <c:v>44986</c:v>
                      </c:pt>
                      <c:pt idx="27">
                        <c:v>45017</c:v>
                      </c:pt>
                      <c:pt idx="28">
                        <c:v>45047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'Q5 - Oil Impact'!$Q$102:$Q$130</c15:sqref>
                        </c15:formulaRef>
                      </c:ext>
                    </c:extLst>
                    <c:numCache>
                      <c:formatCode>0.00%</c:formatCode>
                      <c:ptCount val="29"/>
                      <c:pt idx="0">
                        <c:v>5.9331175836029896E-3</c:v>
                      </c:pt>
                      <c:pt idx="1">
                        <c:v>9.6514745308311604E-3</c:v>
                      </c:pt>
                      <c:pt idx="2">
                        <c:v>-1.0621348911312642E-3</c:v>
                      </c:pt>
                      <c:pt idx="3">
                        <c:v>3.7214247740564436E-3</c:v>
                      </c:pt>
                      <c:pt idx="4">
                        <c:v>1.6419491525423699E-2</c:v>
                      </c:pt>
                      <c:pt idx="5">
                        <c:v>-5.7321521625846496E-3</c:v>
                      </c:pt>
                      <c:pt idx="6">
                        <c:v>2.0964360587000905E-3</c:v>
                      </c:pt>
                      <c:pt idx="7">
                        <c:v>4.7071129707113267E-3</c:v>
                      </c:pt>
                      <c:pt idx="8">
                        <c:v>0</c:v>
                      </c:pt>
                      <c:pt idx="9">
                        <c:v>3.1233732431025212E-3</c:v>
                      </c:pt>
                      <c:pt idx="10">
                        <c:v>1.0378827192528131E-3</c:v>
                      </c:pt>
                      <c:pt idx="11">
                        <c:v>-2.592016588906169E-3</c:v>
                      </c:pt>
                      <c:pt idx="12">
                        <c:v>-1.039501039501128E-3</c:v>
                      </c:pt>
                      <c:pt idx="13">
                        <c:v>3.1217481789803476E-3</c:v>
                      </c:pt>
                      <c:pt idx="14">
                        <c:v>4.6680497925310023E-3</c:v>
                      </c:pt>
                      <c:pt idx="15">
                        <c:v>1.0325245224574965E-3</c:v>
                      </c:pt>
                      <c:pt idx="16">
                        <c:v>1.0314595152139691E-3</c:v>
                      </c:pt>
                      <c:pt idx="17">
                        <c:v>1.0303967027306391E-3</c:v>
                      </c:pt>
                      <c:pt idx="18">
                        <c:v>1.5440041173442251E-3</c:v>
                      </c:pt>
                      <c:pt idx="19">
                        <c:v>2.0554984583761853E-3</c:v>
                      </c:pt>
                      <c:pt idx="20">
                        <c:v>4.6153846153846444E-3</c:v>
                      </c:pt>
                      <c:pt idx="21">
                        <c:v>2.0418580908627142E-3</c:v>
                      </c:pt>
                      <c:pt idx="22">
                        <c:v>3.0565461029036897E-3</c:v>
                      </c:pt>
                      <c:pt idx="23">
                        <c:v>2.031488065007647E-3</c:v>
                      </c:pt>
                      <c:pt idx="24">
                        <c:v>4.5615813482005937E-3</c:v>
                      </c:pt>
                      <c:pt idx="25">
                        <c:v>6.5590312815338621E-3</c:v>
                      </c:pt>
                      <c:pt idx="26">
                        <c:v>0</c:v>
                      </c:pt>
                      <c:pt idx="27">
                        <c:v>5.5137844611528536E-3</c:v>
                      </c:pt>
                      <c:pt idx="28">
                        <c:v>1.9940179461615439E-3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3A48-4F96-BD74-0A813FD2536A}"/>
                  </c:ext>
                </c:extLst>
              </c15:ser>
            </c15:filteredLineSeries>
            <c15:filteredLineSeries>
              <c15:ser>
                <c:idx val="15"/>
                <c:order val="1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'Q5 - Oil Impact'!$R$101</c15:sqref>
                        </c15:formulaRef>
                      </c:ext>
                    </c:extLst>
                    <c:strCache>
                      <c:ptCount val="1"/>
                      <c:pt idx="0">
                        <c:v>Clothing inflation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'Q5 - Oil Impact'!$B$102:$B$130</c15:sqref>
                        </c15:formulaRef>
                      </c:ext>
                    </c:extLst>
                    <c:numCache>
                      <c:formatCode>mmm/yyyy</c:formatCode>
                      <c:ptCount val="29"/>
                      <c:pt idx="0">
                        <c:v>44197</c:v>
                      </c:pt>
                      <c:pt idx="1">
                        <c:v>44228</c:v>
                      </c:pt>
                      <c:pt idx="2">
                        <c:v>44256</c:v>
                      </c:pt>
                      <c:pt idx="3">
                        <c:v>44287</c:v>
                      </c:pt>
                      <c:pt idx="4">
                        <c:v>44317</c:v>
                      </c:pt>
                      <c:pt idx="5">
                        <c:v>44348</c:v>
                      </c:pt>
                      <c:pt idx="6">
                        <c:v>44378</c:v>
                      </c:pt>
                      <c:pt idx="7">
                        <c:v>44409</c:v>
                      </c:pt>
                      <c:pt idx="8">
                        <c:v>44440</c:v>
                      </c:pt>
                      <c:pt idx="9">
                        <c:v>44470</c:v>
                      </c:pt>
                      <c:pt idx="10">
                        <c:v>44501</c:v>
                      </c:pt>
                      <c:pt idx="11">
                        <c:v>44531</c:v>
                      </c:pt>
                      <c:pt idx="12">
                        <c:v>44562</c:v>
                      </c:pt>
                      <c:pt idx="13">
                        <c:v>44593</c:v>
                      </c:pt>
                      <c:pt idx="14">
                        <c:v>44621</c:v>
                      </c:pt>
                      <c:pt idx="15">
                        <c:v>44652</c:v>
                      </c:pt>
                      <c:pt idx="16">
                        <c:v>44682</c:v>
                      </c:pt>
                      <c:pt idx="17">
                        <c:v>44713</c:v>
                      </c:pt>
                      <c:pt idx="18">
                        <c:v>44743</c:v>
                      </c:pt>
                      <c:pt idx="19">
                        <c:v>44774</c:v>
                      </c:pt>
                      <c:pt idx="20">
                        <c:v>44805</c:v>
                      </c:pt>
                      <c:pt idx="21">
                        <c:v>44835</c:v>
                      </c:pt>
                      <c:pt idx="22">
                        <c:v>44866</c:v>
                      </c:pt>
                      <c:pt idx="23">
                        <c:v>44896</c:v>
                      </c:pt>
                      <c:pt idx="24">
                        <c:v>44927</c:v>
                      </c:pt>
                      <c:pt idx="25">
                        <c:v>44958</c:v>
                      </c:pt>
                      <c:pt idx="26">
                        <c:v>44986</c:v>
                      </c:pt>
                      <c:pt idx="27">
                        <c:v>45017</c:v>
                      </c:pt>
                      <c:pt idx="28">
                        <c:v>45047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'Q5 - Oil Impact'!$R$102:$R$130</c15:sqref>
                        </c15:formulaRef>
                      </c:ext>
                    </c:extLst>
                    <c:numCache>
                      <c:formatCode>0.00%</c:formatCode>
                      <c:ptCount val="29"/>
                      <c:pt idx="0">
                        <c:v>3.2258064516129032E-3</c:v>
                      </c:pt>
                      <c:pt idx="1">
                        <c:v>1.09324758842443E-2</c:v>
                      </c:pt>
                      <c:pt idx="2">
                        <c:v>3.8167938931299157E-3</c:v>
                      </c:pt>
                      <c:pt idx="3">
                        <c:v>6.3371356147021544E-3</c:v>
                      </c:pt>
                      <c:pt idx="4">
                        <c:v>1.8891687657430729E-2</c:v>
                      </c:pt>
                      <c:pt idx="5">
                        <c:v>2.4721878862792165E-3</c:v>
                      </c:pt>
                      <c:pt idx="6">
                        <c:v>3.6991368680642589E-3</c:v>
                      </c:pt>
                      <c:pt idx="7">
                        <c:v>1.0442260442260373E-2</c:v>
                      </c:pt>
                      <c:pt idx="8">
                        <c:v>6.0790273556227549E-4</c:v>
                      </c:pt>
                      <c:pt idx="9">
                        <c:v>6.6828675577156405E-3</c:v>
                      </c:pt>
                      <c:pt idx="10">
                        <c:v>9.0525045262522634E-3</c:v>
                      </c:pt>
                      <c:pt idx="11">
                        <c:v>7.7751196172249487E-3</c:v>
                      </c:pt>
                      <c:pt idx="12">
                        <c:v>8.3086053412463248E-3</c:v>
                      </c:pt>
                      <c:pt idx="13">
                        <c:v>5.297233666862894E-3</c:v>
                      </c:pt>
                      <c:pt idx="14">
                        <c:v>7.6112412177984949E-3</c:v>
                      </c:pt>
                      <c:pt idx="15">
                        <c:v>1.0459035444509072E-2</c:v>
                      </c:pt>
                      <c:pt idx="16">
                        <c:v>9.7757331799884339E-3</c:v>
                      </c:pt>
                      <c:pt idx="17">
                        <c:v>8.5421412300683373E-3</c:v>
                      </c:pt>
                      <c:pt idx="18">
                        <c:v>6.7758328627894812E-3</c:v>
                      </c:pt>
                      <c:pt idx="19">
                        <c:v>6.7302299495232108E-3</c:v>
                      </c:pt>
                      <c:pt idx="20">
                        <c:v>7.7994428969359649E-3</c:v>
                      </c:pt>
                      <c:pt idx="21">
                        <c:v>5.5279159756771697E-3</c:v>
                      </c:pt>
                      <c:pt idx="22">
                        <c:v>6.5970313358987825E-3</c:v>
                      </c:pt>
                      <c:pt idx="23">
                        <c:v>4.9153468050246079E-3</c:v>
                      </c:pt>
                      <c:pt idx="24">
                        <c:v>4.8913043478261177E-3</c:v>
                      </c:pt>
                      <c:pt idx="25">
                        <c:v>7.0308274743103453E-3</c:v>
                      </c:pt>
                      <c:pt idx="26">
                        <c:v>-5.3705692803434116E-4</c:v>
                      </c:pt>
                      <c:pt idx="27">
                        <c:v>4.2987641053197816E-3</c:v>
                      </c:pt>
                      <c:pt idx="28">
                        <c:v>2.1401819154628445E-3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3A48-4F96-BD74-0A813FD2536A}"/>
                  </c:ext>
                </c:extLst>
              </c15:ser>
            </c15:filteredLineSeries>
            <c15:filteredLineSeries>
              <c15:ser>
                <c:idx val="16"/>
                <c:order val="1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'Q5 - Oil Impact'!$S$101</c15:sqref>
                        </c15:formulaRef>
                      </c:ext>
                    </c:extLst>
                    <c:strCache>
                      <c:ptCount val="1"/>
                      <c:pt idx="0">
                        <c:v>Footwear inflation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'Q5 - Oil Impact'!$B$102:$B$130</c15:sqref>
                        </c15:formulaRef>
                      </c:ext>
                    </c:extLst>
                    <c:numCache>
                      <c:formatCode>mmm/yyyy</c:formatCode>
                      <c:ptCount val="29"/>
                      <c:pt idx="0">
                        <c:v>44197</c:v>
                      </c:pt>
                      <c:pt idx="1">
                        <c:v>44228</c:v>
                      </c:pt>
                      <c:pt idx="2">
                        <c:v>44256</c:v>
                      </c:pt>
                      <c:pt idx="3">
                        <c:v>44287</c:v>
                      </c:pt>
                      <c:pt idx="4">
                        <c:v>44317</c:v>
                      </c:pt>
                      <c:pt idx="5">
                        <c:v>44348</c:v>
                      </c:pt>
                      <c:pt idx="6">
                        <c:v>44378</c:v>
                      </c:pt>
                      <c:pt idx="7">
                        <c:v>44409</c:v>
                      </c:pt>
                      <c:pt idx="8">
                        <c:v>44440</c:v>
                      </c:pt>
                      <c:pt idx="9">
                        <c:v>44470</c:v>
                      </c:pt>
                      <c:pt idx="10">
                        <c:v>44501</c:v>
                      </c:pt>
                      <c:pt idx="11">
                        <c:v>44531</c:v>
                      </c:pt>
                      <c:pt idx="12">
                        <c:v>44562</c:v>
                      </c:pt>
                      <c:pt idx="13">
                        <c:v>44593</c:v>
                      </c:pt>
                      <c:pt idx="14">
                        <c:v>44621</c:v>
                      </c:pt>
                      <c:pt idx="15">
                        <c:v>44652</c:v>
                      </c:pt>
                      <c:pt idx="16">
                        <c:v>44682</c:v>
                      </c:pt>
                      <c:pt idx="17">
                        <c:v>44713</c:v>
                      </c:pt>
                      <c:pt idx="18">
                        <c:v>44743</c:v>
                      </c:pt>
                      <c:pt idx="19">
                        <c:v>44774</c:v>
                      </c:pt>
                      <c:pt idx="20">
                        <c:v>44805</c:v>
                      </c:pt>
                      <c:pt idx="21">
                        <c:v>44835</c:v>
                      </c:pt>
                      <c:pt idx="22">
                        <c:v>44866</c:v>
                      </c:pt>
                      <c:pt idx="23">
                        <c:v>44896</c:v>
                      </c:pt>
                      <c:pt idx="24">
                        <c:v>44927</c:v>
                      </c:pt>
                      <c:pt idx="25">
                        <c:v>44958</c:v>
                      </c:pt>
                      <c:pt idx="26">
                        <c:v>44986</c:v>
                      </c:pt>
                      <c:pt idx="27">
                        <c:v>45017</c:v>
                      </c:pt>
                      <c:pt idx="28">
                        <c:v>45047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'Q5 - Oil Impact'!$S$102:$S$130</c15:sqref>
                        </c15:formulaRef>
                      </c:ext>
                    </c:extLst>
                    <c:numCache>
                      <c:formatCode>0.00%</c:formatCode>
                      <c:ptCount val="29"/>
                      <c:pt idx="0">
                        <c:v>4.8143053645116132E-3</c:v>
                      </c:pt>
                      <c:pt idx="1">
                        <c:v>8.8980150581794079E-3</c:v>
                      </c:pt>
                      <c:pt idx="2">
                        <c:v>3.3921302578018993E-3</c:v>
                      </c:pt>
                      <c:pt idx="3">
                        <c:v>4.0567951318458036E-3</c:v>
                      </c:pt>
                      <c:pt idx="4">
                        <c:v>2.4242424242424204E-2</c:v>
                      </c:pt>
                      <c:pt idx="5">
                        <c:v>-1.9723865877710909E-3</c:v>
                      </c:pt>
                      <c:pt idx="6">
                        <c:v>8.5638998682475813E-3</c:v>
                      </c:pt>
                      <c:pt idx="7">
                        <c:v>1.4369693011103966E-2</c:v>
                      </c:pt>
                      <c:pt idx="8">
                        <c:v>0</c:v>
                      </c:pt>
                      <c:pt idx="9">
                        <c:v>6.4391500321957498E-3</c:v>
                      </c:pt>
                      <c:pt idx="10">
                        <c:v>7.03774792066535E-3</c:v>
                      </c:pt>
                      <c:pt idx="11">
                        <c:v>8.2592121982209849E-3</c:v>
                      </c:pt>
                      <c:pt idx="12">
                        <c:v>1.2602394454946441E-2</c:v>
                      </c:pt>
                      <c:pt idx="13">
                        <c:v>1.0578718108276397E-2</c:v>
                      </c:pt>
                      <c:pt idx="14">
                        <c:v>1.354679802955658E-2</c:v>
                      </c:pt>
                      <c:pt idx="15">
                        <c:v>1.1543134872418018E-2</c:v>
                      </c:pt>
                      <c:pt idx="16">
                        <c:v>1.1411411411411446E-2</c:v>
                      </c:pt>
                      <c:pt idx="17">
                        <c:v>8.9073634204275536E-3</c:v>
                      </c:pt>
                      <c:pt idx="18">
                        <c:v>8.2401412595644822E-3</c:v>
                      </c:pt>
                      <c:pt idx="19">
                        <c:v>8.1727962638644316E-3</c:v>
                      </c:pt>
                      <c:pt idx="20">
                        <c:v>9.2646207295890154E-3</c:v>
                      </c:pt>
                      <c:pt idx="21">
                        <c:v>5.737234652897303E-3</c:v>
                      </c:pt>
                      <c:pt idx="22">
                        <c:v>5.1340559041641596E-3</c:v>
                      </c:pt>
                      <c:pt idx="23">
                        <c:v>4.5402951191828118E-3</c:v>
                      </c:pt>
                      <c:pt idx="24">
                        <c:v>3.3898305084745441E-3</c:v>
                      </c:pt>
                      <c:pt idx="25">
                        <c:v>6.1936936936936617E-3</c:v>
                      </c:pt>
                      <c:pt idx="26">
                        <c:v>0</c:v>
                      </c:pt>
                      <c:pt idx="27">
                        <c:v>2.7979854504756579E-3</c:v>
                      </c:pt>
                      <c:pt idx="28">
                        <c:v>2.7901785714285715E-3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3A48-4F96-BD74-0A813FD2536A}"/>
                  </c:ext>
                </c:extLst>
              </c15:ser>
            </c15:filteredLineSeries>
            <c15:filteredLineSeries>
              <c15:ser>
                <c:idx val="17"/>
                <c:order val="1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'Q5 - Oil Impact'!$T$101</c15:sqref>
                        </c15:formulaRef>
                      </c:ext>
                    </c:extLst>
                    <c:strCache>
                      <c:ptCount val="1"/>
                      <c:pt idx="0">
                        <c:v>Clothing and footwear inflation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'Q5 - Oil Impact'!$B$102:$B$130</c15:sqref>
                        </c15:formulaRef>
                      </c:ext>
                    </c:extLst>
                    <c:numCache>
                      <c:formatCode>mmm/yyyy</c:formatCode>
                      <c:ptCount val="29"/>
                      <c:pt idx="0">
                        <c:v>44197</c:v>
                      </c:pt>
                      <c:pt idx="1">
                        <c:v>44228</c:v>
                      </c:pt>
                      <c:pt idx="2">
                        <c:v>44256</c:v>
                      </c:pt>
                      <c:pt idx="3">
                        <c:v>44287</c:v>
                      </c:pt>
                      <c:pt idx="4">
                        <c:v>44317</c:v>
                      </c:pt>
                      <c:pt idx="5">
                        <c:v>44348</c:v>
                      </c:pt>
                      <c:pt idx="6">
                        <c:v>44378</c:v>
                      </c:pt>
                      <c:pt idx="7">
                        <c:v>44409</c:v>
                      </c:pt>
                      <c:pt idx="8">
                        <c:v>44440</c:v>
                      </c:pt>
                      <c:pt idx="9">
                        <c:v>44470</c:v>
                      </c:pt>
                      <c:pt idx="10">
                        <c:v>44501</c:v>
                      </c:pt>
                      <c:pt idx="11">
                        <c:v>44531</c:v>
                      </c:pt>
                      <c:pt idx="12">
                        <c:v>44562</c:v>
                      </c:pt>
                      <c:pt idx="13">
                        <c:v>44593</c:v>
                      </c:pt>
                      <c:pt idx="14">
                        <c:v>44621</c:v>
                      </c:pt>
                      <c:pt idx="15">
                        <c:v>44652</c:v>
                      </c:pt>
                      <c:pt idx="16">
                        <c:v>44682</c:v>
                      </c:pt>
                      <c:pt idx="17">
                        <c:v>44713</c:v>
                      </c:pt>
                      <c:pt idx="18">
                        <c:v>44743</c:v>
                      </c:pt>
                      <c:pt idx="19">
                        <c:v>44774</c:v>
                      </c:pt>
                      <c:pt idx="20">
                        <c:v>44805</c:v>
                      </c:pt>
                      <c:pt idx="21">
                        <c:v>44835</c:v>
                      </c:pt>
                      <c:pt idx="22">
                        <c:v>44866</c:v>
                      </c:pt>
                      <c:pt idx="23">
                        <c:v>44896</c:v>
                      </c:pt>
                      <c:pt idx="24">
                        <c:v>44927</c:v>
                      </c:pt>
                      <c:pt idx="25">
                        <c:v>44958</c:v>
                      </c:pt>
                      <c:pt idx="26">
                        <c:v>44986</c:v>
                      </c:pt>
                      <c:pt idx="27">
                        <c:v>45017</c:v>
                      </c:pt>
                      <c:pt idx="28">
                        <c:v>45047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'Q5 - Oil Impact'!$T$102:$T$130</c15:sqref>
                        </c15:formulaRef>
                      </c:ext>
                    </c:extLst>
                    <c:numCache>
                      <c:formatCode>0.00%</c:formatCode>
                      <c:ptCount val="29"/>
                      <c:pt idx="0">
                        <c:v>3.9062499999999631E-3</c:v>
                      </c:pt>
                      <c:pt idx="1">
                        <c:v>1.0376134889753716E-2</c:v>
                      </c:pt>
                      <c:pt idx="2">
                        <c:v>3.8510911424903356E-3</c:v>
                      </c:pt>
                      <c:pt idx="3">
                        <c:v>5.7544757033248439E-3</c:v>
                      </c:pt>
                      <c:pt idx="4">
                        <c:v>1.9707565162110578E-2</c:v>
                      </c:pt>
                      <c:pt idx="5">
                        <c:v>1.8703241895260782E-3</c:v>
                      </c:pt>
                      <c:pt idx="6">
                        <c:v>4.3559427504668144E-3</c:v>
                      </c:pt>
                      <c:pt idx="7">
                        <c:v>1.1152416356877217E-2</c:v>
                      </c:pt>
                      <c:pt idx="8">
                        <c:v>6.12745098039355E-4</c:v>
                      </c:pt>
                      <c:pt idx="9">
                        <c:v>6.1236987140232697E-3</c:v>
                      </c:pt>
                      <c:pt idx="10">
                        <c:v>9.1296409007912346E-3</c:v>
                      </c:pt>
                      <c:pt idx="11">
                        <c:v>7.2376357056694119E-3</c:v>
                      </c:pt>
                      <c:pt idx="12">
                        <c:v>8.9820359281437123E-3</c:v>
                      </c:pt>
                      <c:pt idx="13">
                        <c:v>6.5281899109791951E-3</c:v>
                      </c:pt>
                      <c:pt idx="14">
                        <c:v>8.8443396226415092E-3</c:v>
                      </c:pt>
                      <c:pt idx="15">
                        <c:v>9.9357101110462715E-3</c:v>
                      </c:pt>
                      <c:pt idx="16">
                        <c:v>1.0416666666666567E-2</c:v>
                      </c:pt>
                      <c:pt idx="17">
                        <c:v>8.0183276059565042E-3</c:v>
                      </c:pt>
                      <c:pt idx="18">
                        <c:v>7.3863636363637013E-3</c:v>
                      </c:pt>
                      <c:pt idx="19">
                        <c:v>6.7681895093061962E-3</c:v>
                      </c:pt>
                      <c:pt idx="20">
                        <c:v>7.8431372549019919E-3</c:v>
                      </c:pt>
                      <c:pt idx="21">
                        <c:v>6.1145080600333197E-3</c:v>
                      </c:pt>
                      <c:pt idx="22">
                        <c:v>6.0773480662983112E-3</c:v>
                      </c:pt>
                      <c:pt idx="23">
                        <c:v>4.9423393739703777E-3</c:v>
                      </c:pt>
                      <c:pt idx="24">
                        <c:v>4.3715846994536144E-3</c:v>
                      </c:pt>
                      <c:pt idx="25">
                        <c:v>7.0729053318823879E-3</c:v>
                      </c:pt>
                      <c:pt idx="26">
                        <c:v>0</c:v>
                      </c:pt>
                      <c:pt idx="27">
                        <c:v>3.2414910858994833E-3</c:v>
                      </c:pt>
                      <c:pt idx="28">
                        <c:v>2.6925148088314489E-3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3A48-4F96-BD74-0A813FD2536A}"/>
                  </c:ext>
                </c:extLst>
              </c15:ser>
            </c15:filteredLineSeries>
            <c15:filteredLineSeries>
              <c15:ser>
                <c:idx val="18"/>
                <c:order val="1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'Q5 - Oil Impact'!$U$101</c15:sqref>
                        </c15:formulaRef>
                      </c:ext>
                    </c:extLst>
                    <c:strCache>
                      <c:ptCount val="1"/>
                      <c:pt idx="0">
                        <c:v>Housing inflation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'Q5 - Oil Impact'!$B$102:$B$130</c15:sqref>
                        </c15:formulaRef>
                      </c:ext>
                    </c:extLst>
                    <c:numCache>
                      <c:formatCode>mmm/yyyy</c:formatCode>
                      <c:ptCount val="29"/>
                      <c:pt idx="0">
                        <c:v>44197</c:v>
                      </c:pt>
                      <c:pt idx="1">
                        <c:v>44228</c:v>
                      </c:pt>
                      <c:pt idx="2">
                        <c:v>44256</c:v>
                      </c:pt>
                      <c:pt idx="3">
                        <c:v>44287</c:v>
                      </c:pt>
                      <c:pt idx="4">
                        <c:v>44317</c:v>
                      </c:pt>
                      <c:pt idx="5">
                        <c:v>44348</c:v>
                      </c:pt>
                      <c:pt idx="6">
                        <c:v>44378</c:v>
                      </c:pt>
                      <c:pt idx="7">
                        <c:v>44409</c:v>
                      </c:pt>
                      <c:pt idx="8">
                        <c:v>44440</c:v>
                      </c:pt>
                      <c:pt idx="9">
                        <c:v>44470</c:v>
                      </c:pt>
                      <c:pt idx="10">
                        <c:v>44501</c:v>
                      </c:pt>
                      <c:pt idx="11">
                        <c:v>44531</c:v>
                      </c:pt>
                      <c:pt idx="12">
                        <c:v>44562</c:v>
                      </c:pt>
                      <c:pt idx="13">
                        <c:v>44593</c:v>
                      </c:pt>
                      <c:pt idx="14">
                        <c:v>44621</c:v>
                      </c:pt>
                      <c:pt idx="15">
                        <c:v>44652</c:v>
                      </c:pt>
                      <c:pt idx="16">
                        <c:v>44682</c:v>
                      </c:pt>
                      <c:pt idx="17">
                        <c:v>44713</c:v>
                      </c:pt>
                      <c:pt idx="18">
                        <c:v>44743</c:v>
                      </c:pt>
                      <c:pt idx="19">
                        <c:v>44774</c:v>
                      </c:pt>
                      <c:pt idx="20">
                        <c:v>44805</c:v>
                      </c:pt>
                      <c:pt idx="21">
                        <c:v>44835</c:v>
                      </c:pt>
                      <c:pt idx="22">
                        <c:v>44866</c:v>
                      </c:pt>
                      <c:pt idx="23">
                        <c:v>44896</c:v>
                      </c:pt>
                      <c:pt idx="24">
                        <c:v>44927</c:v>
                      </c:pt>
                      <c:pt idx="25">
                        <c:v>44958</c:v>
                      </c:pt>
                      <c:pt idx="26">
                        <c:v>44986</c:v>
                      </c:pt>
                      <c:pt idx="27">
                        <c:v>45017</c:v>
                      </c:pt>
                      <c:pt idx="28">
                        <c:v>45047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'Q5 - Oil Impact'!$U$102:$U$130</c15:sqref>
                        </c15:formulaRef>
                      </c:ext>
                    </c:extLst>
                    <c:numCache>
                      <c:formatCode>0.00%</c:formatCode>
                      <c:ptCount val="29"/>
                      <c:pt idx="0">
                        <c:v>-4.4191919191920266E-3</c:v>
                      </c:pt>
                      <c:pt idx="1">
                        <c:v>1.331642358909336E-2</c:v>
                      </c:pt>
                      <c:pt idx="2">
                        <c:v>6.2578222778469526E-4</c:v>
                      </c:pt>
                      <c:pt idx="3">
                        <c:v>9.3808630393996239E-3</c:v>
                      </c:pt>
                      <c:pt idx="4">
                        <c:v>1.2391573729862988E-3</c:v>
                      </c:pt>
                      <c:pt idx="5">
                        <c:v>-6.8069306930692722E-3</c:v>
                      </c:pt>
                      <c:pt idx="6">
                        <c:v>6.2305295950155761E-3</c:v>
                      </c:pt>
                      <c:pt idx="7">
                        <c:v>3.7151702786377356E-3</c:v>
                      </c:pt>
                      <c:pt idx="8">
                        <c:v>0</c:v>
                      </c:pt>
                      <c:pt idx="9">
                        <c:v>9.2535471930906849E-3</c:v>
                      </c:pt>
                      <c:pt idx="10">
                        <c:v>3.6674816625916523E-3</c:v>
                      </c:pt>
                      <c:pt idx="11">
                        <c:v>-4.8721071863579964E-3</c:v>
                      </c:pt>
                      <c:pt idx="12">
                        <c:v>6.7319461444308093E-3</c:v>
                      </c:pt>
                      <c:pt idx="13">
                        <c:v>6.0790273556231003E-3</c:v>
                      </c:pt>
                      <c:pt idx="14">
                        <c:v>-1.2084592145014418E-3</c:v>
                      </c:pt>
                      <c:pt idx="15">
                        <c:v>1.0284331518451231E-2</c:v>
                      </c:pt>
                      <c:pt idx="16">
                        <c:v>2.9940119760479044E-3</c:v>
                      </c:pt>
                      <c:pt idx="17">
                        <c:v>-4.1791044776118723E-3</c:v>
                      </c:pt>
                      <c:pt idx="18">
                        <c:v>5.9952038369304557E-3</c:v>
                      </c:pt>
                      <c:pt idx="19">
                        <c:v>7.1513706793801465E-3</c:v>
                      </c:pt>
                      <c:pt idx="20">
                        <c:v>2.9585798816568047E-3</c:v>
                      </c:pt>
                      <c:pt idx="21">
                        <c:v>1.0029498525073679E-2</c:v>
                      </c:pt>
                      <c:pt idx="22">
                        <c:v>3.5046728971963948E-3</c:v>
                      </c:pt>
                      <c:pt idx="23">
                        <c:v>-6.4027939464494921E-3</c:v>
                      </c:pt>
                      <c:pt idx="24">
                        <c:v>8.201523140011751E-3</c:v>
                      </c:pt>
                      <c:pt idx="25">
                        <c:v>8.1348053457292614E-3</c:v>
                      </c:pt>
                      <c:pt idx="26">
                        <c:v>0</c:v>
                      </c:pt>
                      <c:pt idx="27">
                        <c:v>9.7982708933716921E-3</c:v>
                      </c:pt>
                      <c:pt idx="28">
                        <c:v>2.2831050228310826E-3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3A48-4F96-BD74-0A813FD2536A}"/>
                  </c:ext>
                </c:extLst>
              </c15:ser>
            </c15:filteredLineSeries>
            <c15:filteredLineSeries>
              <c15:ser>
                <c:idx val="19"/>
                <c:order val="1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'Q5 - Oil Impact'!$V$101</c15:sqref>
                        </c15:formulaRef>
                      </c:ext>
                    </c:extLst>
                    <c:strCache>
                      <c:ptCount val="1"/>
                      <c:pt idx="0">
                        <c:v>Fuel and light inflation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'Q5 - Oil Impact'!$B$102:$B$130</c15:sqref>
                        </c15:formulaRef>
                      </c:ext>
                    </c:extLst>
                    <c:numCache>
                      <c:formatCode>mmm/yyyy</c:formatCode>
                      <c:ptCount val="29"/>
                      <c:pt idx="0">
                        <c:v>44197</c:v>
                      </c:pt>
                      <c:pt idx="1">
                        <c:v>44228</c:v>
                      </c:pt>
                      <c:pt idx="2">
                        <c:v>44256</c:v>
                      </c:pt>
                      <c:pt idx="3">
                        <c:v>44287</c:v>
                      </c:pt>
                      <c:pt idx="4">
                        <c:v>44317</c:v>
                      </c:pt>
                      <c:pt idx="5">
                        <c:v>44348</c:v>
                      </c:pt>
                      <c:pt idx="6">
                        <c:v>44378</c:v>
                      </c:pt>
                      <c:pt idx="7">
                        <c:v>44409</c:v>
                      </c:pt>
                      <c:pt idx="8">
                        <c:v>44440</c:v>
                      </c:pt>
                      <c:pt idx="9">
                        <c:v>44470</c:v>
                      </c:pt>
                      <c:pt idx="10">
                        <c:v>44501</c:v>
                      </c:pt>
                      <c:pt idx="11">
                        <c:v>44531</c:v>
                      </c:pt>
                      <c:pt idx="12">
                        <c:v>44562</c:v>
                      </c:pt>
                      <c:pt idx="13">
                        <c:v>44593</c:v>
                      </c:pt>
                      <c:pt idx="14">
                        <c:v>44621</c:v>
                      </c:pt>
                      <c:pt idx="15">
                        <c:v>44652</c:v>
                      </c:pt>
                      <c:pt idx="16">
                        <c:v>44682</c:v>
                      </c:pt>
                      <c:pt idx="17">
                        <c:v>44713</c:v>
                      </c:pt>
                      <c:pt idx="18">
                        <c:v>44743</c:v>
                      </c:pt>
                      <c:pt idx="19">
                        <c:v>44774</c:v>
                      </c:pt>
                      <c:pt idx="20">
                        <c:v>44805</c:v>
                      </c:pt>
                      <c:pt idx="21">
                        <c:v>44835</c:v>
                      </c:pt>
                      <c:pt idx="22">
                        <c:v>44866</c:v>
                      </c:pt>
                      <c:pt idx="23">
                        <c:v>44896</c:v>
                      </c:pt>
                      <c:pt idx="24">
                        <c:v>44927</c:v>
                      </c:pt>
                      <c:pt idx="25">
                        <c:v>44958</c:v>
                      </c:pt>
                      <c:pt idx="26">
                        <c:v>44986</c:v>
                      </c:pt>
                      <c:pt idx="27">
                        <c:v>45017</c:v>
                      </c:pt>
                      <c:pt idx="28">
                        <c:v>45047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'Q5 - Oil Impact'!$V$102:$V$130</c15:sqref>
                        </c15:formulaRef>
                      </c:ext>
                    </c:extLst>
                    <c:numCache>
                      <c:formatCode>0.00%</c:formatCode>
                      <c:ptCount val="29"/>
                      <c:pt idx="0">
                        <c:v>2.2821576763485556E-2</c:v>
                      </c:pt>
                      <c:pt idx="1">
                        <c:v>3.0425963488843813E-2</c:v>
                      </c:pt>
                      <c:pt idx="2">
                        <c:v>2.0341207349081326E-2</c:v>
                      </c:pt>
                      <c:pt idx="3">
                        <c:v>6.4308681672022071E-4</c:v>
                      </c:pt>
                      <c:pt idx="4">
                        <c:v>2.4421593830334265E-2</c:v>
                      </c:pt>
                      <c:pt idx="5">
                        <c:v>2.5094102885822186E-3</c:v>
                      </c:pt>
                      <c:pt idx="6">
                        <c:v>5.6320400500624356E-3</c:v>
                      </c:pt>
                      <c:pt idx="7">
                        <c:v>1.1823273179838244E-2</c:v>
                      </c:pt>
                      <c:pt idx="8">
                        <c:v>0</c:v>
                      </c:pt>
                      <c:pt idx="9">
                        <c:v>9.8400984009839754E-3</c:v>
                      </c:pt>
                      <c:pt idx="10">
                        <c:v>-1.8270401948841837E-3</c:v>
                      </c:pt>
                      <c:pt idx="11">
                        <c:v>1.2202562538132314E-3</c:v>
                      </c:pt>
                      <c:pt idx="12">
                        <c:v>6.0938452163311586E-4</c:v>
                      </c:pt>
                      <c:pt idx="13">
                        <c:v>9.1352009744214372E-3</c:v>
                      </c:pt>
                      <c:pt idx="14">
                        <c:v>9.0525045262522634E-3</c:v>
                      </c:pt>
                      <c:pt idx="15">
                        <c:v>2.9904306220095697E-2</c:v>
                      </c:pt>
                      <c:pt idx="16">
                        <c:v>1.3937282229965191E-2</c:v>
                      </c:pt>
                      <c:pt idx="17">
                        <c:v>8.0183276059565042E-3</c:v>
                      </c:pt>
                      <c:pt idx="18">
                        <c:v>2.0454545454545423E-2</c:v>
                      </c:pt>
                      <c:pt idx="19">
                        <c:v>-4.4543429844097048E-3</c:v>
                      </c:pt>
                      <c:pt idx="20">
                        <c:v>3.9149888143176093E-3</c:v>
                      </c:pt>
                      <c:pt idx="21">
                        <c:v>5.5710306406685237E-3</c:v>
                      </c:pt>
                      <c:pt idx="22">
                        <c:v>4.4321329639889825E-3</c:v>
                      </c:pt>
                      <c:pt idx="23">
                        <c:v>3.8610038610037982E-3</c:v>
                      </c:pt>
                      <c:pt idx="24">
                        <c:v>0</c:v>
                      </c:pt>
                      <c:pt idx="25">
                        <c:v>5.4945054945051823E-4</c:v>
                      </c:pt>
                      <c:pt idx="26">
                        <c:v>-1.0982976386600144E-3</c:v>
                      </c:pt>
                      <c:pt idx="27">
                        <c:v>-1.0995052226499013E-3</c:v>
                      </c:pt>
                      <c:pt idx="28">
                        <c:v>6.0539350577876877E-3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3A48-4F96-BD74-0A813FD2536A}"/>
                  </c:ext>
                </c:extLst>
              </c15:ser>
            </c15:filteredLineSeries>
            <c15:filteredLineSeries>
              <c15:ser>
                <c:idx val="20"/>
                <c:order val="2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'Q5 - Oil Impact'!$W$101</c15:sqref>
                        </c15:formulaRef>
                      </c:ext>
                    </c:extLst>
                    <c:strCache>
                      <c:ptCount val="1"/>
                      <c:pt idx="0">
                        <c:v>Household goods and services inflation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'Q5 - Oil Impact'!$B$102:$B$130</c15:sqref>
                        </c15:formulaRef>
                      </c:ext>
                    </c:extLst>
                    <c:numCache>
                      <c:formatCode>mmm/yyyy</c:formatCode>
                      <c:ptCount val="29"/>
                      <c:pt idx="0">
                        <c:v>44197</c:v>
                      </c:pt>
                      <c:pt idx="1">
                        <c:v>44228</c:v>
                      </c:pt>
                      <c:pt idx="2">
                        <c:v>44256</c:v>
                      </c:pt>
                      <c:pt idx="3">
                        <c:v>44287</c:v>
                      </c:pt>
                      <c:pt idx="4">
                        <c:v>44317</c:v>
                      </c:pt>
                      <c:pt idx="5">
                        <c:v>44348</c:v>
                      </c:pt>
                      <c:pt idx="6">
                        <c:v>44378</c:v>
                      </c:pt>
                      <c:pt idx="7">
                        <c:v>44409</c:v>
                      </c:pt>
                      <c:pt idx="8">
                        <c:v>44440</c:v>
                      </c:pt>
                      <c:pt idx="9">
                        <c:v>44470</c:v>
                      </c:pt>
                      <c:pt idx="10">
                        <c:v>44501</c:v>
                      </c:pt>
                      <c:pt idx="11">
                        <c:v>44531</c:v>
                      </c:pt>
                      <c:pt idx="12">
                        <c:v>44562</c:v>
                      </c:pt>
                      <c:pt idx="13">
                        <c:v>44593</c:v>
                      </c:pt>
                      <c:pt idx="14">
                        <c:v>44621</c:v>
                      </c:pt>
                      <c:pt idx="15">
                        <c:v>44652</c:v>
                      </c:pt>
                      <c:pt idx="16">
                        <c:v>44682</c:v>
                      </c:pt>
                      <c:pt idx="17">
                        <c:v>44713</c:v>
                      </c:pt>
                      <c:pt idx="18">
                        <c:v>44743</c:v>
                      </c:pt>
                      <c:pt idx="19">
                        <c:v>44774</c:v>
                      </c:pt>
                      <c:pt idx="20">
                        <c:v>44805</c:v>
                      </c:pt>
                      <c:pt idx="21">
                        <c:v>44835</c:v>
                      </c:pt>
                      <c:pt idx="22">
                        <c:v>44866</c:v>
                      </c:pt>
                      <c:pt idx="23">
                        <c:v>44896</c:v>
                      </c:pt>
                      <c:pt idx="24">
                        <c:v>44927</c:v>
                      </c:pt>
                      <c:pt idx="25">
                        <c:v>44958</c:v>
                      </c:pt>
                      <c:pt idx="26">
                        <c:v>44986</c:v>
                      </c:pt>
                      <c:pt idx="27">
                        <c:v>45017</c:v>
                      </c:pt>
                      <c:pt idx="28">
                        <c:v>45047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'Q5 - Oil Impact'!$W$102:$W$130</c15:sqref>
                        </c15:formulaRef>
                      </c:ext>
                    </c:extLst>
                    <c:numCache>
                      <c:formatCode>0.00%</c:formatCode>
                      <c:ptCount val="29"/>
                      <c:pt idx="0">
                        <c:v>2.0040080160321403E-3</c:v>
                      </c:pt>
                      <c:pt idx="1">
                        <c:v>6.0000000000000383E-3</c:v>
                      </c:pt>
                      <c:pt idx="2">
                        <c:v>1.9880715705764278E-3</c:v>
                      </c:pt>
                      <c:pt idx="3">
                        <c:v>3.968253968254119E-3</c:v>
                      </c:pt>
                      <c:pt idx="4">
                        <c:v>1.9104084321475475E-2</c:v>
                      </c:pt>
                      <c:pt idx="5">
                        <c:v>6.4641241111844047E-4</c:v>
                      </c:pt>
                      <c:pt idx="6">
                        <c:v>6.4599483204134363E-3</c:v>
                      </c:pt>
                      <c:pt idx="7">
                        <c:v>1.0911424903722648E-2</c:v>
                      </c:pt>
                      <c:pt idx="8">
                        <c:v>0</c:v>
                      </c:pt>
                      <c:pt idx="9">
                        <c:v>5.7142857142857507E-3</c:v>
                      </c:pt>
                      <c:pt idx="10">
                        <c:v>5.6818181818182175E-3</c:v>
                      </c:pt>
                      <c:pt idx="11">
                        <c:v>5.6497175141241507E-3</c:v>
                      </c:pt>
                      <c:pt idx="12">
                        <c:v>5.6179775280899239E-3</c:v>
                      </c:pt>
                      <c:pt idx="13">
                        <c:v>4.3451272501552896E-3</c:v>
                      </c:pt>
                      <c:pt idx="14">
                        <c:v>6.180469715698393E-3</c:v>
                      </c:pt>
                      <c:pt idx="15">
                        <c:v>7.371007371007301E-3</c:v>
                      </c:pt>
                      <c:pt idx="16">
                        <c:v>7.3170731707316384E-3</c:v>
                      </c:pt>
                      <c:pt idx="17">
                        <c:v>7.2639225181599099E-3</c:v>
                      </c:pt>
                      <c:pt idx="18">
                        <c:v>6.0096153846153841E-3</c:v>
                      </c:pt>
                      <c:pt idx="19">
                        <c:v>6.571087216248472E-3</c:v>
                      </c:pt>
                      <c:pt idx="20">
                        <c:v>5.9347181008902079E-3</c:v>
                      </c:pt>
                      <c:pt idx="21">
                        <c:v>5.30973451327437E-3</c:v>
                      </c:pt>
                      <c:pt idx="22">
                        <c:v>5.8685446009389668E-3</c:v>
                      </c:pt>
                      <c:pt idx="23">
                        <c:v>4.0840140023336562E-3</c:v>
                      </c:pt>
                      <c:pt idx="24">
                        <c:v>4.648460197559625E-3</c:v>
                      </c:pt>
                      <c:pt idx="25">
                        <c:v>7.5187969924811037E-3</c:v>
                      </c:pt>
                      <c:pt idx="26">
                        <c:v>0</c:v>
                      </c:pt>
                      <c:pt idx="27">
                        <c:v>2.2962112514351646E-3</c:v>
                      </c:pt>
                      <c:pt idx="28">
                        <c:v>3.4364261168384554E-3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3A48-4F96-BD74-0A813FD2536A}"/>
                  </c:ext>
                </c:extLst>
              </c15:ser>
            </c15:filteredLineSeries>
            <c15:filteredLineSeries>
              <c15:ser>
                <c:idx val="21"/>
                <c:order val="2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'Q5 - Oil Impact'!$X$101</c15:sqref>
                        </c15:formulaRef>
                      </c:ext>
                    </c:extLst>
                    <c:strCache>
                      <c:ptCount val="1"/>
                      <c:pt idx="0">
                        <c:v>Health inflation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'Q5 - Oil Impact'!$B$102:$B$130</c15:sqref>
                        </c15:formulaRef>
                      </c:ext>
                    </c:extLst>
                    <c:numCache>
                      <c:formatCode>mmm/yyyy</c:formatCode>
                      <c:ptCount val="29"/>
                      <c:pt idx="0">
                        <c:v>44197</c:v>
                      </c:pt>
                      <c:pt idx="1">
                        <c:v>44228</c:v>
                      </c:pt>
                      <c:pt idx="2">
                        <c:v>44256</c:v>
                      </c:pt>
                      <c:pt idx="3">
                        <c:v>44287</c:v>
                      </c:pt>
                      <c:pt idx="4">
                        <c:v>44317</c:v>
                      </c:pt>
                      <c:pt idx="5">
                        <c:v>44348</c:v>
                      </c:pt>
                      <c:pt idx="6">
                        <c:v>44378</c:v>
                      </c:pt>
                      <c:pt idx="7">
                        <c:v>44409</c:v>
                      </c:pt>
                      <c:pt idx="8">
                        <c:v>44440</c:v>
                      </c:pt>
                      <c:pt idx="9">
                        <c:v>44470</c:v>
                      </c:pt>
                      <c:pt idx="10">
                        <c:v>44501</c:v>
                      </c:pt>
                      <c:pt idx="11">
                        <c:v>44531</c:v>
                      </c:pt>
                      <c:pt idx="12">
                        <c:v>44562</c:v>
                      </c:pt>
                      <c:pt idx="13">
                        <c:v>44593</c:v>
                      </c:pt>
                      <c:pt idx="14">
                        <c:v>44621</c:v>
                      </c:pt>
                      <c:pt idx="15">
                        <c:v>44652</c:v>
                      </c:pt>
                      <c:pt idx="16">
                        <c:v>44682</c:v>
                      </c:pt>
                      <c:pt idx="17">
                        <c:v>44713</c:v>
                      </c:pt>
                      <c:pt idx="18">
                        <c:v>44743</c:v>
                      </c:pt>
                      <c:pt idx="19">
                        <c:v>44774</c:v>
                      </c:pt>
                      <c:pt idx="20">
                        <c:v>44805</c:v>
                      </c:pt>
                      <c:pt idx="21">
                        <c:v>44835</c:v>
                      </c:pt>
                      <c:pt idx="22">
                        <c:v>44866</c:v>
                      </c:pt>
                      <c:pt idx="23">
                        <c:v>44896</c:v>
                      </c:pt>
                      <c:pt idx="24">
                        <c:v>44927</c:v>
                      </c:pt>
                      <c:pt idx="25">
                        <c:v>44958</c:v>
                      </c:pt>
                      <c:pt idx="26">
                        <c:v>44986</c:v>
                      </c:pt>
                      <c:pt idx="27">
                        <c:v>45017</c:v>
                      </c:pt>
                      <c:pt idx="28">
                        <c:v>45047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'Q5 - Oil Impact'!$X$102:$X$130</c15:sqref>
                        </c15:formulaRef>
                      </c:ext>
                    </c:extLst>
                    <c:numCache>
                      <c:formatCode>0.00%</c:formatCode>
                      <c:ptCount val="29"/>
                      <c:pt idx="0">
                        <c:v>6.3171193935565376E-3</c:v>
                      </c:pt>
                      <c:pt idx="1">
                        <c:v>1.2554927809165096E-2</c:v>
                      </c:pt>
                      <c:pt idx="2">
                        <c:v>2.4798512089273233E-3</c:v>
                      </c:pt>
                      <c:pt idx="3">
                        <c:v>3.7105751391467087E-3</c:v>
                      </c:pt>
                      <c:pt idx="4">
                        <c:v>2.1565003080714726E-2</c:v>
                      </c:pt>
                      <c:pt idx="5">
                        <c:v>3.0156815440289505E-3</c:v>
                      </c:pt>
                      <c:pt idx="6">
                        <c:v>4.2092603728201361E-3</c:v>
                      </c:pt>
                      <c:pt idx="7">
                        <c:v>8.3832335329341659E-3</c:v>
                      </c:pt>
                      <c:pt idx="8">
                        <c:v>0</c:v>
                      </c:pt>
                      <c:pt idx="9">
                        <c:v>4.1567695961994573E-3</c:v>
                      </c:pt>
                      <c:pt idx="10">
                        <c:v>4.730928444707341E-3</c:v>
                      </c:pt>
                      <c:pt idx="11">
                        <c:v>4.1200706297821578E-3</c:v>
                      </c:pt>
                      <c:pt idx="12">
                        <c:v>4.6893317702228097E-3</c:v>
                      </c:pt>
                      <c:pt idx="13">
                        <c:v>4.6674445740955833E-3</c:v>
                      </c:pt>
                      <c:pt idx="14">
                        <c:v>4.6457607433217848E-3</c:v>
                      </c:pt>
                      <c:pt idx="15">
                        <c:v>5.7803468208092483E-3</c:v>
                      </c:pt>
                      <c:pt idx="16">
                        <c:v>4.5977011494253523E-3</c:v>
                      </c:pt>
                      <c:pt idx="17">
                        <c:v>3.4324942791761686E-3</c:v>
                      </c:pt>
                      <c:pt idx="18">
                        <c:v>3.9908779931584299E-3</c:v>
                      </c:pt>
                      <c:pt idx="19">
                        <c:v>3.9750141964793699E-3</c:v>
                      </c:pt>
                      <c:pt idx="20">
                        <c:v>5.6561085972850677E-3</c:v>
                      </c:pt>
                      <c:pt idx="21">
                        <c:v>5.0618672665915477E-3</c:v>
                      </c:pt>
                      <c:pt idx="22">
                        <c:v>6.1555679910465745E-3</c:v>
                      </c:pt>
                      <c:pt idx="23">
                        <c:v>7.2302558398219295E-3</c:v>
                      </c:pt>
                      <c:pt idx="24">
                        <c:v>6.6261733848703317E-3</c:v>
                      </c:pt>
                      <c:pt idx="25">
                        <c:v>1.1519473395501889E-2</c:v>
                      </c:pt>
                      <c:pt idx="26">
                        <c:v>0</c:v>
                      </c:pt>
                      <c:pt idx="27">
                        <c:v>3.2537960954446546E-3</c:v>
                      </c:pt>
                      <c:pt idx="28">
                        <c:v>3.7837837837837222E-3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3A48-4F96-BD74-0A813FD2536A}"/>
                  </c:ext>
                </c:extLst>
              </c15:ser>
            </c15:filteredLineSeries>
            <c15:filteredLineSeries>
              <c15:ser>
                <c:idx val="22"/>
                <c:order val="2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'Q5 - Oil Impact'!$Y$101</c15:sqref>
                        </c15:formulaRef>
                      </c:ext>
                    </c:extLst>
                    <c:strCache>
                      <c:ptCount val="1"/>
                      <c:pt idx="0">
                        <c:v>Transport and communication inflation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'Q5 - Oil Impact'!$B$102:$B$130</c15:sqref>
                        </c15:formulaRef>
                      </c:ext>
                    </c:extLst>
                    <c:numCache>
                      <c:formatCode>mmm/yyyy</c:formatCode>
                      <c:ptCount val="29"/>
                      <c:pt idx="0">
                        <c:v>44197</c:v>
                      </c:pt>
                      <c:pt idx="1">
                        <c:v>44228</c:v>
                      </c:pt>
                      <c:pt idx="2">
                        <c:v>44256</c:v>
                      </c:pt>
                      <c:pt idx="3">
                        <c:v>44287</c:v>
                      </c:pt>
                      <c:pt idx="4">
                        <c:v>44317</c:v>
                      </c:pt>
                      <c:pt idx="5">
                        <c:v>44348</c:v>
                      </c:pt>
                      <c:pt idx="6">
                        <c:v>44378</c:v>
                      </c:pt>
                      <c:pt idx="7">
                        <c:v>44409</c:v>
                      </c:pt>
                      <c:pt idx="8">
                        <c:v>44440</c:v>
                      </c:pt>
                      <c:pt idx="9">
                        <c:v>44470</c:v>
                      </c:pt>
                      <c:pt idx="10">
                        <c:v>44501</c:v>
                      </c:pt>
                      <c:pt idx="11">
                        <c:v>44531</c:v>
                      </c:pt>
                      <c:pt idx="12">
                        <c:v>44562</c:v>
                      </c:pt>
                      <c:pt idx="13">
                        <c:v>44593</c:v>
                      </c:pt>
                      <c:pt idx="14">
                        <c:v>44621</c:v>
                      </c:pt>
                      <c:pt idx="15">
                        <c:v>44652</c:v>
                      </c:pt>
                      <c:pt idx="16">
                        <c:v>44682</c:v>
                      </c:pt>
                      <c:pt idx="17">
                        <c:v>44713</c:v>
                      </c:pt>
                      <c:pt idx="18">
                        <c:v>44743</c:v>
                      </c:pt>
                      <c:pt idx="19">
                        <c:v>44774</c:v>
                      </c:pt>
                      <c:pt idx="20">
                        <c:v>44805</c:v>
                      </c:pt>
                      <c:pt idx="21">
                        <c:v>44835</c:v>
                      </c:pt>
                      <c:pt idx="22">
                        <c:v>44866</c:v>
                      </c:pt>
                      <c:pt idx="23">
                        <c:v>44896</c:v>
                      </c:pt>
                      <c:pt idx="24">
                        <c:v>44927</c:v>
                      </c:pt>
                      <c:pt idx="25">
                        <c:v>44958</c:v>
                      </c:pt>
                      <c:pt idx="26">
                        <c:v>44986</c:v>
                      </c:pt>
                      <c:pt idx="27">
                        <c:v>45017</c:v>
                      </c:pt>
                      <c:pt idx="28">
                        <c:v>45047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'Q5 - Oil Impact'!$Y$102:$Y$130</c15:sqref>
                        </c15:formulaRef>
                      </c:ext>
                    </c:extLst>
                    <c:numCache>
                      <c:formatCode>0.00%</c:formatCode>
                      <c:ptCount val="29"/>
                      <c:pt idx="0">
                        <c:v>8.5287846481877545E-3</c:v>
                      </c:pt>
                      <c:pt idx="1">
                        <c:v>2.2551092318534097E-2</c:v>
                      </c:pt>
                      <c:pt idx="2">
                        <c:v>7.5809786354238068E-3</c:v>
                      </c:pt>
                      <c:pt idx="3">
                        <c:v>2.7359781121751416E-3</c:v>
                      </c:pt>
                      <c:pt idx="4">
                        <c:v>1.568894952251031E-2</c:v>
                      </c:pt>
                      <c:pt idx="5">
                        <c:v>1.2088650100738636E-2</c:v>
                      </c:pt>
                      <c:pt idx="6">
                        <c:v>1.5925680159256841E-2</c:v>
                      </c:pt>
                      <c:pt idx="7">
                        <c:v>5.8785107772697954E-3</c:v>
                      </c:pt>
                      <c:pt idx="8">
                        <c:v>0</c:v>
                      </c:pt>
                      <c:pt idx="9">
                        <c:v>1.1038961038960965E-2</c:v>
                      </c:pt>
                      <c:pt idx="10">
                        <c:v>-5.7803468208091026E-3</c:v>
                      </c:pt>
                      <c:pt idx="11">
                        <c:v>5.8139534883719455E-3</c:v>
                      </c:pt>
                      <c:pt idx="12">
                        <c:v>5.1380860629416276E-3</c:v>
                      </c:pt>
                      <c:pt idx="13">
                        <c:v>2.5559105431310269E-3</c:v>
                      </c:pt>
                      <c:pt idx="14">
                        <c:v>6.3734862970044612E-3</c:v>
                      </c:pt>
                      <c:pt idx="15">
                        <c:v>2.9765674477517344E-2</c:v>
                      </c:pt>
                      <c:pt idx="16">
                        <c:v>2.4600246002460377E-3</c:v>
                      </c:pt>
                      <c:pt idx="17">
                        <c:v>-1.1656441717791446E-2</c:v>
                      </c:pt>
                      <c:pt idx="18">
                        <c:v>3.1036623215394167E-3</c:v>
                      </c:pt>
                      <c:pt idx="19">
                        <c:v>1.8564356435644268E-3</c:v>
                      </c:pt>
                      <c:pt idx="20">
                        <c:v>2.470660901791264E-3</c:v>
                      </c:pt>
                      <c:pt idx="21">
                        <c:v>3.6968576709796321E-3</c:v>
                      </c:pt>
                      <c:pt idx="22">
                        <c:v>6.1387354205030267E-4</c:v>
                      </c:pt>
                      <c:pt idx="23">
                        <c:v>2.4539877300613845E-3</c:v>
                      </c:pt>
                      <c:pt idx="24">
                        <c:v>1.2239902080782657E-3</c:v>
                      </c:pt>
                      <c:pt idx="25">
                        <c:v>3.6674816625916523E-3</c:v>
                      </c:pt>
                      <c:pt idx="26">
                        <c:v>0</c:v>
                      </c:pt>
                      <c:pt idx="27">
                        <c:v>1.8270401948843567E-3</c:v>
                      </c:pt>
                      <c:pt idx="28">
                        <c:v>1.8237082066869992E-3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3A48-4F96-BD74-0A813FD2536A}"/>
                  </c:ext>
                </c:extLst>
              </c15:ser>
            </c15:filteredLineSeries>
            <c15:filteredLineSeries>
              <c15:ser>
                <c:idx val="23"/>
                <c:order val="2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'Q5 - Oil Impact'!$Z$101</c15:sqref>
                        </c15:formulaRef>
                      </c:ext>
                    </c:extLst>
                    <c:strCache>
                      <c:ptCount val="1"/>
                      <c:pt idx="0">
                        <c:v>Recreation and amusement inflation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'Q5 - Oil Impact'!$B$102:$B$130</c15:sqref>
                        </c15:formulaRef>
                      </c:ext>
                    </c:extLst>
                    <c:numCache>
                      <c:formatCode>mmm/yyyy</c:formatCode>
                      <c:ptCount val="29"/>
                      <c:pt idx="0">
                        <c:v>44197</c:v>
                      </c:pt>
                      <c:pt idx="1">
                        <c:v>44228</c:v>
                      </c:pt>
                      <c:pt idx="2">
                        <c:v>44256</c:v>
                      </c:pt>
                      <c:pt idx="3">
                        <c:v>44287</c:v>
                      </c:pt>
                      <c:pt idx="4">
                        <c:v>44317</c:v>
                      </c:pt>
                      <c:pt idx="5">
                        <c:v>44348</c:v>
                      </c:pt>
                      <c:pt idx="6">
                        <c:v>44378</c:v>
                      </c:pt>
                      <c:pt idx="7">
                        <c:v>44409</c:v>
                      </c:pt>
                      <c:pt idx="8">
                        <c:v>44440</c:v>
                      </c:pt>
                      <c:pt idx="9">
                        <c:v>44470</c:v>
                      </c:pt>
                      <c:pt idx="10">
                        <c:v>44501</c:v>
                      </c:pt>
                      <c:pt idx="11">
                        <c:v>44531</c:v>
                      </c:pt>
                      <c:pt idx="12">
                        <c:v>44562</c:v>
                      </c:pt>
                      <c:pt idx="13">
                        <c:v>44593</c:v>
                      </c:pt>
                      <c:pt idx="14">
                        <c:v>44621</c:v>
                      </c:pt>
                      <c:pt idx="15">
                        <c:v>44652</c:v>
                      </c:pt>
                      <c:pt idx="16">
                        <c:v>44682</c:v>
                      </c:pt>
                      <c:pt idx="17">
                        <c:v>44713</c:v>
                      </c:pt>
                      <c:pt idx="18">
                        <c:v>44743</c:v>
                      </c:pt>
                      <c:pt idx="19">
                        <c:v>44774</c:v>
                      </c:pt>
                      <c:pt idx="20">
                        <c:v>44805</c:v>
                      </c:pt>
                      <c:pt idx="21">
                        <c:v>44835</c:v>
                      </c:pt>
                      <c:pt idx="22">
                        <c:v>44866</c:v>
                      </c:pt>
                      <c:pt idx="23">
                        <c:v>44896</c:v>
                      </c:pt>
                      <c:pt idx="24">
                        <c:v>44927</c:v>
                      </c:pt>
                      <c:pt idx="25">
                        <c:v>44958</c:v>
                      </c:pt>
                      <c:pt idx="26">
                        <c:v>44986</c:v>
                      </c:pt>
                      <c:pt idx="27">
                        <c:v>45017</c:v>
                      </c:pt>
                      <c:pt idx="28">
                        <c:v>45047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'Q5 - Oil Impact'!$Z$102:$Z$130</c15:sqref>
                        </c15:formulaRef>
                      </c:ext>
                    </c:extLst>
                    <c:numCache>
                      <c:formatCode>0.00%</c:formatCode>
                      <c:ptCount val="29"/>
                      <c:pt idx="0">
                        <c:v>7.4074074074073695E-3</c:v>
                      </c:pt>
                      <c:pt idx="1">
                        <c:v>1.2700534759358327E-2</c:v>
                      </c:pt>
                      <c:pt idx="2">
                        <c:v>7.2607260726072235E-3</c:v>
                      </c:pt>
                      <c:pt idx="3">
                        <c:v>3.9318479685451794E-3</c:v>
                      </c:pt>
                      <c:pt idx="4">
                        <c:v>1.6971279373368297E-2</c:v>
                      </c:pt>
                      <c:pt idx="5">
                        <c:v>-5.7766367137355949E-3</c:v>
                      </c:pt>
                      <c:pt idx="6">
                        <c:v>2.5823111684958404E-3</c:v>
                      </c:pt>
                      <c:pt idx="7">
                        <c:v>1.4810045074050114E-2</c:v>
                      </c:pt>
                      <c:pt idx="8">
                        <c:v>6.3451776649742588E-4</c:v>
                      </c:pt>
                      <c:pt idx="9">
                        <c:v>5.7070386810399859E-3</c:v>
                      </c:pt>
                      <c:pt idx="10">
                        <c:v>7.5662042875158705E-3</c:v>
                      </c:pt>
                      <c:pt idx="11">
                        <c:v>5.0062578222777399E-3</c:v>
                      </c:pt>
                      <c:pt idx="12">
                        <c:v>3.735990037359865E-3</c:v>
                      </c:pt>
                      <c:pt idx="13">
                        <c:v>5.5831265508685217E-3</c:v>
                      </c:pt>
                      <c:pt idx="14">
                        <c:v>7.4028377544726534E-3</c:v>
                      </c:pt>
                      <c:pt idx="15">
                        <c:v>6.7360685854255618E-3</c:v>
                      </c:pt>
                      <c:pt idx="16">
                        <c:v>4.257907542579006E-3</c:v>
                      </c:pt>
                      <c:pt idx="17">
                        <c:v>4.2398546335555244E-3</c:v>
                      </c:pt>
                      <c:pt idx="18">
                        <c:v>3.0156815440289505E-3</c:v>
                      </c:pt>
                      <c:pt idx="19">
                        <c:v>3.6079374624172836E-3</c:v>
                      </c:pt>
                      <c:pt idx="20">
                        <c:v>4.1941282204912443E-3</c:v>
                      </c:pt>
                      <c:pt idx="21">
                        <c:v>3.579952267303069E-3</c:v>
                      </c:pt>
                      <c:pt idx="22">
                        <c:v>1.7835909631391878E-3</c:v>
                      </c:pt>
                      <c:pt idx="23">
                        <c:v>2.3738872403561168E-3</c:v>
                      </c:pt>
                      <c:pt idx="24">
                        <c:v>3.5523978685612452E-3</c:v>
                      </c:pt>
                      <c:pt idx="25">
                        <c:v>4.7197640117994768E-3</c:v>
                      </c:pt>
                      <c:pt idx="26">
                        <c:v>0</c:v>
                      </c:pt>
                      <c:pt idx="27">
                        <c:v>2.3487962419258793E-3</c:v>
                      </c:pt>
                      <c:pt idx="28">
                        <c:v>2.9291154071470417E-3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3A48-4F96-BD74-0A813FD2536A}"/>
                  </c:ext>
                </c:extLst>
              </c15:ser>
            </c15:filteredLineSeries>
            <c15:filteredLineSeries>
              <c15:ser>
                <c:idx val="24"/>
                <c:order val="2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'Q5 - Oil Impact'!$AA$101</c15:sqref>
                        </c15:formulaRef>
                      </c:ext>
                    </c:extLst>
                    <c:strCache>
                      <c:ptCount val="1"/>
                      <c:pt idx="0">
                        <c:v>Education inflation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'Q5 - Oil Impact'!$B$102:$B$130</c15:sqref>
                        </c15:formulaRef>
                      </c:ext>
                    </c:extLst>
                    <c:numCache>
                      <c:formatCode>mmm/yyyy</c:formatCode>
                      <c:ptCount val="29"/>
                      <c:pt idx="0">
                        <c:v>44197</c:v>
                      </c:pt>
                      <c:pt idx="1">
                        <c:v>44228</c:v>
                      </c:pt>
                      <c:pt idx="2">
                        <c:v>44256</c:v>
                      </c:pt>
                      <c:pt idx="3">
                        <c:v>44287</c:v>
                      </c:pt>
                      <c:pt idx="4">
                        <c:v>44317</c:v>
                      </c:pt>
                      <c:pt idx="5">
                        <c:v>44348</c:v>
                      </c:pt>
                      <c:pt idx="6">
                        <c:v>44378</c:v>
                      </c:pt>
                      <c:pt idx="7">
                        <c:v>44409</c:v>
                      </c:pt>
                      <c:pt idx="8">
                        <c:v>44440</c:v>
                      </c:pt>
                      <c:pt idx="9">
                        <c:v>44470</c:v>
                      </c:pt>
                      <c:pt idx="10">
                        <c:v>44501</c:v>
                      </c:pt>
                      <c:pt idx="11">
                        <c:v>44531</c:v>
                      </c:pt>
                      <c:pt idx="12">
                        <c:v>44562</c:v>
                      </c:pt>
                      <c:pt idx="13">
                        <c:v>44593</c:v>
                      </c:pt>
                      <c:pt idx="14">
                        <c:v>44621</c:v>
                      </c:pt>
                      <c:pt idx="15">
                        <c:v>44652</c:v>
                      </c:pt>
                      <c:pt idx="16">
                        <c:v>44682</c:v>
                      </c:pt>
                      <c:pt idx="17">
                        <c:v>44713</c:v>
                      </c:pt>
                      <c:pt idx="18">
                        <c:v>44743</c:v>
                      </c:pt>
                      <c:pt idx="19">
                        <c:v>44774</c:v>
                      </c:pt>
                      <c:pt idx="20">
                        <c:v>44805</c:v>
                      </c:pt>
                      <c:pt idx="21">
                        <c:v>44835</c:v>
                      </c:pt>
                      <c:pt idx="22">
                        <c:v>44866</c:v>
                      </c:pt>
                      <c:pt idx="23">
                        <c:v>44896</c:v>
                      </c:pt>
                      <c:pt idx="24">
                        <c:v>44927</c:v>
                      </c:pt>
                      <c:pt idx="25">
                        <c:v>44958</c:v>
                      </c:pt>
                      <c:pt idx="26">
                        <c:v>44986</c:v>
                      </c:pt>
                      <c:pt idx="27">
                        <c:v>45017</c:v>
                      </c:pt>
                      <c:pt idx="28">
                        <c:v>45047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'Q5 - Oil Impact'!$AA$102:$AA$130</c15:sqref>
                        </c15:formulaRef>
                      </c:ext>
                    </c:extLst>
                    <c:numCache>
                      <c:formatCode>0.00%</c:formatCode>
                      <c:ptCount val="29"/>
                      <c:pt idx="0">
                        <c:v>-1.2547051442911986E-3</c:v>
                      </c:pt>
                      <c:pt idx="1">
                        <c:v>1.8844221105528353E-3</c:v>
                      </c:pt>
                      <c:pt idx="2">
                        <c:v>4.3887147335422488E-3</c:v>
                      </c:pt>
                      <c:pt idx="3">
                        <c:v>6.2421972534346278E-4</c:v>
                      </c:pt>
                      <c:pt idx="4">
                        <c:v>5.6144728633810183E-3</c:v>
                      </c:pt>
                      <c:pt idx="5">
                        <c:v>3.1017369727047149E-3</c:v>
                      </c:pt>
                      <c:pt idx="6">
                        <c:v>9.2764378478664197E-3</c:v>
                      </c:pt>
                      <c:pt idx="7">
                        <c:v>3.6764705882354337E-3</c:v>
                      </c:pt>
                      <c:pt idx="8">
                        <c:v>-6.1050061050074928E-4</c:v>
                      </c:pt>
                      <c:pt idx="9">
                        <c:v>1.2217470983507458E-3</c:v>
                      </c:pt>
                      <c:pt idx="10">
                        <c:v>2.4405125076266362E-3</c:v>
                      </c:pt>
                      <c:pt idx="11">
                        <c:v>6.0864272671938102E-4</c:v>
                      </c:pt>
                      <c:pt idx="12">
                        <c:v>1.8248175182480715E-3</c:v>
                      </c:pt>
                      <c:pt idx="13">
                        <c:v>4.2501517911355015E-3</c:v>
                      </c:pt>
                      <c:pt idx="14">
                        <c:v>3.6275695284159267E-3</c:v>
                      </c:pt>
                      <c:pt idx="15">
                        <c:v>5.4216867469879864E-3</c:v>
                      </c:pt>
                      <c:pt idx="16">
                        <c:v>5.9916117435590173E-3</c:v>
                      </c:pt>
                      <c:pt idx="17">
                        <c:v>6.5515187611673272E-3</c:v>
                      </c:pt>
                      <c:pt idx="18">
                        <c:v>1.4201183431952697E-2</c:v>
                      </c:pt>
                      <c:pt idx="19">
                        <c:v>5.2508751458576761E-3</c:v>
                      </c:pt>
                      <c:pt idx="20">
                        <c:v>4.6430644225187636E-3</c:v>
                      </c:pt>
                      <c:pt idx="21">
                        <c:v>1.7331022530329948E-3</c:v>
                      </c:pt>
                      <c:pt idx="22">
                        <c:v>1.7301038062282753E-3</c:v>
                      </c:pt>
                      <c:pt idx="23">
                        <c:v>2.3028209556707293E-3</c:v>
                      </c:pt>
                      <c:pt idx="24">
                        <c:v>1.1487650775417408E-3</c:v>
                      </c:pt>
                      <c:pt idx="25">
                        <c:v>4.016064257028047E-3</c:v>
                      </c:pt>
                      <c:pt idx="26">
                        <c:v>0</c:v>
                      </c:pt>
                      <c:pt idx="27">
                        <c:v>8.0000000000000331E-3</c:v>
                      </c:pt>
                      <c:pt idx="28">
                        <c:v>3.9682539682539038E-3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3A48-4F96-BD74-0A813FD2536A}"/>
                  </c:ext>
                </c:extLst>
              </c15:ser>
            </c15:filteredLineSeries>
            <c15:filteredLineSeries>
              <c15:ser>
                <c:idx val="25"/>
                <c:order val="2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'Q5 - Oil Impact'!$AB$101</c15:sqref>
                        </c15:formulaRef>
                      </c:ext>
                    </c:extLst>
                    <c:strCache>
                      <c:ptCount val="1"/>
                      <c:pt idx="0">
                        <c:v>Personal care and effects inflation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'Q5 - Oil Impact'!$B$102:$B$130</c15:sqref>
                        </c15:formulaRef>
                      </c:ext>
                    </c:extLst>
                    <c:numCache>
                      <c:formatCode>mmm/yyyy</c:formatCode>
                      <c:ptCount val="29"/>
                      <c:pt idx="0">
                        <c:v>44197</c:v>
                      </c:pt>
                      <c:pt idx="1">
                        <c:v>44228</c:v>
                      </c:pt>
                      <c:pt idx="2">
                        <c:v>44256</c:v>
                      </c:pt>
                      <c:pt idx="3">
                        <c:v>44287</c:v>
                      </c:pt>
                      <c:pt idx="4">
                        <c:v>44317</c:v>
                      </c:pt>
                      <c:pt idx="5">
                        <c:v>44348</c:v>
                      </c:pt>
                      <c:pt idx="6">
                        <c:v>44378</c:v>
                      </c:pt>
                      <c:pt idx="7">
                        <c:v>44409</c:v>
                      </c:pt>
                      <c:pt idx="8">
                        <c:v>44440</c:v>
                      </c:pt>
                      <c:pt idx="9">
                        <c:v>44470</c:v>
                      </c:pt>
                      <c:pt idx="10">
                        <c:v>44501</c:v>
                      </c:pt>
                      <c:pt idx="11">
                        <c:v>44531</c:v>
                      </c:pt>
                      <c:pt idx="12">
                        <c:v>44562</c:v>
                      </c:pt>
                      <c:pt idx="13">
                        <c:v>44593</c:v>
                      </c:pt>
                      <c:pt idx="14">
                        <c:v>44621</c:v>
                      </c:pt>
                      <c:pt idx="15">
                        <c:v>44652</c:v>
                      </c:pt>
                      <c:pt idx="16">
                        <c:v>44682</c:v>
                      </c:pt>
                      <c:pt idx="17">
                        <c:v>44713</c:v>
                      </c:pt>
                      <c:pt idx="18">
                        <c:v>44743</c:v>
                      </c:pt>
                      <c:pt idx="19">
                        <c:v>44774</c:v>
                      </c:pt>
                      <c:pt idx="20">
                        <c:v>44805</c:v>
                      </c:pt>
                      <c:pt idx="21">
                        <c:v>44835</c:v>
                      </c:pt>
                      <c:pt idx="22">
                        <c:v>44866</c:v>
                      </c:pt>
                      <c:pt idx="23">
                        <c:v>44896</c:v>
                      </c:pt>
                      <c:pt idx="24">
                        <c:v>44927</c:v>
                      </c:pt>
                      <c:pt idx="25">
                        <c:v>44958</c:v>
                      </c:pt>
                      <c:pt idx="26">
                        <c:v>44986</c:v>
                      </c:pt>
                      <c:pt idx="27">
                        <c:v>45017</c:v>
                      </c:pt>
                      <c:pt idx="28">
                        <c:v>45047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'Q5 - Oil Impact'!$AB$102:$AB$130</c15:sqref>
                        </c15:formulaRef>
                      </c:ext>
                    </c:extLst>
                    <c:numCache>
                      <c:formatCode>0.00%</c:formatCode>
                      <c:ptCount val="29"/>
                      <c:pt idx="0">
                        <c:v>-1.9096117122850602E-3</c:v>
                      </c:pt>
                      <c:pt idx="1">
                        <c:v>-6.3775510204081625E-3</c:v>
                      </c:pt>
                      <c:pt idx="2">
                        <c:v>-1.2836970474967907E-2</c:v>
                      </c:pt>
                      <c:pt idx="3">
                        <c:v>1.0403120936280846E-2</c:v>
                      </c:pt>
                      <c:pt idx="4">
                        <c:v>2.0592020592020518E-2</c:v>
                      </c:pt>
                      <c:pt idx="5">
                        <c:v>1.2610340479194014E-3</c:v>
                      </c:pt>
                      <c:pt idx="6">
                        <c:v>8.1863979848865419E-3</c:v>
                      </c:pt>
                      <c:pt idx="7">
                        <c:v>-6.2460961898809693E-4</c:v>
                      </c:pt>
                      <c:pt idx="8">
                        <c:v>0</c:v>
                      </c:pt>
                      <c:pt idx="9">
                        <c:v>5.0000000000000712E-3</c:v>
                      </c:pt>
                      <c:pt idx="10">
                        <c:v>8.7064676616914003E-3</c:v>
                      </c:pt>
                      <c:pt idx="11">
                        <c:v>2.4660912453761141E-3</c:v>
                      </c:pt>
                      <c:pt idx="12">
                        <c:v>2.4600246002460377E-3</c:v>
                      </c:pt>
                      <c:pt idx="13">
                        <c:v>8.5889570552147593E-3</c:v>
                      </c:pt>
                      <c:pt idx="14">
                        <c:v>1.7031630170316198E-2</c:v>
                      </c:pt>
                      <c:pt idx="15">
                        <c:v>9.5693779904307587E-3</c:v>
                      </c:pt>
                      <c:pt idx="16">
                        <c:v>-2.3696682464455312E-3</c:v>
                      </c:pt>
                      <c:pt idx="17">
                        <c:v>5.9382422802850355E-3</c:v>
                      </c:pt>
                      <c:pt idx="18">
                        <c:v>1.7709563164107611E-3</c:v>
                      </c:pt>
                      <c:pt idx="19">
                        <c:v>8.8391278727165592E-3</c:v>
                      </c:pt>
                      <c:pt idx="20">
                        <c:v>-1.7523364485980313E-3</c:v>
                      </c:pt>
                      <c:pt idx="21">
                        <c:v>7.021650087770559E-3</c:v>
                      </c:pt>
                      <c:pt idx="22">
                        <c:v>8.7158628704241715E-3</c:v>
                      </c:pt>
                      <c:pt idx="23">
                        <c:v>1.2672811059907932E-2</c:v>
                      </c:pt>
                      <c:pt idx="24">
                        <c:v>1.5927189988623337E-2</c:v>
                      </c:pt>
                      <c:pt idx="25">
                        <c:v>1.3437849944008991E-2</c:v>
                      </c:pt>
                      <c:pt idx="26">
                        <c:v>0</c:v>
                      </c:pt>
                      <c:pt idx="27">
                        <c:v>1.6574585635359115E-2</c:v>
                      </c:pt>
                      <c:pt idx="28">
                        <c:v>6.5217391304347207E-3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3A48-4F96-BD74-0A813FD2536A}"/>
                  </c:ext>
                </c:extLst>
              </c15:ser>
            </c15:filteredLineSeries>
            <c15:filteredLineSeries>
              <c15:ser>
                <c:idx val="26"/>
                <c:order val="2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'Q5 - Oil Impact'!$AC$101</c15:sqref>
                        </c15:formulaRef>
                      </c:ext>
                    </c:extLst>
                    <c:strCache>
                      <c:ptCount val="1"/>
                      <c:pt idx="0">
                        <c:v>Miscellaneous inflation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'Q5 - Oil Impact'!$B$102:$B$130</c15:sqref>
                        </c15:formulaRef>
                      </c:ext>
                    </c:extLst>
                    <c:numCache>
                      <c:formatCode>mmm/yyyy</c:formatCode>
                      <c:ptCount val="29"/>
                      <c:pt idx="0">
                        <c:v>44197</c:v>
                      </c:pt>
                      <c:pt idx="1">
                        <c:v>44228</c:v>
                      </c:pt>
                      <c:pt idx="2">
                        <c:v>44256</c:v>
                      </c:pt>
                      <c:pt idx="3">
                        <c:v>44287</c:v>
                      </c:pt>
                      <c:pt idx="4">
                        <c:v>44317</c:v>
                      </c:pt>
                      <c:pt idx="5">
                        <c:v>44348</c:v>
                      </c:pt>
                      <c:pt idx="6">
                        <c:v>44378</c:v>
                      </c:pt>
                      <c:pt idx="7">
                        <c:v>44409</c:v>
                      </c:pt>
                      <c:pt idx="8">
                        <c:v>44440</c:v>
                      </c:pt>
                      <c:pt idx="9">
                        <c:v>44470</c:v>
                      </c:pt>
                      <c:pt idx="10">
                        <c:v>44501</c:v>
                      </c:pt>
                      <c:pt idx="11">
                        <c:v>44531</c:v>
                      </c:pt>
                      <c:pt idx="12">
                        <c:v>44562</c:v>
                      </c:pt>
                      <c:pt idx="13">
                        <c:v>44593</c:v>
                      </c:pt>
                      <c:pt idx="14">
                        <c:v>44621</c:v>
                      </c:pt>
                      <c:pt idx="15">
                        <c:v>44652</c:v>
                      </c:pt>
                      <c:pt idx="16">
                        <c:v>44682</c:v>
                      </c:pt>
                      <c:pt idx="17">
                        <c:v>44713</c:v>
                      </c:pt>
                      <c:pt idx="18">
                        <c:v>44743</c:v>
                      </c:pt>
                      <c:pt idx="19">
                        <c:v>44774</c:v>
                      </c:pt>
                      <c:pt idx="20">
                        <c:v>44805</c:v>
                      </c:pt>
                      <c:pt idx="21">
                        <c:v>44835</c:v>
                      </c:pt>
                      <c:pt idx="22">
                        <c:v>44866</c:v>
                      </c:pt>
                      <c:pt idx="23">
                        <c:v>44896</c:v>
                      </c:pt>
                      <c:pt idx="24">
                        <c:v>44927</c:v>
                      </c:pt>
                      <c:pt idx="25">
                        <c:v>44958</c:v>
                      </c:pt>
                      <c:pt idx="26">
                        <c:v>44986</c:v>
                      </c:pt>
                      <c:pt idx="27">
                        <c:v>45017</c:v>
                      </c:pt>
                      <c:pt idx="28">
                        <c:v>45047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'Q5 - Oil Impact'!$AC$102:$AC$130</c15:sqref>
                        </c15:formulaRef>
                      </c:ext>
                    </c:extLst>
                    <c:numCache>
                      <c:formatCode>0.00%</c:formatCode>
                      <c:ptCount val="29"/>
                      <c:pt idx="0">
                        <c:v>4.629629629629743E-3</c:v>
                      </c:pt>
                      <c:pt idx="1">
                        <c:v>9.8749177090190904E-3</c:v>
                      </c:pt>
                      <c:pt idx="2">
                        <c:v>2.6075619295958647E-3</c:v>
                      </c:pt>
                      <c:pt idx="3">
                        <c:v>3.9011703511052944E-3</c:v>
                      </c:pt>
                      <c:pt idx="4">
                        <c:v>1.5544041450777238E-2</c:v>
                      </c:pt>
                      <c:pt idx="5">
                        <c:v>5.1020408163264218E-3</c:v>
                      </c:pt>
                      <c:pt idx="6">
                        <c:v>8.883248730964504E-3</c:v>
                      </c:pt>
                      <c:pt idx="7">
                        <c:v>6.2893081761006293E-3</c:v>
                      </c:pt>
                      <c:pt idx="8">
                        <c:v>0</c:v>
                      </c:pt>
                      <c:pt idx="9">
                        <c:v>6.2500000000000003E-3</c:v>
                      </c:pt>
                      <c:pt idx="10">
                        <c:v>2.4844720496894762E-3</c:v>
                      </c:pt>
                      <c:pt idx="11">
                        <c:v>3.7174721189590725E-3</c:v>
                      </c:pt>
                      <c:pt idx="12">
                        <c:v>4.3209876543209179E-3</c:v>
                      </c:pt>
                      <c:pt idx="13">
                        <c:v>4.9170251997542186E-3</c:v>
                      </c:pt>
                      <c:pt idx="14">
                        <c:v>6.7278287461773351E-3</c:v>
                      </c:pt>
                      <c:pt idx="15">
                        <c:v>1.3365735115431453E-2</c:v>
                      </c:pt>
                      <c:pt idx="16">
                        <c:v>4.1966426858512504E-3</c:v>
                      </c:pt>
                      <c:pt idx="17">
                        <c:v>0</c:v>
                      </c:pt>
                      <c:pt idx="18">
                        <c:v>5.3731343283582433E-3</c:v>
                      </c:pt>
                      <c:pt idx="19">
                        <c:v>4.1567695961994573E-3</c:v>
                      </c:pt>
                      <c:pt idx="20">
                        <c:v>3.548196333530422E-3</c:v>
                      </c:pt>
                      <c:pt idx="21">
                        <c:v>4.7142015321155655E-3</c:v>
                      </c:pt>
                      <c:pt idx="22">
                        <c:v>3.5190615835776792E-3</c:v>
                      </c:pt>
                      <c:pt idx="23">
                        <c:v>5.2600818234950653E-3</c:v>
                      </c:pt>
                      <c:pt idx="24">
                        <c:v>4.6511627906977403E-3</c:v>
                      </c:pt>
                      <c:pt idx="25">
                        <c:v>7.5231481481480489E-3</c:v>
                      </c:pt>
                      <c:pt idx="26">
                        <c:v>0</c:v>
                      </c:pt>
                      <c:pt idx="27">
                        <c:v>5.1694428489374254E-3</c:v>
                      </c:pt>
                      <c:pt idx="28">
                        <c:v>3.999999999999935E-3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3A48-4F96-BD74-0A813FD2536A}"/>
                  </c:ext>
                </c:extLst>
              </c15:ser>
            </c15:filteredLineSeries>
            <c15:filteredLineSeries>
              <c15:ser>
                <c:idx val="27"/>
                <c:order val="2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'Q5 - Oil Impact'!$AD$101</c15:sqref>
                        </c15:formulaRef>
                      </c:ext>
                    </c:extLst>
                    <c:strCache>
                      <c:ptCount val="1"/>
                      <c:pt idx="0">
                        <c:v>General index inflation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'Q5 - Oil Impact'!$B$102:$B$130</c15:sqref>
                        </c15:formulaRef>
                      </c:ext>
                    </c:extLst>
                    <c:numCache>
                      <c:formatCode>mmm/yyyy</c:formatCode>
                      <c:ptCount val="29"/>
                      <c:pt idx="0">
                        <c:v>44197</c:v>
                      </c:pt>
                      <c:pt idx="1">
                        <c:v>44228</c:v>
                      </c:pt>
                      <c:pt idx="2">
                        <c:v>44256</c:v>
                      </c:pt>
                      <c:pt idx="3">
                        <c:v>44287</c:v>
                      </c:pt>
                      <c:pt idx="4">
                        <c:v>44317</c:v>
                      </c:pt>
                      <c:pt idx="5">
                        <c:v>44348</c:v>
                      </c:pt>
                      <c:pt idx="6">
                        <c:v>44378</c:v>
                      </c:pt>
                      <c:pt idx="7">
                        <c:v>44409</c:v>
                      </c:pt>
                      <c:pt idx="8">
                        <c:v>44440</c:v>
                      </c:pt>
                      <c:pt idx="9">
                        <c:v>44470</c:v>
                      </c:pt>
                      <c:pt idx="10">
                        <c:v>44501</c:v>
                      </c:pt>
                      <c:pt idx="11">
                        <c:v>44531</c:v>
                      </c:pt>
                      <c:pt idx="12">
                        <c:v>44562</c:v>
                      </c:pt>
                      <c:pt idx="13">
                        <c:v>44593</c:v>
                      </c:pt>
                      <c:pt idx="14">
                        <c:v>44621</c:v>
                      </c:pt>
                      <c:pt idx="15">
                        <c:v>44652</c:v>
                      </c:pt>
                      <c:pt idx="16">
                        <c:v>44682</c:v>
                      </c:pt>
                      <c:pt idx="17">
                        <c:v>44713</c:v>
                      </c:pt>
                      <c:pt idx="18">
                        <c:v>44743</c:v>
                      </c:pt>
                      <c:pt idx="19">
                        <c:v>44774</c:v>
                      </c:pt>
                      <c:pt idx="20">
                        <c:v>44805</c:v>
                      </c:pt>
                      <c:pt idx="21">
                        <c:v>44835</c:v>
                      </c:pt>
                      <c:pt idx="22">
                        <c:v>44866</c:v>
                      </c:pt>
                      <c:pt idx="23">
                        <c:v>44896</c:v>
                      </c:pt>
                      <c:pt idx="24">
                        <c:v>44927</c:v>
                      </c:pt>
                      <c:pt idx="25">
                        <c:v>44958</c:v>
                      </c:pt>
                      <c:pt idx="26">
                        <c:v>44986</c:v>
                      </c:pt>
                      <c:pt idx="27">
                        <c:v>45017</c:v>
                      </c:pt>
                      <c:pt idx="28">
                        <c:v>45047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'Q5 - Oil Impact'!$AD$102:$AD$130</c15:sqref>
                        </c15:formulaRef>
                      </c:ext>
                    </c:extLst>
                    <c:numCache>
                      <c:formatCode>0.00%</c:formatCode>
                      <c:ptCount val="29"/>
                      <c:pt idx="0">
                        <c:v>-1.006922592825673E-2</c:v>
                      </c:pt>
                      <c:pt idx="1">
                        <c:v>-4.4500953591863762E-3</c:v>
                      </c:pt>
                      <c:pt idx="2">
                        <c:v>1.2771392081737999E-3</c:v>
                      </c:pt>
                      <c:pt idx="3">
                        <c:v>6.3775510204081625E-3</c:v>
                      </c:pt>
                      <c:pt idx="4">
                        <c:v>1.6476552598225565E-2</c:v>
                      </c:pt>
                      <c:pt idx="5">
                        <c:v>5.6109725685785893E-3</c:v>
                      </c:pt>
                      <c:pt idx="6">
                        <c:v>7.439553626782322E-3</c:v>
                      </c:pt>
                      <c:pt idx="7">
                        <c:v>4.3076923076922381E-3</c:v>
                      </c:pt>
                      <c:pt idx="8">
                        <c:v>0</c:v>
                      </c:pt>
                      <c:pt idx="9">
                        <c:v>1.4093137254902032E-2</c:v>
                      </c:pt>
                      <c:pt idx="10">
                        <c:v>7.2507552870089949E-3</c:v>
                      </c:pt>
                      <c:pt idx="11">
                        <c:v>-2.999400119976005E-3</c:v>
                      </c:pt>
                      <c:pt idx="12">
                        <c:v>-3.0084235860409147E-3</c:v>
                      </c:pt>
                      <c:pt idx="13">
                        <c:v>2.4140012070006378E-3</c:v>
                      </c:pt>
                      <c:pt idx="14">
                        <c:v>9.6327513546056245E-3</c:v>
                      </c:pt>
                      <c:pt idx="15">
                        <c:v>1.4311270125223648E-2</c:v>
                      </c:pt>
                      <c:pt idx="16">
                        <c:v>9.4062316284538178E-3</c:v>
                      </c:pt>
                      <c:pt idx="17">
                        <c:v>5.2417006406523343E-3</c:v>
                      </c:pt>
                      <c:pt idx="18">
                        <c:v>4.634994206257308E-3</c:v>
                      </c:pt>
                      <c:pt idx="19">
                        <c:v>5.1903114186851538E-3</c:v>
                      </c:pt>
                      <c:pt idx="20">
                        <c:v>5.737234652897303E-3</c:v>
                      </c:pt>
                      <c:pt idx="21">
                        <c:v>7.9863091842554308E-3</c:v>
                      </c:pt>
                      <c:pt idx="22">
                        <c:v>-1.1318619128465684E-3</c:v>
                      </c:pt>
                      <c:pt idx="23">
                        <c:v>-4.5325779036827843E-3</c:v>
                      </c:pt>
                      <c:pt idx="24">
                        <c:v>4.5532157085942599E-3</c:v>
                      </c:pt>
                      <c:pt idx="25">
                        <c:v>3.9660056657223148E-3</c:v>
                      </c:pt>
                      <c:pt idx="26">
                        <c:v>0</c:v>
                      </c:pt>
                      <c:pt idx="27">
                        <c:v>5.0790067720090613E-3</c:v>
                      </c:pt>
                      <c:pt idx="28">
                        <c:v>5.614823133071308E-3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B-3A48-4F96-BD74-0A813FD2536A}"/>
                  </c:ext>
                </c:extLst>
              </c15:ser>
            </c15:filteredLineSeries>
          </c:ext>
        </c:extLst>
      </c:lineChart>
      <c:dateAx>
        <c:axId val="1841205343"/>
        <c:scaling>
          <c:orientation val="minMax"/>
        </c:scaling>
        <c:delete val="1"/>
        <c:axPos val="b"/>
        <c:numFmt formatCode="mmm/yyyy" sourceLinked="1"/>
        <c:majorTickMark val="out"/>
        <c:minorTickMark val="none"/>
        <c:tickLblPos val="nextTo"/>
        <c:crossAx val="1228689615"/>
        <c:crosses val="autoZero"/>
        <c:auto val="1"/>
        <c:lblOffset val="100"/>
        <c:baseTimeUnit val="months"/>
      </c:dateAx>
      <c:valAx>
        <c:axId val="1228689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1205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png"/><Relationship Id="rId13" Type="http://schemas.openxmlformats.org/officeDocument/2006/relationships/image" Target="../media/image7.png"/><Relationship Id="rId18" Type="http://schemas.openxmlformats.org/officeDocument/2006/relationships/hyperlink" Target="#'Q2 - YoY Inflation'!A1"/><Relationship Id="rId3" Type="http://schemas.openxmlformats.org/officeDocument/2006/relationships/chart" Target="../charts/chart2.xml"/><Relationship Id="rId21" Type="http://schemas.openxmlformats.org/officeDocument/2006/relationships/hyperlink" Target="#'Q5 - Oil Impact'!A1"/><Relationship Id="rId7" Type="http://schemas.openxmlformats.org/officeDocument/2006/relationships/image" Target="../media/image1.png"/><Relationship Id="rId12" Type="http://schemas.openxmlformats.org/officeDocument/2006/relationships/image" Target="../media/image6.png"/><Relationship Id="rId17" Type="http://schemas.openxmlformats.org/officeDocument/2006/relationships/image" Target="../media/image11.png"/><Relationship Id="rId2" Type="http://schemas.openxmlformats.org/officeDocument/2006/relationships/chart" Target="../charts/chart1.xml"/><Relationship Id="rId16" Type="http://schemas.openxmlformats.org/officeDocument/2006/relationships/image" Target="../media/image10.png"/><Relationship Id="rId20" Type="http://schemas.openxmlformats.org/officeDocument/2006/relationships/hyperlink" Target="#'Q4 - COVID Impact'!A1"/><Relationship Id="rId1" Type="http://schemas.openxmlformats.org/officeDocument/2006/relationships/hyperlink" Target="#'Q1 - CPI Contribution'!A1"/><Relationship Id="rId6" Type="http://schemas.openxmlformats.org/officeDocument/2006/relationships/chart" Target="../charts/chart5.xml"/><Relationship Id="rId11" Type="http://schemas.openxmlformats.org/officeDocument/2006/relationships/image" Target="../media/image5.png"/><Relationship Id="rId5" Type="http://schemas.openxmlformats.org/officeDocument/2006/relationships/chart" Target="../charts/chart4.xml"/><Relationship Id="rId15" Type="http://schemas.openxmlformats.org/officeDocument/2006/relationships/image" Target="../media/image9.png"/><Relationship Id="rId10" Type="http://schemas.openxmlformats.org/officeDocument/2006/relationships/image" Target="../media/image4.png"/><Relationship Id="rId19" Type="http://schemas.openxmlformats.org/officeDocument/2006/relationships/hyperlink" Target="#'Q3 - Food Inflation'!A1"/><Relationship Id="rId4" Type="http://schemas.openxmlformats.org/officeDocument/2006/relationships/chart" Target="../charts/chart3.xml"/><Relationship Id="rId9" Type="http://schemas.openxmlformats.org/officeDocument/2006/relationships/image" Target="../media/image3.png"/><Relationship Id="rId14" Type="http://schemas.openxmlformats.org/officeDocument/2006/relationships/image" Target="../media/image8.png"/><Relationship Id="rId22" Type="http://schemas.openxmlformats.org/officeDocument/2006/relationships/image" Target="../media/image1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hyperlink" Target="#Dashboard!D3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png"/><Relationship Id="rId13" Type="http://schemas.openxmlformats.org/officeDocument/2006/relationships/image" Target="../media/image22.png"/><Relationship Id="rId3" Type="http://schemas.openxmlformats.org/officeDocument/2006/relationships/image" Target="../media/image13.png"/><Relationship Id="rId7" Type="http://schemas.openxmlformats.org/officeDocument/2006/relationships/image" Target="../media/image16.png"/><Relationship Id="rId12" Type="http://schemas.openxmlformats.org/officeDocument/2006/relationships/image" Target="../media/image21.png"/><Relationship Id="rId2" Type="http://schemas.openxmlformats.org/officeDocument/2006/relationships/hyperlink" Target="#Dashboard!D3"/><Relationship Id="rId1" Type="http://schemas.openxmlformats.org/officeDocument/2006/relationships/chart" Target="../charts/chart7.xml"/><Relationship Id="rId6" Type="http://schemas.openxmlformats.org/officeDocument/2006/relationships/image" Target="../media/image15.png"/><Relationship Id="rId11" Type="http://schemas.openxmlformats.org/officeDocument/2006/relationships/image" Target="../media/image20.png"/><Relationship Id="rId5" Type="http://schemas.openxmlformats.org/officeDocument/2006/relationships/image" Target="../media/image14.png"/><Relationship Id="rId15" Type="http://schemas.openxmlformats.org/officeDocument/2006/relationships/image" Target="../media/image24.png"/><Relationship Id="rId10" Type="http://schemas.openxmlformats.org/officeDocument/2006/relationships/image" Target="../media/image19.png"/><Relationship Id="rId4" Type="http://schemas.microsoft.com/office/2007/relationships/hdphoto" Target="../media/hdphoto1.wdp"/><Relationship Id="rId9" Type="http://schemas.openxmlformats.org/officeDocument/2006/relationships/image" Target="../media/image18.png"/><Relationship Id="rId14" Type="http://schemas.openxmlformats.org/officeDocument/2006/relationships/image" Target="../media/image23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Dashboard!N44"/><Relationship Id="rId7" Type="http://schemas.openxmlformats.org/officeDocument/2006/relationships/image" Target="../media/image28.png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image" Target="../media/image27.png"/><Relationship Id="rId5" Type="http://schemas.openxmlformats.org/officeDocument/2006/relationships/image" Target="../media/image26.png"/><Relationship Id="rId4" Type="http://schemas.openxmlformats.org/officeDocument/2006/relationships/image" Target="../media/image25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1.xml"/><Relationship Id="rId13" Type="http://schemas.openxmlformats.org/officeDocument/2006/relationships/image" Target="../media/image36.png"/><Relationship Id="rId18" Type="http://schemas.openxmlformats.org/officeDocument/2006/relationships/image" Target="../media/image41.png"/><Relationship Id="rId3" Type="http://schemas.openxmlformats.org/officeDocument/2006/relationships/image" Target="../media/image29.png"/><Relationship Id="rId7" Type="http://schemas.openxmlformats.org/officeDocument/2006/relationships/image" Target="../media/image33.png"/><Relationship Id="rId12" Type="http://schemas.openxmlformats.org/officeDocument/2006/relationships/image" Target="../media/image35.png"/><Relationship Id="rId17" Type="http://schemas.openxmlformats.org/officeDocument/2006/relationships/image" Target="../media/image40.png"/><Relationship Id="rId2" Type="http://schemas.openxmlformats.org/officeDocument/2006/relationships/hyperlink" Target="#Dashboard!C63"/><Relationship Id="rId16" Type="http://schemas.openxmlformats.org/officeDocument/2006/relationships/image" Target="../media/image39.png"/><Relationship Id="rId1" Type="http://schemas.openxmlformats.org/officeDocument/2006/relationships/chart" Target="../charts/chart10.xml"/><Relationship Id="rId6" Type="http://schemas.openxmlformats.org/officeDocument/2006/relationships/image" Target="../media/image32.png"/><Relationship Id="rId11" Type="http://schemas.microsoft.com/office/2007/relationships/hdphoto" Target="../media/hdphoto2.wdp"/><Relationship Id="rId5" Type="http://schemas.openxmlformats.org/officeDocument/2006/relationships/image" Target="../media/image31.png"/><Relationship Id="rId15" Type="http://schemas.openxmlformats.org/officeDocument/2006/relationships/image" Target="../media/image38.png"/><Relationship Id="rId10" Type="http://schemas.openxmlformats.org/officeDocument/2006/relationships/image" Target="../media/image34.png"/><Relationship Id="rId4" Type="http://schemas.openxmlformats.org/officeDocument/2006/relationships/image" Target="../media/image30.png"/><Relationship Id="rId9" Type="http://schemas.openxmlformats.org/officeDocument/2006/relationships/chart" Target="../charts/chart12.xml"/><Relationship Id="rId14" Type="http://schemas.openxmlformats.org/officeDocument/2006/relationships/image" Target="../media/image37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hyperlink" Target="#Dashboard!N63"/><Relationship Id="rId1" Type="http://schemas.openxmlformats.org/officeDocument/2006/relationships/chart" Target="../charts/chart13.xml"/><Relationship Id="rId4" Type="http://schemas.openxmlformats.org/officeDocument/2006/relationships/chart" Target="../charts/chart15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7620</xdr:colOff>
      <xdr:row>0</xdr:row>
      <xdr:rowOff>175260</xdr:rowOff>
    </xdr:from>
    <xdr:to>
      <xdr:col>24</xdr:col>
      <xdr:colOff>0</xdr:colOff>
      <xdr:row>5</xdr:row>
      <xdr:rowOff>60959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8F2E8CD-939C-4020-96E6-7A7A1F5F8F3D}"/>
            </a:ext>
          </a:extLst>
        </xdr:cNvPr>
        <xdr:cNvSpPr/>
      </xdr:nvSpPr>
      <xdr:spPr>
        <a:xfrm>
          <a:off x="182880" y="175260"/>
          <a:ext cx="13830300" cy="800099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endParaRPr lang="en-IN" sz="1600" b="1">
            <a:solidFill>
              <a:schemeClr val="tx1"/>
            </a:solidFill>
            <a:effectLst/>
          </a:endParaRPr>
        </a:p>
      </xdr:txBody>
    </xdr:sp>
    <xdr:clientData/>
  </xdr:twoCellAnchor>
  <xdr:twoCellAnchor editAs="absolute">
    <xdr:from>
      <xdr:col>6</xdr:col>
      <xdr:colOff>274320</xdr:colOff>
      <xdr:row>1</xdr:row>
      <xdr:rowOff>22860</xdr:rowOff>
    </xdr:from>
    <xdr:to>
      <xdr:col>19</xdr:col>
      <xdr:colOff>327660</xdr:colOff>
      <xdr:row>3</xdr:row>
      <xdr:rowOff>121920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591F12C-4DC0-46D5-A2DD-4A251CE31002}"/>
            </a:ext>
          </a:extLst>
        </xdr:cNvPr>
        <xdr:cNvSpPr txBox="1"/>
      </xdr:nvSpPr>
      <xdr:spPr>
        <a:xfrm>
          <a:off x="3497580" y="205740"/>
          <a:ext cx="7978140" cy="4648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800" b="1">
              <a:solidFill>
                <a:schemeClr val="bg1"/>
              </a:solidFill>
            </a:rPr>
            <a:t>INDIA CPI INFLATION ANALYSIS DASHBOARD</a:t>
          </a:r>
          <a:endParaRPr lang="en-IN" sz="2800">
            <a:solidFill>
              <a:schemeClr val="bg1"/>
            </a:solidFill>
            <a:effectLst/>
          </a:endParaRPr>
        </a:p>
      </xdr:txBody>
    </xdr:sp>
    <xdr:clientData/>
  </xdr:twoCellAnchor>
  <xdr:twoCellAnchor editAs="absolute">
    <xdr:from>
      <xdr:col>9</xdr:col>
      <xdr:colOff>365760</xdr:colOff>
      <xdr:row>3</xdr:row>
      <xdr:rowOff>45720</xdr:rowOff>
    </xdr:from>
    <xdr:to>
      <xdr:col>15</xdr:col>
      <xdr:colOff>548640</xdr:colOff>
      <xdr:row>4</xdr:row>
      <xdr:rowOff>152400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E2F5612-48D5-8F6B-239A-3CA8D3D797C9}"/>
            </a:ext>
          </a:extLst>
        </xdr:cNvPr>
        <xdr:cNvSpPr txBox="1"/>
      </xdr:nvSpPr>
      <xdr:spPr>
        <a:xfrm>
          <a:off x="5417820" y="594360"/>
          <a:ext cx="3840480" cy="289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 b="1">
              <a:solidFill>
                <a:schemeClr val="bg1"/>
              </a:solidFill>
            </a:rPr>
            <a:t>Rural | Urban | Rural+Urban</a:t>
          </a:r>
          <a:endParaRPr lang="en-IN" sz="1600">
            <a:solidFill>
              <a:schemeClr val="bg1"/>
            </a:solidFill>
            <a:effectLst/>
          </a:endParaRPr>
        </a:p>
      </xdr:txBody>
    </xdr:sp>
    <xdr:clientData/>
  </xdr:twoCellAnchor>
  <xdr:twoCellAnchor editAs="absolute">
    <xdr:from>
      <xdr:col>1</xdr:col>
      <xdr:colOff>0</xdr:colOff>
      <xdr:row>7</xdr:row>
      <xdr:rowOff>175260</xdr:rowOff>
    </xdr:from>
    <xdr:to>
      <xdr:col>6</xdr:col>
      <xdr:colOff>192000</xdr:colOff>
      <xdr:row>14</xdr:row>
      <xdr:rowOff>155100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6C76AA7-3E2B-49EF-A405-53656699F4CA}"/>
            </a:ext>
          </a:extLst>
        </xdr:cNvPr>
        <xdr:cNvSpPr txBox="1"/>
      </xdr:nvSpPr>
      <xdr:spPr>
        <a:xfrm>
          <a:off x="175260" y="1455420"/>
          <a:ext cx="3240000" cy="1260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sz="1200" b="1" cap="all" baseline="0">
            <a:solidFill>
              <a:schemeClr val="bg1"/>
            </a:solidFill>
            <a:effectLst/>
          </a:endParaRPr>
        </a:p>
      </xdr:txBody>
    </xdr:sp>
    <xdr:clientData/>
  </xdr:twoCellAnchor>
  <xdr:twoCellAnchor editAs="absolute">
    <xdr:from>
      <xdr:col>0</xdr:col>
      <xdr:colOff>99060</xdr:colOff>
      <xdr:row>5</xdr:row>
      <xdr:rowOff>167640</xdr:rowOff>
    </xdr:from>
    <xdr:to>
      <xdr:col>7</xdr:col>
      <xdr:colOff>91440</xdr:colOff>
      <xdr:row>7</xdr:row>
      <xdr:rowOff>91440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732A1BF-9055-2247-36DC-8F7A512406E5}"/>
            </a:ext>
          </a:extLst>
        </xdr:cNvPr>
        <xdr:cNvSpPr txBox="1"/>
      </xdr:nvSpPr>
      <xdr:spPr>
        <a:xfrm>
          <a:off x="99060" y="1082040"/>
          <a:ext cx="3825240" cy="289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IN" sz="2000" b="1">
              <a:solidFill>
                <a:schemeClr val="accent2">
                  <a:lumMod val="75000"/>
                </a:schemeClr>
              </a:solidFill>
            </a:rPr>
            <a:t>EXECUTIVE SUMMARY -</a:t>
          </a:r>
          <a:r>
            <a:rPr lang="en-IN" sz="2000" b="1" baseline="0">
              <a:solidFill>
                <a:schemeClr val="accent2">
                  <a:lumMod val="75000"/>
                </a:schemeClr>
              </a:solidFill>
            </a:rPr>
            <a:t> KEY KPIs</a:t>
          </a:r>
          <a:endParaRPr lang="en-IN" sz="2000">
            <a:solidFill>
              <a:schemeClr val="accent2">
                <a:lumMod val="75000"/>
              </a:schemeClr>
            </a:solidFill>
            <a:effectLst/>
          </a:endParaRPr>
        </a:p>
      </xdr:txBody>
    </xdr:sp>
    <xdr:clientData/>
  </xdr:twoCellAnchor>
  <xdr:twoCellAnchor editAs="absolute">
    <xdr:from>
      <xdr:col>6</xdr:col>
      <xdr:colOff>359664</xdr:colOff>
      <xdr:row>7</xdr:row>
      <xdr:rowOff>175260</xdr:rowOff>
    </xdr:from>
    <xdr:to>
      <xdr:col>11</xdr:col>
      <xdr:colOff>551664</xdr:colOff>
      <xdr:row>14</xdr:row>
      <xdr:rowOff>155100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DE7ED0D-611E-470A-E55B-F7CD5C29F9A0}"/>
            </a:ext>
          </a:extLst>
        </xdr:cNvPr>
        <xdr:cNvSpPr txBox="1"/>
      </xdr:nvSpPr>
      <xdr:spPr>
        <a:xfrm>
          <a:off x="3582924" y="1455420"/>
          <a:ext cx="3240000" cy="1260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sz="1200" b="1" cap="all" baseline="0">
            <a:solidFill>
              <a:schemeClr val="bg1"/>
            </a:solidFill>
            <a:effectLst/>
          </a:endParaRPr>
        </a:p>
      </xdr:txBody>
    </xdr:sp>
    <xdr:clientData/>
  </xdr:twoCellAnchor>
  <xdr:twoCellAnchor editAs="absolute">
    <xdr:from>
      <xdr:col>12</xdr:col>
      <xdr:colOff>109728</xdr:colOff>
      <xdr:row>7</xdr:row>
      <xdr:rowOff>175260</xdr:rowOff>
    </xdr:from>
    <xdr:to>
      <xdr:col>17</xdr:col>
      <xdr:colOff>301728</xdr:colOff>
      <xdr:row>14</xdr:row>
      <xdr:rowOff>155100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2400618-8795-1E64-71C4-8CFD425D510C}"/>
            </a:ext>
          </a:extLst>
        </xdr:cNvPr>
        <xdr:cNvSpPr txBox="1"/>
      </xdr:nvSpPr>
      <xdr:spPr>
        <a:xfrm>
          <a:off x="6990588" y="1455420"/>
          <a:ext cx="3240000" cy="1260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sz="1200" b="1" cap="all" baseline="0">
            <a:solidFill>
              <a:schemeClr val="bg1"/>
            </a:solidFill>
            <a:effectLst/>
          </a:endParaRPr>
        </a:p>
      </xdr:txBody>
    </xdr:sp>
    <xdr:clientData/>
  </xdr:twoCellAnchor>
  <xdr:twoCellAnchor editAs="absolute">
    <xdr:from>
      <xdr:col>2</xdr:col>
      <xdr:colOff>289560</xdr:colOff>
      <xdr:row>8</xdr:row>
      <xdr:rowOff>45720</xdr:rowOff>
    </xdr:from>
    <xdr:to>
      <xdr:col>6</xdr:col>
      <xdr:colOff>191160</xdr:colOff>
      <xdr:row>10</xdr:row>
      <xdr:rowOff>99060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B5CD07A5-EEB3-C1E6-5EBA-938BD1562BBF}"/>
            </a:ext>
          </a:extLst>
        </xdr:cNvPr>
        <xdr:cNvSpPr txBox="1"/>
      </xdr:nvSpPr>
      <xdr:spPr>
        <a:xfrm>
          <a:off x="1074420" y="1508760"/>
          <a:ext cx="2340000" cy="419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l"/>
          <a:r>
            <a:rPr lang="en-IN" sz="1400" b="1">
              <a:solidFill>
                <a:schemeClr val="accent2">
                  <a:lumMod val="75000"/>
                </a:schemeClr>
              </a:solidFill>
              <a:effectLst/>
            </a:rPr>
            <a:t>Top</a:t>
          </a:r>
          <a:r>
            <a:rPr lang="en-IN" sz="1400" b="1" baseline="0">
              <a:solidFill>
                <a:schemeClr val="accent2">
                  <a:lumMod val="75000"/>
                </a:schemeClr>
              </a:solidFill>
              <a:effectLst/>
            </a:rPr>
            <a:t> Contributing Category</a:t>
          </a:r>
        </a:p>
        <a:p>
          <a:pPr algn="l"/>
          <a:r>
            <a:rPr lang="en-IN" sz="1200" b="1" baseline="0">
              <a:solidFill>
                <a:schemeClr val="accent2">
                  <a:lumMod val="75000"/>
                </a:schemeClr>
              </a:solidFill>
              <a:effectLst/>
            </a:rPr>
            <a:t>(Rural+Urban)</a:t>
          </a:r>
          <a:endParaRPr lang="en-IN" sz="1200">
            <a:solidFill>
              <a:schemeClr val="accent2">
                <a:lumMod val="75000"/>
              </a:schemeClr>
            </a:solidFill>
            <a:effectLst/>
          </a:endParaRPr>
        </a:p>
      </xdr:txBody>
    </xdr:sp>
    <xdr:clientData/>
  </xdr:twoCellAnchor>
  <xdr:twoCellAnchor editAs="absolute">
    <xdr:from>
      <xdr:col>1</xdr:col>
      <xdr:colOff>7620</xdr:colOff>
      <xdr:row>15</xdr:row>
      <xdr:rowOff>175260</xdr:rowOff>
    </xdr:from>
    <xdr:to>
      <xdr:col>6</xdr:col>
      <xdr:colOff>199620</xdr:colOff>
      <xdr:row>22</xdr:row>
      <xdr:rowOff>155100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91535E22-BD62-3B45-3284-B618FAB12321}"/>
            </a:ext>
          </a:extLst>
        </xdr:cNvPr>
        <xdr:cNvSpPr txBox="1"/>
      </xdr:nvSpPr>
      <xdr:spPr>
        <a:xfrm>
          <a:off x="182880" y="2918460"/>
          <a:ext cx="3240000" cy="1260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sz="1200" b="1" cap="all" baseline="0">
            <a:solidFill>
              <a:schemeClr val="bg1"/>
            </a:solidFill>
            <a:effectLst/>
          </a:endParaRPr>
        </a:p>
      </xdr:txBody>
    </xdr:sp>
    <xdr:clientData/>
  </xdr:twoCellAnchor>
  <xdr:twoCellAnchor editAs="absolute">
    <xdr:from>
      <xdr:col>6</xdr:col>
      <xdr:colOff>367284</xdr:colOff>
      <xdr:row>15</xdr:row>
      <xdr:rowOff>175260</xdr:rowOff>
    </xdr:from>
    <xdr:to>
      <xdr:col>11</xdr:col>
      <xdr:colOff>559284</xdr:colOff>
      <xdr:row>22</xdr:row>
      <xdr:rowOff>155100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FA8E835-1B21-FB4B-7B76-250A868B0B25}"/>
            </a:ext>
          </a:extLst>
        </xdr:cNvPr>
        <xdr:cNvSpPr txBox="1"/>
      </xdr:nvSpPr>
      <xdr:spPr>
        <a:xfrm>
          <a:off x="3590544" y="2918460"/>
          <a:ext cx="3240000" cy="1260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sz="1200" b="1" cap="all" baseline="0">
            <a:solidFill>
              <a:schemeClr val="bg1"/>
            </a:solidFill>
            <a:effectLst/>
          </a:endParaRPr>
        </a:p>
      </xdr:txBody>
    </xdr:sp>
    <xdr:clientData/>
  </xdr:twoCellAnchor>
  <xdr:twoCellAnchor editAs="absolute">
    <xdr:from>
      <xdr:col>12</xdr:col>
      <xdr:colOff>117348</xdr:colOff>
      <xdr:row>15</xdr:row>
      <xdr:rowOff>175260</xdr:rowOff>
    </xdr:from>
    <xdr:to>
      <xdr:col>17</xdr:col>
      <xdr:colOff>309348</xdr:colOff>
      <xdr:row>22</xdr:row>
      <xdr:rowOff>155100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2A048973-4F74-C198-FF0A-1C6EE35432C5}"/>
            </a:ext>
          </a:extLst>
        </xdr:cNvPr>
        <xdr:cNvSpPr txBox="1"/>
      </xdr:nvSpPr>
      <xdr:spPr>
        <a:xfrm>
          <a:off x="6998208" y="2918460"/>
          <a:ext cx="3240000" cy="1260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sz="1200" b="1" cap="all" baseline="0">
            <a:solidFill>
              <a:schemeClr val="bg1"/>
            </a:solidFill>
            <a:effectLst/>
          </a:endParaRPr>
        </a:p>
      </xdr:txBody>
    </xdr:sp>
    <xdr:clientData/>
  </xdr:twoCellAnchor>
  <xdr:twoCellAnchor editAs="absolute">
    <xdr:from>
      <xdr:col>17</xdr:col>
      <xdr:colOff>487680</xdr:colOff>
      <xdr:row>9</xdr:row>
      <xdr:rowOff>106680</xdr:rowOff>
    </xdr:from>
    <xdr:to>
      <xdr:col>23</xdr:col>
      <xdr:colOff>416028</xdr:colOff>
      <xdr:row>22</xdr:row>
      <xdr:rowOff>159240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2107B4CA-BFF3-0D54-E8FA-B9F60B75DC5D}"/>
            </a:ext>
          </a:extLst>
        </xdr:cNvPr>
        <xdr:cNvSpPr txBox="1"/>
      </xdr:nvSpPr>
      <xdr:spPr>
        <a:xfrm>
          <a:off x="10416540" y="1752600"/>
          <a:ext cx="3585948" cy="2430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sz="1200" b="1" cap="all" baseline="0">
            <a:solidFill>
              <a:schemeClr val="bg1"/>
            </a:solidFill>
            <a:effectLst/>
          </a:endParaRPr>
        </a:p>
      </xdr:txBody>
    </xdr:sp>
    <xdr:clientData/>
  </xdr:twoCellAnchor>
  <xdr:twoCellAnchor editAs="absolute">
    <xdr:from>
      <xdr:col>8</xdr:col>
      <xdr:colOff>38100</xdr:colOff>
      <xdr:row>8</xdr:row>
      <xdr:rowOff>45720</xdr:rowOff>
    </xdr:from>
    <xdr:to>
      <xdr:col>11</xdr:col>
      <xdr:colOff>549300</xdr:colOff>
      <xdr:row>10</xdr:row>
      <xdr:rowOff>97560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285C57A2-E700-9E23-F351-6366FCBD1485}"/>
            </a:ext>
          </a:extLst>
        </xdr:cNvPr>
        <xdr:cNvSpPr txBox="1"/>
      </xdr:nvSpPr>
      <xdr:spPr>
        <a:xfrm>
          <a:off x="4480560" y="1508760"/>
          <a:ext cx="2340000" cy="417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marL="0" indent="0" algn="l"/>
          <a:r>
            <a:rPr lang="en-IN" sz="1400" b="1">
              <a:solidFill>
                <a:schemeClr val="accent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Highest YoY Inflation</a:t>
          </a:r>
        </a:p>
        <a:p>
          <a:pPr marL="0" indent="0" algn="l"/>
          <a:r>
            <a:rPr lang="en-IN" sz="1200" b="1">
              <a:solidFill>
                <a:schemeClr val="accent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(Rural+Urban)</a:t>
          </a:r>
        </a:p>
      </xdr:txBody>
    </xdr:sp>
    <xdr:clientData/>
  </xdr:twoCellAnchor>
  <xdr:twoCellAnchor editAs="absolute">
    <xdr:from>
      <xdr:col>13</xdr:col>
      <xdr:colOff>403860</xdr:colOff>
      <xdr:row>8</xdr:row>
      <xdr:rowOff>45720</xdr:rowOff>
    </xdr:from>
    <xdr:to>
      <xdr:col>17</xdr:col>
      <xdr:colOff>305460</xdr:colOff>
      <xdr:row>10</xdr:row>
      <xdr:rowOff>97560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C0D5C47-D2F0-E47F-30B1-CDF442590509}"/>
            </a:ext>
          </a:extLst>
        </xdr:cNvPr>
        <xdr:cNvSpPr txBox="1"/>
      </xdr:nvSpPr>
      <xdr:spPr>
        <a:xfrm>
          <a:off x="7894320" y="1508760"/>
          <a:ext cx="2340000" cy="417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marL="0" indent="0" algn="l"/>
          <a:r>
            <a:rPr lang="en-IN" sz="1400" b="1">
              <a:solidFill>
                <a:schemeClr val="accent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Lowest YoY Inflation</a:t>
          </a:r>
        </a:p>
        <a:p>
          <a:pPr marL="0" indent="0" algn="l"/>
          <a:r>
            <a:rPr lang="en-IN" sz="1200" b="1">
              <a:solidFill>
                <a:schemeClr val="accent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(Rural+Urban)</a:t>
          </a:r>
        </a:p>
      </xdr:txBody>
    </xdr:sp>
    <xdr:clientData/>
  </xdr:twoCellAnchor>
  <xdr:twoCellAnchor editAs="absolute">
    <xdr:from>
      <xdr:col>2</xdr:col>
      <xdr:colOff>297180</xdr:colOff>
      <xdr:row>16</xdr:row>
      <xdr:rowOff>45720</xdr:rowOff>
    </xdr:from>
    <xdr:to>
      <xdr:col>6</xdr:col>
      <xdr:colOff>198780</xdr:colOff>
      <xdr:row>18</xdr:row>
      <xdr:rowOff>97560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3ACD765D-ADB7-7220-70B4-DB8A0420BF2A}"/>
            </a:ext>
          </a:extLst>
        </xdr:cNvPr>
        <xdr:cNvSpPr txBox="1"/>
      </xdr:nvSpPr>
      <xdr:spPr>
        <a:xfrm>
          <a:off x="1082040" y="2971800"/>
          <a:ext cx="2340000" cy="417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marL="0" indent="0" algn="l"/>
          <a:r>
            <a:rPr lang="en-IN" sz="1400" b="1">
              <a:solidFill>
                <a:schemeClr val="accent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Highest Food Inflation (MoM)</a:t>
          </a:r>
        </a:p>
        <a:p>
          <a:pPr marL="0" indent="0" algn="l"/>
          <a:r>
            <a:rPr lang="en-IN" sz="1200" b="1">
              <a:solidFill>
                <a:schemeClr val="accent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(Rural+Urban)</a:t>
          </a:r>
        </a:p>
      </xdr:txBody>
    </xdr:sp>
    <xdr:clientData/>
  </xdr:twoCellAnchor>
  <xdr:twoCellAnchor editAs="absolute">
    <xdr:from>
      <xdr:col>8</xdr:col>
      <xdr:colOff>45720</xdr:colOff>
      <xdr:row>16</xdr:row>
      <xdr:rowOff>45720</xdr:rowOff>
    </xdr:from>
    <xdr:to>
      <xdr:col>11</xdr:col>
      <xdr:colOff>556920</xdr:colOff>
      <xdr:row>18</xdr:row>
      <xdr:rowOff>97560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39DB2D2D-0F65-29AD-7C43-4D63BF23F53C}"/>
            </a:ext>
          </a:extLst>
        </xdr:cNvPr>
        <xdr:cNvSpPr txBox="1"/>
      </xdr:nvSpPr>
      <xdr:spPr>
        <a:xfrm>
          <a:off x="4488180" y="2971800"/>
          <a:ext cx="2340000" cy="417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marL="0" indent="0" algn="l"/>
          <a:r>
            <a:rPr lang="en-IN" sz="1400" b="1">
              <a:solidFill>
                <a:schemeClr val="accent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Lowest Food Inflation (MoM)</a:t>
          </a:r>
        </a:p>
        <a:p>
          <a:pPr marL="0" indent="0" algn="l"/>
          <a:r>
            <a:rPr lang="en-IN" sz="1200" b="1">
              <a:solidFill>
                <a:schemeClr val="accent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(Rural+Urban)</a:t>
          </a:r>
        </a:p>
      </xdr:txBody>
    </xdr:sp>
    <xdr:clientData/>
  </xdr:twoCellAnchor>
  <xdr:twoCellAnchor editAs="absolute">
    <xdr:from>
      <xdr:col>13</xdr:col>
      <xdr:colOff>411480</xdr:colOff>
      <xdr:row>16</xdr:row>
      <xdr:rowOff>45720</xdr:rowOff>
    </xdr:from>
    <xdr:to>
      <xdr:col>17</xdr:col>
      <xdr:colOff>313080</xdr:colOff>
      <xdr:row>18</xdr:row>
      <xdr:rowOff>97560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BD8AC93A-C5D4-71E7-2390-4CBEF84B1DE0}"/>
            </a:ext>
          </a:extLst>
        </xdr:cNvPr>
        <xdr:cNvSpPr txBox="1"/>
      </xdr:nvSpPr>
      <xdr:spPr>
        <a:xfrm>
          <a:off x="7901940" y="2971800"/>
          <a:ext cx="2340000" cy="417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marL="0" indent="0" algn="l"/>
          <a:r>
            <a:rPr lang="en-IN" sz="1400" b="1">
              <a:solidFill>
                <a:schemeClr val="accent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Strongest Correlation</a:t>
          </a:r>
        </a:p>
        <a:p>
          <a:pPr marL="0" indent="0" algn="l"/>
          <a:r>
            <a:rPr lang="en-IN" sz="1200" b="1">
              <a:solidFill>
                <a:schemeClr val="accent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with Imported Oil Prices</a:t>
          </a:r>
        </a:p>
      </xdr:txBody>
    </xdr:sp>
    <xdr:clientData/>
  </xdr:twoCellAnchor>
  <xdr:twoCellAnchor editAs="absolute">
    <xdr:from>
      <xdr:col>2</xdr:col>
      <xdr:colOff>289560</xdr:colOff>
      <xdr:row>11</xdr:row>
      <xdr:rowOff>15240</xdr:rowOff>
    </xdr:from>
    <xdr:to>
      <xdr:col>4</xdr:col>
      <xdr:colOff>150360</xdr:colOff>
      <xdr:row>13</xdr:row>
      <xdr:rowOff>9480</xdr:rowOff>
    </xdr:to>
    <xdr:sp macro="" textlink="Dashboard_Calculations!F39">
      <xdr:nvSpPr>
        <xdr:cNvPr id="22" name="TextBox 21">
          <a:extLst>
            <a:ext uri="{FF2B5EF4-FFF2-40B4-BE49-F238E27FC236}">
              <a16:creationId xmlns:a16="http://schemas.microsoft.com/office/drawing/2014/main" id="{8B6C9E2F-4FEC-0D71-A6EC-F5202632C000}"/>
            </a:ext>
          </a:extLst>
        </xdr:cNvPr>
        <xdr:cNvSpPr txBox="1"/>
      </xdr:nvSpPr>
      <xdr:spPr>
        <a:xfrm>
          <a:off x="1074420" y="2026920"/>
          <a:ext cx="1080000" cy="360000"/>
        </a:xfrm>
        <a:prstGeom prst="rect">
          <a:avLst/>
        </a:prstGeom>
        <a:ln>
          <a:noFill/>
        </a:ln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wrap="square" lIns="72000" tIns="72000" rIns="72000" bIns="72000" rtlCol="0" anchor="ctr"/>
        <a:lstStyle/>
        <a:p>
          <a:pPr marL="0" indent="0" algn="l"/>
          <a:fld id="{59150B09-E9F5-42D5-828A-9F64F1C92A7A}" type="TxLink">
            <a:rPr lang="en-US" sz="2400" b="1" i="0" u="none" strike="noStrike" cap="none" spc="0">
              <a:ln>
                <a:noFill/>
              </a:ln>
              <a:solidFill>
                <a:schemeClr val="bg1"/>
              </a:solidFill>
              <a:effectLst/>
              <a:latin typeface="Calibri"/>
              <a:ea typeface="Calibri"/>
              <a:cs typeface="Calibri"/>
            </a:rPr>
            <a:pPr marL="0" indent="0" algn="l"/>
            <a:t>49.61%</a:t>
          </a:fld>
          <a:endParaRPr lang="en-IN" sz="4800" b="1" cap="none" spc="0">
            <a:ln>
              <a:noFill/>
            </a:ln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8</xdr:col>
      <xdr:colOff>45720</xdr:colOff>
      <xdr:row>11</xdr:row>
      <xdr:rowOff>15240</xdr:rowOff>
    </xdr:from>
    <xdr:to>
      <xdr:col>9</xdr:col>
      <xdr:colOff>516120</xdr:colOff>
      <xdr:row>13</xdr:row>
      <xdr:rowOff>9480</xdr:rowOff>
    </xdr:to>
    <xdr:sp macro="" textlink="Dashboard_Calculations!F5">
      <xdr:nvSpPr>
        <xdr:cNvPr id="23" name="TextBox 22">
          <a:extLst>
            <a:ext uri="{FF2B5EF4-FFF2-40B4-BE49-F238E27FC236}">
              <a16:creationId xmlns:a16="http://schemas.microsoft.com/office/drawing/2014/main" id="{19018F8A-7385-7C7E-A66D-B7D20638B314}"/>
            </a:ext>
          </a:extLst>
        </xdr:cNvPr>
        <xdr:cNvSpPr txBox="1"/>
      </xdr:nvSpPr>
      <xdr:spPr>
        <a:xfrm>
          <a:off x="4488180" y="2026920"/>
          <a:ext cx="1080000" cy="360000"/>
        </a:xfrm>
        <a:prstGeom prst="rect">
          <a:avLst/>
        </a:prstGeom>
        <a:ln>
          <a:noFill/>
        </a:ln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wrap="square" lIns="72000" tIns="72000" rIns="72000" bIns="72000" rtlCol="0" anchor="ctr"/>
        <a:lstStyle/>
        <a:p>
          <a:pPr marL="0" indent="0" algn="l"/>
          <a:fld id="{0E654E8F-963A-43CC-BFAA-3D7B8BD7E8DD}" type="TxLink">
            <a:rPr lang="en-US" sz="2400" b="1" i="0" u="none" strike="noStrike" cap="none" spc="0">
              <a:ln>
                <a:noFill/>
              </a:ln>
              <a:solidFill>
                <a:schemeClr val="bg1"/>
              </a:solidFill>
              <a:effectLst/>
              <a:latin typeface="Calibri"/>
              <a:ea typeface="Calibri"/>
              <a:cs typeface="Calibri"/>
            </a:rPr>
            <a:pPr marL="0" indent="0" algn="l"/>
            <a:t>7.04%</a:t>
          </a:fld>
          <a:endParaRPr lang="en-IN" sz="2400" b="1" i="0" u="none" strike="noStrike" cap="none" spc="0">
            <a:ln>
              <a:noFill/>
            </a:ln>
            <a:solidFill>
              <a:schemeClr val="bg1"/>
            </a:solidFill>
            <a:effectLst/>
            <a:latin typeface="Calibri"/>
            <a:ea typeface="Calibri"/>
            <a:cs typeface="Calibri"/>
          </a:endParaRPr>
        </a:p>
      </xdr:txBody>
    </xdr:sp>
    <xdr:clientData/>
  </xdr:twoCellAnchor>
  <xdr:twoCellAnchor editAs="absolute">
    <xdr:from>
      <xdr:col>13</xdr:col>
      <xdr:colOff>403860</xdr:colOff>
      <xdr:row>11</xdr:row>
      <xdr:rowOff>15240</xdr:rowOff>
    </xdr:from>
    <xdr:to>
      <xdr:col>15</xdr:col>
      <xdr:colOff>264660</xdr:colOff>
      <xdr:row>13</xdr:row>
      <xdr:rowOff>9480</xdr:rowOff>
    </xdr:to>
    <xdr:sp macro="" textlink="Dashboard_Calculations!F6">
      <xdr:nvSpPr>
        <xdr:cNvPr id="24" name="TextBox 23">
          <a:extLst>
            <a:ext uri="{FF2B5EF4-FFF2-40B4-BE49-F238E27FC236}">
              <a16:creationId xmlns:a16="http://schemas.microsoft.com/office/drawing/2014/main" id="{77EC9E7F-43AE-E3F5-C347-59C60A94D89A}"/>
            </a:ext>
          </a:extLst>
        </xdr:cNvPr>
        <xdr:cNvSpPr txBox="1"/>
      </xdr:nvSpPr>
      <xdr:spPr>
        <a:xfrm>
          <a:off x="7894320" y="2026920"/>
          <a:ext cx="1080000" cy="360000"/>
        </a:xfrm>
        <a:prstGeom prst="rect">
          <a:avLst/>
        </a:prstGeom>
        <a:ln>
          <a:noFill/>
        </a:ln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wrap="square" lIns="72000" tIns="72000" rIns="72000" bIns="72000" rtlCol="0" anchor="ctr"/>
        <a:lstStyle/>
        <a:p>
          <a:pPr marL="0" indent="0" algn="l"/>
          <a:fld id="{0FDCDD56-E3F1-4663-9BC7-F65A12876776}" type="TxLink">
            <a:rPr lang="en-US" sz="2400" b="1" i="0" u="none" strike="noStrike" cap="none" spc="0">
              <a:ln>
                <a:noFill/>
              </a:ln>
              <a:solidFill>
                <a:schemeClr val="bg1"/>
              </a:solidFill>
              <a:effectLst/>
              <a:latin typeface="Calibri"/>
              <a:ea typeface="Calibri"/>
              <a:cs typeface="Calibri"/>
            </a:rPr>
            <a:pPr marL="0" indent="0" algn="l"/>
            <a:t>2.18%</a:t>
          </a:fld>
          <a:endParaRPr lang="en-IN" sz="2400" b="1" i="0" u="none" strike="noStrike" cap="none" spc="0">
            <a:ln>
              <a:noFill/>
            </a:ln>
            <a:solidFill>
              <a:schemeClr val="bg1"/>
            </a:solidFill>
            <a:effectLst/>
            <a:latin typeface="Calibri"/>
            <a:ea typeface="Calibri"/>
            <a:cs typeface="Calibri"/>
          </a:endParaRPr>
        </a:p>
      </xdr:txBody>
    </xdr:sp>
    <xdr:clientData/>
  </xdr:twoCellAnchor>
  <xdr:twoCellAnchor editAs="absolute">
    <xdr:from>
      <xdr:col>13</xdr:col>
      <xdr:colOff>419100</xdr:colOff>
      <xdr:row>19</xdr:row>
      <xdr:rowOff>15240</xdr:rowOff>
    </xdr:from>
    <xdr:to>
      <xdr:col>15</xdr:col>
      <xdr:colOff>279900</xdr:colOff>
      <xdr:row>21</xdr:row>
      <xdr:rowOff>9480</xdr:rowOff>
    </xdr:to>
    <xdr:sp macro="" textlink="Dashboard_Calculations!F34">
      <xdr:nvSpPr>
        <xdr:cNvPr id="25" name="TextBox 24">
          <a:extLst>
            <a:ext uri="{FF2B5EF4-FFF2-40B4-BE49-F238E27FC236}">
              <a16:creationId xmlns:a16="http://schemas.microsoft.com/office/drawing/2014/main" id="{7AECD76A-2FF6-1DCA-7623-C13BF50ABC4A}"/>
            </a:ext>
          </a:extLst>
        </xdr:cNvPr>
        <xdr:cNvSpPr txBox="1"/>
      </xdr:nvSpPr>
      <xdr:spPr>
        <a:xfrm>
          <a:off x="7909560" y="3489960"/>
          <a:ext cx="1080000" cy="360000"/>
        </a:xfrm>
        <a:prstGeom prst="rect">
          <a:avLst/>
        </a:prstGeom>
        <a:ln>
          <a:noFill/>
        </a:ln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wrap="square" lIns="72000" tIns="72000" rIns="72000" bIns="72000" rtlCol="0" anchor="ctr"/>
        <a:lstStyle/>
        <a:p>
          <a:pPr marL="0" indent="0" algn="l"/>
          <a:fld id="{69421A71-7C77-4F34-9CDC-4012B23D87F4}" type="TxLink">
            <a:rPr lang="en-US" sz="2400" b="1" i="0" u="none" strike="noStrike" cap="none" spc="0">
              <a:ln>
                <a:noFill/>
              </a:ln>
              <a:solidFill>
                <a:schemeClr val="bg1"/>
              </a:solidFill>
              <a:effectLst/>
              <a:latin typeface="Calibri"/>
              <a:ea typeface="Calibri"/>
              <a:cs typeface="Calibri"/>
            </a:rPr>
            <a:pPr marL="0" indent="0" algn="l"/>
            <a:t>0.40</a:t>
          </a:fld>
          <a:endParaRPr lang="en-IN" sz="2400" b="1" i="0" u="none" strike="noStrike" cap="none" spc="0">
            <a:ln>
              <a:noFill/>
            </a:ln>
            <a:solidFill>
              <a:schemeClr val="bg1"/>
            </a:solidFill>
            <a:effectLst/>
            <a:latin typeface="Calibri"/>
            <a:ea typeface="Calibri"/>
            <a:cs typeface="Calibri"/>
          </a:endParaRPr>
        </a:p>
      </xdr:txBody>
    </xdr:sp>
    <xdr:clientData/>
  </xdr:twoCellAnchor>
  <xdr:twoCellAnchor editAs="absolute">
    <xdr:from>
      <xdr:col>8</xdr:col>
      <xdr:colOff>45720</xdr:colOff>
      <xdr:row>19</xdr:row>
      <xdr:rowOff>15240</xdr:rowOff>
    </xdr:from>
    <xdr:to>
      <xdr:col>9</xdr:col>
      <xdr:colOff>516120</xdr:colOff>
      <xdr:row>21</xdr:row>
      <xdr:rowOff>9480</xdr:rowOff>
    </xdr:to>
    <xdr:sp macro="" textlink="Dashboard_Calculations!F22">
      <xdr:nvSpPr>
        <xdr:cNvPr id="26" name="TextBox 25">
          <a:extLst>
            <a:ext uri="{FF2B5EF4-FFF2-40B4-BE49-F238E27FC236}">
              <a16:creationId xmlns:a16="http://schemas.microsoft.com/office/drawing/2014/main" id="{48331676-C0E4-7E68-2525-290861F84A6B}"/>
            </a:ext>
          </a:extLst>
        </xdr:cNvPr>
        <xdr:cNvSpPr txBox="1"/>
      </xdr:nvSpPr>
      <xdr:spPr>
        <a:xfrm>
          <a:off x="4488180" y="3489960"/>
          <a:ext cx="1080000" cy="360000"/>
        </a:xfrm>
        <a:prstGeom prst="rect">
          <a:avLst/>
        </a:prstGeom>
        <a:ln>
          <a:noFill/>
        </a:ln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wrap="square" lIns="72000" tIns="72000" rIns="72000" bIns="72000" rtlCol="0" anchor="ctr"/>
        <a:lstStyle/>
        <a:p>
          <a:pPr marL="0" indent="0" algn="l"/>
          <a:fld id="{0998A9E5-3F38-457E-9627-26D055766E70}" type="TxLink">
            <a:rPr lang="en-US" sz="2400" b="1" i="0" u="none" strike="noStrike" cap="none" spc="0">
              <a:ln>
                <a:noFill/>
              </a:ln>
              <a:solidFill>
                <a:schemeClr val="bg1"/>
              </a:solidFill>
              <a:effectLst/>
              <a:latin typeface="Calibri"/>
              <a:ea typeface="Calibri"/>
              <a:cs typeface="Calibri"/>
            </a:rPr>
            <a:pPr marL="0" indent="0" algn="l"/>
            <a:t>-0.66%</a:t>
          </a:fld>
          <a:endParaRPr lang="en-IN" sz="2400" b="1" i="0" u="none" strike="noStrike" cap="none" spc="0">
            <a:ln>
              <a:noFill/>
            </a:ln>
            <a:solidFill>
              <a:schemeClr val="bg1"/>
            </a:solidFill>
            <a:effectLst/>
            <a:latin typeface="Calibri"/>
            <a:ea typeface="Calibri"/>
            <a:cs typeface="Calibri"/>
          </a:endParaRPr>
        </a:p>
      </xdr:txBody>
    </xdr:sp>
    <xdr:clientData/>
  </xdr:twoCellAnchor>
  <xdr:twoCellAnchor editAs="absolute">
    <xdr:from>
      <xdr:col>2</xdr:col>
      <xdr:colOff>297180</xdr:colOff>
      <xdr:row>19</xdr:row>
      <xdr:rowOff>15240</xdr:rowOff>
    </xdr:from>
    <xdr:to>
      <xdr:col>4</xdr:col>
      <xdr:colOff>157980</xdr:colOff>
      <xdr:row>21</xdr:row>
      <xdr:rowOff>9480</xdr:rowOff>
    </xdr:to>
    <xdr:sp macro="" textlink="Dashboard_Calculations!F18">
      <xdr:nvSpPr>
        <xdr:cNvPr id="27" name="TextBox 26">
          <a:extLst>
            <a:ext uri="{FF2B5EF4-FFF2-40B4-BE49-F238E27FC236}">
              <a16:creationId xmlns:a16="http://schemas.microsoft.com/office/drawing/2014/main" id="{C1BC58C5-8736-B731-7466-F8F32FC5B8DC}"/>
            </a:ext>
          </a:extLst>
        </xdr:cNvPr>
        <xdr:cNvSpPr txBox="1"/>
      </xdr:nvSpPr>
      <xdr:spPr>
        <a:xfrm>
          <a:off x="1082040" y="3489960"/>
          <a:ext cx="1080000" cy="360000"/>
        </a:xfrm>
        <a:prstGeom prst="rect">
          <a:avLst/>
        </a:prstGeom>
        <a:ln>
          <a:noFill/>
        </a:ln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wrap="square" lIns="72000" tIns="72000" rIns="72000" bIns="72000" rtlCol="0" anchor="ctr"/>
        <a:lstStyle/>
        <a:p>
          <a:pPr marL="0" indent="0" algn="l"/>
          <a:fld id="{0DF8CF27-D72E-4488-A0E7-80CF01FFCA22}" type="TxLink">
            <a:rPr lang="en-US" sz="2400" b="1" i="0" u="none" strike="noStrike" cap="none" spc="0">
              <a:ln>
                <a:noFill/>
              </a:ln>
              <a:solidFill>
                <a:schemeClr val="bg1"/>
              </a:solidFill>
              <a:effectLst/>
              <a:latin typeface="Calibri"/>
              <a:ea typeface="Calibri"/>
              <a:cs typeface="Calibri"/>
            </a:rPr>
            <a:pPr marL="0" indent="0" algn="l"/>
            <a:t>1.04%</a:t>
          </a:fld>
          <a:endParaRPr lang="en-IN" sz="2400" b="1" i="0" u="none" strike="noStrike" cap="none" spc="0">
            <a:ln>
              <a:noFill/>
            </a:ln>
            <a:solidFill>
              <a:schemeClr val="bg1"/>
            </a:solidFill>
            <a:effectLst/>
            <a:latin typeface="Calibri"/>
            <a:ea typeface="Calibri"/>
            <a:cs typeface="Calibri"/>
          </a:endParaRPr>
        </a:p>
      </xdr:txBody>
    </xdr:sp>
    <xdr:clientData/>
  </xdr:twoCellAnchor>
  <xdr:twoCellAnchor editAs="absolute">
    <xdr:from>
      <xdr:col>2</xdr:col>
      <xdr:colOff>297180</xdr:colOff>
      <xdr:row>21</xdr:row>
      <xdr:rowOff>83820</xdr:rowOff>
    </xdr:from>
    <xdr:to>
      <xdr:col>4</xdr:col>
      <xdr:colOff>7620</xdr:colOff>
      <xdr:row>22</xdr:row>
      <xdr:rowOff>106680</xdr:rowOff>
    </xdr:to>
    <xdr:sp macro="" textlink="Dashboard_Calculations!G18">
      <xdr:nvSpPr>
        <xdr:cNvPr id="28" name="TextBox 27">
          <a:extLst>
            <a:ext uri="{FF2B5EF4-FFF2-40B4-BE49-F238E27FC236}">
              <a16:creationId xmlns:a16="http://schemas.microsoft.com/office/drawing/2014/main" id="{1A3E71F8-BF2C-38D2-DE9D-F521F2E8A3CD}"/>
            </a:ext>
          </a:extLst>
        </xdr:cNvPr>
        <xdr:cNvSpPr txBox="1"/>
      </xdr:nvSpPr>
      <xdr:spPr>
        <a:xfrm>
          <a:off x="1082040" y="3924300"/>
          <a:ext cx="929640" cy="2057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marL="0" indent="0" algn="l"/>
          <a:fld id="{A5C750C3-6C50-48F9-A130-C78E1D971A2B}" type="TxLink">
            <a:rPr lang="en-US" sz="1400" b="1" i="0" u="none" strike="noStrike">
              <a:solidFill>
                <a:schemeClr val="accent2">
                  <a:lumMod val="75000"/>
                </a:schemeClr>
              </a:solidFill>
              <a:effectLst/>
              <a:latin typeface="Calibri"/>
              <a:ea typeface="Calibri"/>
              <a:cs typeface="Calibri"/>
            </a:rPr>
            <a:pPr marL="0" indent="0" algn="l"/>
            <a:t>Jun-2022</a:t>
          </a:fld>
          <a:endParaRPr lang="en-IN" sz="1400" b="1" i="0" u="none" strike="noStrike">
            <a:solidFill>
              <a:schemeClr val="accent2">
                <a:lumMod val="75000"/>
              </a:schemeClr>
            </a:solidFill>
            <a:effectLst/>
            <a:latin typeface="Calibri"/>
            <a:ea typeface="Calibri"/>
            <a:cs typeface="Calibri"/>
          </a:endParaRPr>
        </a:p>
      </xdr:txBody>
    </xdr:sp>
    <xdr:clientData/>
  </xdr:twoCellAnchor>
  <xdr:twoCellAnchor editAs="absolute">
    <xdr:from>
      <xdr:col>2</xdr:col>
      <xdr:colOff>289559</xdr:colOff>
      <xdr:row>13</xdr:row>
      <xdr:rowOff>83820</xdr:rowOff>
    </xdr:from>
    <xdr:to>
      <xdr:col>4</xdr:col>
      <xdr:colOff>578068</xdr:colOff>
      <xdr:row>14</xdr:row>
      <xdr:rowOff>106680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BBAEB813-4233-92E6-823C-E3DB308E416F}"/>
            </a:ext>
          </a:extLst>
        </xdr:cNvPr>
        <xdr:cNvSpPr txBox="1"/>
      </xdr:nvSpPr>
      <xdr:spPr>
        <a:xfrm>
          <a:off x="1074419" y="2461260"/>
          <a:ext cx="1507709" cy="2057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marL="0" indent="0" algn="l"/>
          <a:r>
            <a:rPr lang="en-IN" sz="1400" b="1">
              <a:solidFill>
                <a:schemeClr val="accent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Share in May 2023</a:t>
          </a:r>
        </a:p>
      </xdr:txBody>
    </xdr:sp>
    <xdr:clientData/>
  </xdr:twoCellAnchor>
  <xdr:twoCellAnchor editAs="absolute">
    <xdr:from>
      <xdr:col>8</xdr:col>
      <xdr:colOff>53340</xdr:colOff>
      <xdr:row>21</xdr:row>
      <xdr:rowOff>83820</xdr:rowOff>
    </xdr:from>
    <xdr:to>
      <xdr:col>9</xdr:col>
      <xdr:colOff>373380</xdr:colOff>
      <xdr:row>22</xdr:row>
      <xdr:rowOff>106680</xdr:rowOff>
    </xdr:to>
    <xdr:sp macro="" textlink="Dashboard_Calculations!G22">
      <xdr:nvSpPr>
        <xdr:cNvPr id="30" name="TextBox 29">
          <a:extLst>
            <a:ext uri="{FF2B5EF4-FFF2-40B4-BE49-F238E27FC236}">
              <a16:creationId xmlns:a16="http://schemas.microsoft.com/office/drawing/2014/main" id="{C3E59372-E30A-F3EB-C052-CD5081899C10}"/>
            </a:ext>
          </a:extLst>
        </xdr:cNvPr>
        <xdr:cNvSpPr txBox="1"/>
      </xdr:nvSpPr>
      <xdr:spPr>
        <a:xfrm>
          <a:off x="4495800" y="3924300"/>
          <a:ext cx="929640" cy="2057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marL="0" indent="0" algn="l"/>
          <a:fld id="{C0A9A8A1-F90D-4CDB-B7D8-7111FCD1F45C}" type="TxLink">
            <a:rPr lang="en-US" sz="1400" b="1" i="0" u="none" strike="noStrike">
              <a:solidFill>
                <a:schemeClr val="accent2">
                  <a:lumMod val="75000"/>
                </a:schemeClr>
              </a:solidFill>
              <a:effectLst/>
              <a:latin typeface="Calibri"/>
              <a:ea typeface="Calibri"/>
              <a:cs typeface="Calibri"/>
            </a:rPr>
            <a:pPr marL="0" indent="0" algn="l"/>
            <a:t>Feb-2023</a:t>
          </a:fld>
          <a:endParaRPr lang="en-IN" sz="1400" b="1" i="0" u="none" strike="noStrike">
            <a:solidFill>
              <a:schemeClr val="accent2">
                <a:lumMod val="75000"/>
              </a:schemeClr>
            </a:solidFill>
            <a:effectLst/>
            <a:latin typeface="Calibri"/>
            <a:ea typeface="Calibri"/>
            <a:cs typeface="Calibri"/>
          </a:endParaRPr>
        </a:p>
      </xdr:txBody>
    </xdr:sp>
    <xdr:clientData/>
  </xdr:twoCellAnchor>
  <xdr:twoCellAnchor editAs="absolute">
    <xdr:from>
      <xdr:col>8</xdr:col>
      <xdr:colOff>60960</xdr:colOff>
      <xdr:row>13</xdr:row>
      <xdr:rowOff>83820</xdr:rowOff>
    </xdr:from>
    <xdr:to>
      <xdr:col>9</xdr:col>
      <xdr:colOff>381000</xdr:colOff>
      <xdr:row>14</xdr:row>
      <xdr:rowOff>106680</xdr:rowOff>
    </xdr:to>
    <xdr:sp macro="" textlink="Dashboard_Calculations!G5">
      <xdr:nvSpPr>
        <xdr:cNvPr id="31" name="TextBox 30">
          <a:extLst>
            <a:ext uri="{FF2B5EF4-FFF2-40B4-BE49-F238E27FC236}">
              <a16:creationId xmlns:a16="http://schemas.microsoft.com/office/drawing/2014/main" id="{A39C3157-3BED-5741-32FD-39056D0C543D}"/>
            </a:ext>
          </a:extLst>
        </xdr:cNvPr>
        <xdr:cNvSpPr txBox="1"/>
      </xdr:nvSpPr>
      <xdr:spPr>
        <a:xfrm>
          <a:off x="4503420" y="2461260"/>
          <a:ext cx="929640" cy="2057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marL="0" indent="0" algn="l"/>
          <a:fld id="{29FED742-4955-4FEC-96A6-8CB33E325DE2}" type="TxLink">
            <a:rPr lang="en-US" sz="1400" b="1" i="0" u="none" strike="noStrike">
              <a:solidFill>
                <a:schemeClr val="accent2">
                  <a:lumMod val="75000"/>
                </a:schemeClr>
              </a:solidFill>
              <a:effectLst/>
              <a:latin typeface="Calibri"/>
              <a:ea typeface="Calibri"/>
              <a:cs typeface="Calibri"/>
            </a:rPr>
            <a:pPr marL="0" indent="0" algn="l"/>
            <a:t>May-2022</a:t>
          </a:fld>
          <a:endParaRPr lang="en-IN" sz="1600" b="1">
            <a:solidFill>
              <a:schemeClr val="accent2">
                <a:lumMod val="75000"/>
              </a:schemeClr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13</xdr:col>
      <xdr:colOff>415583</xdr:colOff>
      <xdr:row>21</xdr:row>
      <xdr:rowOff>83820</xdr:rowOff>
    </xdr:from>
    <xdr:to>
      <xdr:col>16</xdr:col>
      <xdr:colOff>327660</xdr:colOff>
      <xdr:row>22</xdr:row>
      <xdr:rowOff>106680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107E06C6-B110-9F93-DCF8-56F05D16099C}"/>
            </a:ext>
          </a:extLst>
        </xdr:cNvPr>
        <xdr:cNvSpPr txBox="1"/>
      </xdr:nvSpPr>
      <xdr:spPr>
        <a:xfrm>
          <a:off x="7906043" y="3924300"/>
          <a:ext cx="1740877" cy="2057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marL="0" indent="0" algn="l"/>
          <a:r>
            <a:rPr lang="en-IN" sz="1400" b="1" i="0" u="none" strike="noStrike">
              <a:solidFill>
                <a:schemeClr val="accent2">
                  <a:lumMod val="75000"/>
                </a:schemeClr>
              </a:solidFill>
              <a:effectLst/>
              <a:latin typeface="Calibri"/>
              <a:ea typeface="Calibri"/>
              <a:cs typeface="Calibri"/>
            </a:rPr>
            <a:t>Jan 2021 to May 2023</a:t>
          </a:r>
        </a:p>
      </xdr:txBody>
    </xdr:sp>
    <xdr:clientData/>
  </xdr:twoCellAnchor>
  <xdr:twoCellAnchor editAs="absolute">
    <xdr:from>
      <xdr:col>13</xdr:col>
      <xdr:colOff>419100</xdr:colOff>
      <xdr:row>13</xdr:row>
      <xdr:rowOff>83820</xdr:rowOff>
    </xdr:from>
    <xdr:to>
      <xdr:col>15</xdr:col>
      <xdr:colOff>129540</xdr:colOff>
      <xdr:row>14</xdr:row>
      <xdr:rowOff>106680</xdr:rowOff>
    </xdr:to>
    <xdr:sp macro="" textlink="Dashboard_Calculations!G6">
      <xdr:nvSpPr>
        <xdr:cNvPr id="33" name="TextBox 32">
          <a:extLst>
            <a:ext uri="{FF2B5EF4-FFF2-40B4-BE49-F238E27FC236}">
              <a16:creationId xmlns:a16="http://schemas.microsoft.com/office/drawing/2014/main" id="{92DA47B1-B006-ACC0-8532-AD924BDA4977}"/>
            </a:ext>
          </a:extLst>
        </xdr:cNvPr>
        <xdr:cNvSpPr txBox="1"/>
      </xdr:nvSpPr>
      <xdr:spPr>
        <a:xfrm>
          <a:off x="7909560" y="2461260"/>
          <a:ext cx="929640" cy="2057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marL="0" indent="0" algn="l"/>
          <a:fld id="{76006525-48D7-41DB-AD53-C3A7CD687F21}" type="TxLink">
            <a:rPr lang="en-US" sz="1400" b="1" i="0" u="none" strike="noStrike">
              <a:solidFill>
                <a:schemeClr val="accent2">
                  <a:lumMod val="75000"/>
                </a:schemeClr>
              </a:solidFill>
              <a:effectLst/>
              <a:latin typeface="Calibri"/>
              <a:ea typeface="Calibri"/>
              <a:cs typeface="Calibri"/>
            </a:rPr>
            <a:pPr marL="0" indent="0" algn="l"/>
            <a:t>May-2017</a:t>
          </a:fld>
          <a:endParaRPr lang="en-IN" sz="1400" b="1" i="0" u="none" strike="noStrike">
            <a:solidFill>
              <a:schemeClr val="accent2">
                <a:lumMod val="75000"/>
              </a:schemeClr>
            </a:solidFill>
            <a:effectLst/>
            <a:latin typeface="Calibri"/>
            <a:ea typeface="Calibri"/>
            <a:cs typeface="Calibri"/>
          </a:endParaRPr>
        </a:p>
      </xdr:txBody>
    </xdr:sp>
    <xdr:clientData/>
  </xdr:twoCellAnchor>
  <xdr:twoCellAnchor editAs="absolute">
    <xdr:from>
      <xdr:col>4</xdr:col>
      <xdr:colOff>291921</xdr:colOff>
      <xdr:row>11</xdr:row>
      <xdr:rowOff>7620</xdr:rowOff>
    </xdr:from>
    <xdr:to>
      <xdr:col>5</xdr:col>
      <xdr:colOff>327661</xdr:colOff>
      <xdr:row>13</xdr:row>
      <xdr:rowOff>7620</xdr:rowOff>
    </xdr:to>
    <xdr:sp macro="" textlink="Dashboard_Calculations!G39">
      <xdr:nvSpPr>
        <xdr:cNvPr id="34" name="TextBox 33">
          <a:extLst>
            <a:ext uri="{FF2B5EF4-FFF2-40B4-BE49-F238E27FC236}">
              <a16:creationId xmlns:a16="http://schemas.microsoft.com/office/drawing/2014/main" id="{98E3CC72-7551-AC40-18EF-16BE777458BD}"/>
            </a:ext>
          </a:extLst>
        </xdr:cNvPr>
        <xdr:cNvSpPr txBox="1"/>
      </xdr:nvSpPr>
      <xdr:spPr>
        <a:xfrm>
          <a:off x="2295981" y="2019300"/>
          <a:ext cx="645340" cy="3657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marL="0" indent="0" algn="l"/>
          <a:r>
            <a:rPr lang="en-US" sz="1400" b="1" i="0" u="none" strike="noStrike" cap="none" spc="0">
              <a:ln>
                <a:noFill/>
              </a:ln>
              <a:solidFill>
                <a:schemeClr val="accent2">
                  <a:lumMod val="75000"/>
                </a:schemeClr>
              </a:solidFill>
              <a:effectLst/>
              <a:latin typeface="Calibri"/>
              <a:ea typeface="Calibri"/>
              <a:cs typeface="Calibri"/>
            </a:rPr>
            <a:t>(</a:t>
          </a:r>
          <a:fld id="{B744BE5C-250D-474D-B16E-B54143F8359F}" type="TxLink">
            <a:rPr lang="en-US" sz="1400" b="1" i="0" u="none" strike="noStrike" cap="none" spc="0">
              <a:ln>
                <a:noFill/>
              </a:ln>
              <a:solidFill>
                <a:schemeClr val="accent2">
                  <a:lumMod val="75000"/>
                </a:schemeClr>
              </a:solidFill>
              <a:effectLst/>
              <a:latin typeface="Calibri"/>
              <a:ea typeface="Calibri"/>
              <a:cs typeface="Calibri"/>
            </a:rPr>
            <a:pPr marL="0" indent="0" algn="l"/>
            <a:t>Food</a:t>
          </a:fld>
          <a:r>
            <a:rPr lang="en-US" sz="1400" b="1" i="0" u="none" strike="noStrike" cap="none" spc="0">
              <a:ln>
                <a:noFill/>
              </a:ln>
              <a:solidFill>
                <a:schemeClr val="accent2">
                  <a:lumMod val="75000"/>
                </a:schemeClr>
              </a:solidFill>
              <a:effectLst/>
              <a:latin typeface="Calibri"/>
              <a:ea typeface="Calibri"/>
              <a:cs typeface="Calibri"/>
            </a:rPr>
            <a:t>)</a:t>
          </a:r>
          <a:endParaRPr lang="en-IN" sz="1400" b="1" i="0" u="none" strike="noStrike" cap="none" spc="0">
            <a:ln>
              <a:noFill/>
            </a:ln>
            <a:solidFill>
              <a:schemeClr val="accent2">
                <a:lumMod val="75000"/>
              </a:schemeClr>
            </a:solidFill>
            <a:effectLst/>
            <a:latin typeface="Calibri"/>
            <a:ea typeface="Calibri"/>
            <a:cs typeface="Calibri"/>
          </a:endParaRPr>
        </a:p>
      </xdr:txBody>
    </xdr:sp>
    <xdr:clientData/>
  </xdr:twoCellAnchor>
  <xdr:twoCellAnchor editAs="absolute">
    <xdr:from>
      <xdr:col>15</xdr:col>
      <xdr:colOff>371035</xdr:colOff>
      <xdr:row>19</xdr:row>
      <xdr:rowOff>12309</xdr:rowOff>
    </xdr:from>
    <xdr:to>
      <xdr:col>17</xdr:col>
      <xdr:colOff>243840</xdr:colOff>
      <xdr:row>21</xdr:row>
      <xdr:rowOff>12309</xdr:rowOff>
    </xdr:to>
    <xdr:sp macro="" textlink="Dashboard_Calculations!G34">
      <xdr:nvSpPr>
        <xdr:cNvPr id="35" name="TextBox 34">
          <a:extLst>
            <a:ext uri="{FF2B5EF4-FFF2-40B4-BE49-F238E27FC236}">
              <a16:creationId xmlns:a16="http://schemas.microsoft.com/office/drawing/2014/main" id="{CDBE6D5C-748B-188E-BBF2-CF21EA062B40}"/>
            </a:ext>
          </a:extLst>
        </xdr:cNvPr>
        <xdr:cNvSpPr txBox="1"/>
      </xdr:nvSpPr>
      <xdr:spPr>
        <a:xfrm>
          <a:off x="9080695" y="3487029"/>
          <a:ext cx="1092005" cy="3657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marL="0" indent="0" algn="l"/>
          <a:r>
            <a:rPr lang="en-US" sz="1400" b="1" i="0" u="none" strike="noStrike" cap="none" spc="0">
              <a:ln>
                <a:noFill/>
              </a:ln>
              <a:solidFill>
                <a:schemeClr val="accent2">
                  <a:lumMod val="75000"/>
                </a:schemeClr>
              </a:solidFill>
              <a:effectLst/>
              <a:latin typeface="Calibri"/>
              <a:ea typeface="Calibri"/>
              <a:cs typeface="Calibri"/>
            </a:rPr>
            <a:t>(</a:t>
          </a:r>
          <a:fld id="{2B146CA5-CA9F-49EE-8C4C-6EBC5ACEC9F6}" type="TxLink">
            <a:rPr lang="en-US" sz="1400" b="1" i="0" u="none" strike="noStrike" cap="none" spc="0">
              <a:ln>
                <a:noFill/>
              </a:ln>
              <a:solidFill>
                <a:schemeClr val="accent2">
                  <a:lumMod val="75000"/>
                </a:schemeClr>
              </a:solidFill>
              <a:effectLst/>
              <a:latin typeface="Calibri"/>
              <a:ea typeface="Calibri"/>
              <a:cs typeface="Calibri"/>
            </a:rPr>
            <a:pPr marL="0" indent="0" algn="l"/>
            <a:t>Oils and fats</a:t>
          </a:fld>
          <a:r>
            <a:rPr lang="en-US" sz="1400" b="1" i="0" u="none" strike="noStrike" cap="none" spc="0">
              <a:ln>
                <a:noFill/>
              </a:ln>
              <a:solidFill>
                <a:schemeClr val="accent2">
                  <a:lumMod val="75000"/>
                </a:schemeClr>
              </a:solidFill>
              <a:effectLst/>
              <a:latin typeface="Calibri"/>
              <a:ea typeface="Calibri"/>
              <a:cs typeface="Calibri"/>
            </a:rPr>
            <a:t>)</a:t>
          </a:r>
          <a:endParaRPr lang="en-IN" sz="1400" b="1" i="0" u="none" strike="noStrike" cap="none" spc="0">
            <a:ln>
              <a:noFill/>
            </a:ln>
            <a:solidFill>
              <a:schemeClr val="accent2">
                <a:lumMod val="75000"/>
              </a:schemeClr>
            </a:solidFill>
            <a:effectLst/>
            <a:latin typeface="Calibri"/>
            <a:ea typeface="Calibri"/>
            <a:cs typeface="Calibri"/>
          </a:endParaRPr>
        </a:p>
      </xdr:txBody>
    </xdr:sp>
    <xdr:clientData/>
  </xdr:twoCellAnchor>
  <xdr:twoCellAnchor editAs="absolute">
    <xdr:from>
      <xdr:col>17</xdr:col>
      <xdr:colOff>487680</xdr:colOff>
      <xdr:row>8</xdr:row>
      <xdr:rowOff>0</xdr:rowOff>
    </xdr:from>
    <xdr:to>
      <xdr:col>23</xdr:col>
      <xdr:colOff>415680</xdr:colOff>
      <xdr:row>9</xdr:row>
      <xdr:rowOff>99060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724888F4-86BB-87D3-AB53-853D303998CF}"/>
            </a:ext>
          </a:extLst>
        </xdr:cNvPr>
        <xdr:cNvSpPr txBox="1"/>
      </xdr:nvSpPr>
      <xdr:spPr>
        <a:xfrm>
          <a:off x="10416540" y="1463040"/>
          <a:ext cx="3585600" cy="281940"/>
        </a:xfrm>
        <a:prstGeom prst="rect">
          <a:avLst/>
        </a:prstGeom>
        <a:solidFill>
          <a:schemeClr val="accent2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200" b="1">
              <a:solidFill>
                <a:schemeClr val="bg1"/>
              </a:solidFill>
              <a:latin typeface="+mn-lt"/>
              <a:ea typeface="+mn-ea"/>
              <a:cs typeface="+mn-cs"/>
            </a:rPr>
            <a:t>NOTES &amp; DEFINITIONS</a:t>
          </a:r>
        </a:p>
      </xdr:txBody>
    </xdr:sp>
    <xdr:clientData/>
  </xdr:twoCellAnchor>
  <xdr:twoCellAnchor>
    <xdr:from>
      <xdr:col>17</xdr:col>
      <xdr:colOff>590550</xdr:colOff>
      <xdr:row>10</xdr:row>
      <xdr:rowOff>76200</xdr:rowOff>
    </xdr:from>
    <xdr:to>
      <xdr:col>23</xdr:col>
      <xdr:colOff>316230</xdr:colOff>
      <xdr:row>12</xdr:row>
      <xdr:rowOff>178440</xdr:rowOff>
    </xdr:to>
    <xdr:sp macro="" textlink="">
      <xdr:nvSpPr>
        <xdr:cNvPr id="37" name="Rectangle: Rounded Corners 36">
          <a:extLst>
            <a:ext uri="{FF2B5EF4-FFF2-40B4-BE49-F238E27FC236}">
              <a16:creationId xmlns:a16="http://schemas.microsoft.com/office/drawing/2014/main" id="{7AC0A363-A6C5-9C46-99EB-F235C901047A}"/>
            </a:ext>
          </a:extLst>
        </xdr:cNvPr>
        <xdr:cNvSpPr/>
      </xdr:nvSpPr>
      <xdr:spPr>
        <a:xfrm>
          <a:off x="10519410" y="1905000"/>
          <a:ext cx="3383280" cy="468000"/>
        </a:xfrm>
        <a:prstGeom prst="roundRect">
          <a:avLst>
            <a:gd name="adj" fmla="val 9524"/>
          </a:avLst>
        </a:prstGeom>
        <a:solidFill>
          <a:schemeClr val="accent2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>
              <a:solidFill>
                <a:schemeClr val="tx1"/>
              </a:solidFill>
            </a:rPr>
            <a:t>CPI Index</a:t>
          </a:r>
          <a:r>
            <a:rPr lang="en-IN" sz="1200" baseline="0">
              <a:solidFill>
                <a:schemeClr val="tx1"/>
              </a:solidFill>
            </a:rPr>
            <a:t> Base Year = 2012 = 100</a:t>
          </a:r>
          <a:endParaRPr lang="en-IN" sz="1200"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590550</xdr:colOff>
      <xdr:row>13</xdr:row>
      <xdr:rowOff>132690</xdr:rowOff>
    </xdr:from>
    <xdr:to>
      <xdr:col>23</xdr:col>
      <xdr:colOff>316230</xdr:colOff>
      <xdr:row>16</xdr:row>
      <xdr:rowOff>160050</xdr:rowOff>
    </xdr:to>
    <xdr:sp macro="" textlink="">
      <xdr:nvSpPr>
        <xdr:cNvPr id="38" name="Rectangle: Rounded Corners 37">
          <a:extLst>
            <a:ext uri="{FF2B5EF4-FFF2-40B4-BE49-F238E27FC236}">
              <a16:creationId xmlns:a16="http://schemas.microsoft.com/office/drawing/2014/main" id="{7750918A-EFBB-ED59-9B56-0E49AA8FEF70}"/>
            </a:ext>
          </a:extLst>
        </xdr:cNvPr>
        <xdr:cNvSpPr/>
      </xdr:nvSpPr>
      <xdr:spPr>
        <a:xfrm>
          <a:off x="10519410" y="2510130"/>
          <a:ext cx="3383280" cy="576000"/>
        </a:xfrm>
        <a:prstGeom prst="roundRect">
          <a:avLst>
            <a:gd name="adj" fmla="val 9524"/>
          </a:avLst>
        </a:prstGeom>
        <a:solidFill>
          <a:schemeClr val="accent2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r>
            <a:rPr lang="en-IN" sz="1200">
              <a:solidFill>
                <a:schemeClr val="tx1"/>
              </a:solidFill>
              <a:latin typeface="+mn-lt"/>
              <a:ea typeface="+mn-ea"/>
              <a:cs typeface="+mn-cs"/>
            </a:rPr>
            <a:t>YOY Inflation (%) = [(CPI Index This Year - CPI Index Last Year) / CPI Index Last Year] x 100</a:t>
          </a:r>
        </a:p>
      </xdr:txBody>
    </xdr:sp>
    <xdr:clientData/>
  </xdr:twoCellAnchor>
  <xdr:twoCellAnchor>
    <xdr:from>
      <xdr:col>17</xdr:col>
      <xdr:colOff>590550</xdr:colOff>
      <xdr:row>17</xdr:row>
      <xdr:rowOff>114300</xdr:rowOff>
    </xdr:from>
    <xdr:to>
      <xdr:col>23</xdr:col>
      <xdr:colOff>316230</xdr:colOff>
      <xdr:row>21</xdr:row>
      <xdr:rowOff>174780</xdr:rowOff>
    </xdr:to>
    <xdr:sp macro="" textlink="">
      <xdr:nvSpPr>
        <xdr:cNvPr id="39" name="Rectangle: Rounded Corners 38">
          <a:extLst>
            <a:ext uri="{FF2B5EF4-FFF2-40B4-BE49-F238E27FC236}">
              <a16:creationId xmlns:a16="http://schemas.microsoft.com/office/drawing/2014/main" id="{1F8E4268-1D99-2770-5148-DFEACA0C8454}"/>
            </a:ext>
          </a:extLst>
        </xdr:cNvPr>
        <xdr:cNvSpPr/>
      </xdr:nvSpPr>
      <xdr:spPr>
        <a:xfrm>
          <a:off x="10519410" y="3223260"/>
          <a:ext cx="3383280" cy="792000"/>
        </a:xfrm>
        <a:prstGeom prst="roundRect">
          <a:avLst>
            <a:gd name="adj" fmla="val 9524"/>
          </a:avLst>
        </a:prstGeom>
        <a:solidFill>
          <a:schemeClr val="accent2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r>
            <a:rPr lang="en-IN" sz="1200">
              <a:solidFill>
                <a:schemeClr val="tx1"/>
              </a:solidFill>
              <a:latin typeface="+mn-lt"/>
              <a:ea typeface="+mn-ea"/>
              <a:cs typeface="+mn-cs"/>
            </a:rPr>
            <a:t>MoM Inflation (%) = [(CPI Index This Month - CPI Index Previous Month) / CPI Index Previous Month] x 100</a:t>
          </a:r>
        </a:p>
      </xdr:txBody>
    </xdr:sp>
    <xdr:clientData/>
  </xdr:twoCellAnchor>
  <xdr:twoCellAnchor editAs="absolute">
    <xdr:from>
      <xdr:col>1</xdr:col>
      <xdr:colOff>7620</xdr:colOff>
      <xdr:row>27</xdr:row>
      <xdr:rowOff>0</xdr:rowOff>
    </xdr:from>
    <xdr:to>
      <xdr:col>12</xdr:col>
      <xdr:colOff>106020</xdr:colOff>
      <xdr:row>60</xdr:row>
      <xdr:rowOff>60960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48FF15A8-C528-4375-8C2B-EB5961BD053B}"/>
            </a:ext>
          </a:extLst>
        </xdr:cNvPr>
        <xdr:cNvSpPr/>
      </xdr:nvSpPr>
      <xdr:spPr>
        <a:xfrm>
          <a:off x="182880" y="4937760"/>
          <a:ext cx="6804000" cy="6096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endParaRPr lang="en-IN" sz="1400">
            <a:solidFill>
              <a:schemeClr val="tx1"/>
            </a:solidFill>
            <a:effectLst/>
          </a:endParaRPr>
        </a:p>
      </xdr:txBody>
    </xdr:sp>
    <xdr:clientData/>
  </xdr:twoCellAnchor>
  <xdr:twoCellAnchor editAs="absolute">
    <xdr:from>
      <xdr:col>1</xdr:col>
      <xdr:colOff>0</xdr:colOff>
      <xdr:row>24</xdr:row>
      <xdr:rowOff>0</xdr:rowOff>
    </xdr:from>
    <xdr:to>
      <xdr:col>12</xdr:col>
      <xdr:colOff>98400</xdr:colOff>
      <xdr:row>26</xdr:row>
      <xdr:rowOff>174240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B994A20F-44D4-47BF-8B7A-112C1FDD31CD}"/>
            </a:ext>
          </a:extLst>
        </xdr:cNvPr>
        <xdr:cNvSpPr txBox="1"/>
      </xdr:nvSpPr>
      <xdr:spPr>
        <a:xfrm>
          <a:off x="175260" y="4389120"/>
          <a:ext cx="6804000" cy="540000"/>
        </a:xfrm>
        <a:prstGeom prst="rect">
          <a:avLst/>
        </a:prstGeom>
        <a:solidFill>
          <a:schemeClr val="accent2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540000" rtlCol="0" anchor="ctr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200" b="1" cap="none" baseline="0">
              <a:solidFill>
                <a:schemeClr val="bg1"/>
              </a:solidFill>
              <a:effectLst/>
            </a:rPr>
            <a:t>CPI CONTRIBUTION ANALYSIS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200" b="1" cap="none" baseline="0">
              <a:solidFill>
                <a:schemeClr val="bg1"/>
              </a:solidFill>
              <a:effectLst/>
            </a:rPr>
            <a:t>Based on Latest Month - May 2023</a:t>
          </a:r>
        </a:p>
      </xdr:txBody>
    </xdr:sp>
    <xdr:clientData/>
  </xdr:twoCellAnchor>
  <xdr:twoCellAnchor editAs="absolute">
    <xdr:from>
      <xdr:col>12</xdr:col>
      <xdr:colOff>312420</xdr:colOff>
      <xdr:row>27</xdr:row>
      <xdr:rowOff>0</xdr:rowOff>
    </xdr:from>
    <xdr:to>
      <xdr:col>23</xdr:col>
      <xdr:colOff>410820</xdr:colOff>
      <xdr:row>41</xdr:row>
      <xdr:rowOff>106680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216C2A0F-1ABA-4D00-B9D8-554C1CDDA700}"/>
            </a:ext>
          </a:extLst>
        </xdr:cNvPr>
        <xdr:cNvSpPr/>
      </xdr:nvSpPr>
      <xdr:spPr>
        <a:xfrm>
          <a:off x="7193280" y="4937760"/>
          <a:ext cx="6804000" cy="2667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endParaRPr lang="en-IN" sz="1200">
            <a:solidFill>
              <a:schemeClr val="tx1"/>
            </a:solidFill>
            <a:effectLst/>
          </a:endParaRPr>
        </a:p>
      </xdr:txBody>
    </xdr:sp>
    <xdr:clientData/>
  </xdr:twoCellAnchor>
  <xdr:twoCellAnchor editAs="absolute">
    <xdr:from>
      <xdr:col>12</xdr:col>
      <xdr:colOff>304800</xdr:colOff>
      <xdr:row>24</xdr:row>
      <xdr:rowOff>0</xdr:rowOff>
    </xdr:from>
    <xdr:to>
      <xdr:col>23</xdr:col>
      <xdr:colOff>403200</xdr:colOff>
      <xdr:row>26</xdr:row>
      <xdr:rowOff>174240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5EFCFCD6-AF42-447F-948B-92147905B4D3}"/>
            </a:ext>
          </a:extLst>
        </xdr:cNvPr>
        <xdr:cNvSpPr txBox="1"/>
      </xdr:nvSpPr>
      <xdr:spPr>
        <a:xfrm>
          <a:off x="7185660" y="4389120"/>
          <a:ext cx="6804000" cy="540000"/>
        </a:xfrm>
        <a:prstGeom prst="rect">
          <a:avLst/>
        </a:prstGeom>
        <a:solidFill>
          <a:schemeClr val="accent2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540000" rtlCol="0" anchor="ctr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200" b="1">
              <a:solidFill>
                <a:schemeClr val="bg1"/>
              </a:solidFill>
            </a:rPr>
            <a:t>YoY CPI INFLATION ANALYSIS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200" b="1" baseline="0">
              <a:solidFill>
                <a:schemeClr val="bg1"/>
              </a:solidFill>
              <a:latin typeface="+mn-lt"/>
              <a:ea typeface="+mn-ea"/>
              <a:cs typeface="+mn-cs"/>
            </a:rPr>
            <a:t>May 2017 to May 2023 (Rural+Urban)</a:t>
          </a:r>
        </a:p>
      </xdr:txBody>
    </xdr:sp>
    <xdr:clientData/>
  </xdr:twoCellAnchor>
  <xdr:twoCellAnchor>
    <xdr:from>
      <xdr:col>8</xdr:col>
      <xdr:colOff>201930</xdr:colOff>
      <xdr:row>41</xdr:row>
      <xdr:rowOff>159090</xdr:rowOff>
    </xdr:from>
    <xdr:to>
      <xdr:col>11</xdr:col>
      <xdr:colOff>598170</xdr:colOff>
      <xdr:row>45</xdr:row>
      <xdr:rowOff>84750</xdr:rowOff>
    </xdr:to>
    <xdr:sp macro="" textlink="">
      <xdr:nvSpPr>
        <xdr:cNvPr id="45" name="Rectangle: Rounded Corners 44">
          <a:extLst>
            <a:ext uri="{FF2B5EF4-FFF2-40B4-BE49-F238E27FC236}">
              <a16:creationId xmlns:a16="http://schemas.microsoft.com/office/drawing/2014/main" id="{81E5404B-9C8E-B579-64AC-A262D7B80F80}"/>
            </a:ext>
          </a:extLst>
        </xdr:cNvPr>
        <xdr:cNvSpPr/>
      </xdr:nvSpPr>
      <xdr:spPr>
        <a:xfrm>
          <a:off x="4644390" y="7657170"/>
          <a:ext cx="2225040" cy="657180"/>
        </a:xfrm>
        <a:prstGeom prst="roundRect">
          <a:avLst>
            <a:gd name="adj" fmla="val 4049"/>
          </a:avLst>
        </a:prstGeom>
        <a:noFill/>
        <a:ln w="9525">
          <a:solidFill>
            <a:schemeClr val="accent2">
              <a:lumMod val="75000"/>
            </a:schemeClr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r>
            <a:rPr lang="en-IN" sz="12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rPr>
            <a:t>Food is the largest contributor to CPI across all sectors.</a:t>
          </a:r>
        </a:p>
      </xdr:txBody>
    </xdr:sp>
    <xdr:clientData/>
  </xdr:twoCellAnchor>
  <xdr:twoCellAnchor>
    <xdr:from>
      <xdr:col>19</xdr:col>
      <xdr:colOff>510540</xdr:colOff>
      <xdr:row>32</xdr:row>
      <xdr:rowOff>59100</xdr:rowOff>
    </xdr:from>
    <xdr:to>
      <xdr:col>23</xdr:col>
      <xdr:colOff>297180</xdr:colOff>
      <xdr:row>36</xdr:row>
      <xdr:rowOff>47580</xdr:rowOff>
    </xdr:to>
    <xdr:sp macro="" textlink="">
      <xdr:nvSpPr>
        <xdr:cNvPr id="46" name="Rectangle: Rounded Corners 45">
          <a:extLst>
            <a:ext uri="{FF2B5EF4-FFF2-40B4-BE49-F238E27FC236}">
              <a16:creationId xmlns:a16="http://schemas.microsoft.com/office/drawing/2014/main" id="{0219C225-4F1F-3B89-5287-8C9792BCC61F}"/>
            </a:ext>
          </a:extLst>
        </xdr:cNvPr>
        <xdr:cNvSpPr/>
      </xdr:nvSpPr>
      <xdr:spPr>
        <a:xfrm>
          <a:off x="11658600" y="5911260"/>
          <a:ext cx="2225040" cy="720000"/>
        </a:xfrm>
        <a:prstGeom prst="roundRect">
          <a:avLst>
            <a:gd name="adj" fmla="val 4049"/>
          </a:avLst>
        </a:prstGeom>
        <a:noFill/>
        <a:ln w="9525">
          <a:solidFill>
            <a:schemeClr val="accent2">
              <a:lumMod val="75000"/>
            </a:schemeClr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r>
            <a:rPr lang="en-IN" sz="12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rPr>
            <a:t>May 2022 recorded the highest YoY inflation at 7.04%.</a:t>
          </a:r>
        </a:p>
      </xdr:txBody>
    </xdr:sp>
    <xdr:clientData/>
  </xdr:twoCellAnchor>
  <xdr:twoCellAnchor>
    <xdr:from>
      <xdr:col>8</xdr:col>
      <xdr:colOff>407670</xdr:colOff>
      <xdr:row>27</xdr:row>
      <xdr:rowOff>106680</xdr:rowOff>
    </xdr:from>
    <xdr:to>
      <xdr:col>11</xdr:col>
      <xdr:colOff>594870</xdr:colOff>
      <xdr:row>29</xdr:row>
      <xdr:rowOff>100920</xdr:rowOff>
    </xdr:to>
    <xdr:sp macro="" textlink="">
      <xdr:nvSpPr>
        <xdr:cNvPr id="47" name="Rectangle: Rounded Corners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47260B-2ADA-B644-1C55-0B82A9831A5A}"/>
            </a:ext>
          </a:extLst>
        </xdr:cNvPr>
        <xdr:cNvSpPr/>
      </xdr:nvSpPr>
      <xdr:spPr>
        <a:xfrm>
          <a:off x="4850130" y="5044440"/>
          <a:ext cx="2016000" cy="360000"/>
        </a:xfrm>
        <a:prstGeom prst="roundRect">
          <a:avLst>
            <a:gd name="adj" fmla="val 14632"/>
          </a:avLst>
        </a:prstGeom>
        <a:solidFill>
          <a:schemeClr val="bg1"/>
        </a:solidFill>
        <a:ln>
          <a:noFill/>
        </a:ln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bIns="9000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800" b="1">
              <a:solidFill>
                <a:schemeClr val="accent2"/>
              </a:solidFill>
              <a:effectLst/>
              <a:latin typeface="+mn-lt"/>
              <a:ea typeface="+mn-ea"/>
              <a:cs typeface="+mn-cs"/>
            </a:rPr>
            <a:t>View Q1 Sheet</a:t>
          </a:r>
          <a:r>
            <a:rPr lang="en-IN" sz="1800" b="1" baseline="0">
              <a:solidFill>
                <a:schemeClr val="accent2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800" b="1">
              <a:solidFill>
                <a:schemeClr val="accent2"/>
              </a:solidFill>
              <a:effectLst/>
              <a:latin typeface="+mn-lt"/>
              <a:ea typeface="+mn-ea"/>
              <a:cs typeface="+mn-cs"/>
            </a:rPr>
            <a:t>➤</a:t>
          </a:r>
          <a:endParaRPr lang="en-IN" sz="2000" b="1">
            <a:solidFill>
              <a:schemeClr val="accent2"/>
            </a:solidFill>
            <a:effectLst/>
          </a:endParaRPr>
        </a:p>
      </xdr:txBody>
    </xdr:sp>
    <xdr:clientData/>
  </xdr:twoCellAnchor>
  <xdr:twoCellAnchor>
    <xdr:from>
      <xdr:col>12</xdr:col>
      <xdr:colOff>312420</xdr:colOff>
      <xdr:row>64</xdr:row>
      <xdr:rowOff>99060</xdr:rowOff>
    </xdr:from>
    <xdr:to>
      <xdr:col>23</xdr:col>
      <xdr:colOff>410820</xdr:colOff>
      <xdr:row>79</xdr:row>
      <xdr:rowOff>22860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2B274961-1A41-1F3B-25CA-8F962A626504}"/>
            </a:ext>
          </a:extLst>
        </xdr:cNvPr>
        <xdr:cNvSpPr/>
      </xdr:nvSpPr>
      <xdr:spPr>
        <a:xfrm>
          <a:off x="7193280" y="11803380"/>
          <a:ext cx="6804000" cy="2667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endParaRPr lang="en-IN" sz="12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</xdr:col>
      <xdr:colOff>7620</xdr:colOff>
      <xdr:row>61</xdr:row>
      <xdr:rowOff>99060</xdr:rowOff>
    </xdr:from>
    <xdr:to>
      <xdr:col>12</xdr:col>
      <xdr:colOff>106020</xdr:colOff>
      <xdr:row>64</xdr:row>
      <xdr:rowOff>90420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DB3BA06D-FE04-AF6D-6074-C60E11BD13A7}"/>
            </a:ext>
          </a:extLst>
        </xdr:cNvPr>
        <xdr:cNvSpPr txBox="1"/>
      </xdr:nvSpPr>
      <xdr:spPr>
        <a:xfrm>
          <a:off x="182880" y="11254740"/>
          <a:ext cx="6804000" cy="540000"/>
        </a:xfrm>
        <a:prstGeom prst="rect">
          <a:avLst/>
        </a:prstGeom>
        <a:solidFill>
          <a:schemeClr val="accent2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540000" rtlCol="0" anchor="ctr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200" b="1">
              <a:solidFill>
                <a:schemeClr val="bg1"/>
              </a:solidFill>
            </a:rPr>
            <a:t>COVID</a:t>
          </a:r>
          <a:r>
            <a:rPr lang="en-IN" sz="1200" b="1" baseline="0">
              <a:solidFill>
                <a:schemeClr val="bg1"/>
              </a:solidFill>
            </a:rPr>
            <a:t>-19 IMPACT ON INFLATION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200" b="1" baseline="0">
              <a:solidFill>
                <a:schemeClr val="bg1"/>
              </a:solidFill>
              <a:latin typeface="+mn-lt"/>
              <a:ea typeface="+mn-ea"/>
              <a:cs typeface="+mn-cs"/>
            </a:rPr>
            <a:t>YoY Comparision - Mar 2017 to Mar 2023</a:t>
          </a:r>
        </a:p>
      </xdr:txBody>
    </xdr:sp>
    <xdr:clientData/>
  </xdr:twoCellAnchor>
  <xdr:twoCellAnchor>
    <xdr:from>
      <xdr:col>19</xdr:col>
      <xdr:colOff>502920</xdr:colOff>
      <xdr:row>69</xdr:row>
      <xdr:rowOff>50160</xdr:rowOff>
    </xdr:from>
    <xdr:to>
      <xdr:col>23</xdr:col>
      <xdr:colOff>289560</xdr:colOff>
      <xdr:row>74</xdr:row>
      <xdr:rowOff>71760</xdr:rowOff>
    </xdr:to>
    <xdr:sp macro="" textlink="">
      <xdr:nvSpPr>
        <xdr:cNvPr id="54" name="Rectangle: Rounded Corners 53">
          <a:extLst>
            <a:ext uri="{FF2B5EF4-FFF2-40B4-BE49-F238E27FC236}">
              <a16:creationId xmlns:a16="http://schemas.microsoft.com/office/drawing/2014/main" id="{58C93D89-3697-87CC-DD71-E58D16FA45D3}"/>
            </a:ext>
          </a:extLst>
        </xdr:cNvPr>
        <xdr:cNvSpPr/>
      </xdr:nvSpPr>
      <xdr:spPr>
        <a:xfrm>
          <a:off x="11650980" y="12668880"/>
          <a:ext cx="2225040" cy="936000"/>
        </a:xfrm>
        <a:prstGeom prst="roundRect">
          <a:avLst>
            <a:gd name="adj" fmla="val 4049"/>
          </a:avLst>
        </a:prstGeom>
        <a:noFill/>
        <a:ln w="9525">
          <a:solidFill>
            <a:schemeClr val="accent2">
              <a:lumMod val="75000"/>
            </a:schemeClr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r>
            <a:rPr lang="en-IN" sz="12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rPr>
            <a:t>Oils &amp; Fats has the highest positive correlation (0.40) with imported crude oil price changes.</a:t>
          </a:r>
        </a:p>
      </xdr:txBody>
    </xdr:sp>
    <xdr:clientData/>
  </xdr:twoCellAnchor>
  <xdr:twoCellAnchor>
    <xdr:from>
      <xdr:col>1</xdr:col>
      <xdr:colOff>7620</xdr:colOff>
      <xdr:row>64</xdr:row>
      <xdr:rowOff>99060</xdr:rowOff>
    </xdr:from>
    <xdr:to>
      <xdr:col>12</xdr:col>
      <xdr:colOff>106020</xdr:colOff>
      <xdr:row>79</xdr:row>
      <xdr:rowOff>38100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5D017D0C-1D80-8280-FE40-195911546DDA}"/>
            </a:ext>
          </a:extLst>
        </xdr:cNvPr>
        <xdr:cNvSpPr/>
      </xdr:nvSpPr>
      <xdr:spPr>
        <a:xfrm>
          <a:off x="182880" y="11803380"/>
          <a:ext cx="6804000" cy="268224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endParaRPr lang="en-IN" sz="14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12</xdr:col>
      <xdr:colOff>312420</xdr:colOff>
      <xdr:row>61</xdr:row>
      <xdr:rowOff>99060</xdr:rowOff>
    </xdr:from>
    <xdr:to>
      <xdr:col>23</xdr:col>
      <xdr:colOff>410820</xdr:colOff>
      <xdr:row>64</xdr:row>
      <xdr:rowOff>90420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1D638CF4-4B02-A5A4-0ACA-2D18FF1AAF8C}"/>
            </a:ext>
          </a:extLst>
        </xdr:cNvPr>
        <xdr:cNvSpPr txBox="1"/>
      </xdr:nvSpPr>
      <xdr:spPr>
        <a:xfrm>
          <a:off x="7193280" y="11254740"/>
          <a:ext cx="6804000" cy="540000"/>
        </a:xfrm>
        <a:prstGeom prst="rect">
          <a:avLst/>
        </a:prstGeom>
        <a:solidFill>
          <a:schemeClr val="accent2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540000" rtlCol="0" anchor="ctr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200" b="1" cap="none">
              <a:solidFill>
                <a:schemeClr val="bg1"/>
              </a:solidFill>
            </a:rPr>
            <a:t>OIL PRICE &amp; CPI RELATIONSHIP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200" b="1" cap="none" baseline="0">
              <a:solidFill>
                <a:schemeClr val="bg1"/>
              </a:solidFill>
              <a:effectLst/>
            </a:rPr>
            <a:t>Jan 2021 to May 2023 (MoM %)</a:t>
          </a:r>
        </a:p>
      </xdr:txBody>
    </xdr:sp>
    <xdr:clientData/>
  </xdr:twoCellAnchor>
  <xdr:twoCellAnchor>
    <xdr:from>
      <xdr:col>8</xdr:col>
      <xdr:colOff>205740</xdr:colOff>
      <xdr:row>69</xdr:row>
      <xdr:rowOff>57780</xdr:rowOff>
    </xdr:from>
    <xdr:to>
      <xdr:col>11</xdr:col>
      <xdr:colOff>601980</xdr:colOff>
      <xdr:row>74</xdr:row>
      <xdr:rowOff>79380</xdr:rowOff>
    </xdr:to>
    <xdr:sp macro="" textlink="">
      <xdr:nvSpPr>
        <xdr:cNvPr id="59" name="Rectangle: Rounded Corners 58">
          <a:extLst>
            <a:ext uri="{FF2B5EF4-FFF2-40B4-BE49-F238E27FC236}">
              <a16:creationId xmlns:a16="http://schemas.microsoft.com/office/drawing/2014/main" id="{DF2AE01B-B5D5-36E7-54E2-B8A3E432158F}"/>
            </a:ext>
          </a:extLst>
        </xdr:cNvPr>
        <xdr:cNvSpPr/>
      </xdr:nvSpPr>
      <xdr:spPr>
        <a:xfrm>
          <a:off x="4648200" y="12676500"/>
          <a:ext cx="2225040" cy="936000"/>
        </a:xfrm>
        <a:prstGeom prst="roundRect">
          <a:avLst>
            <a:gd name="adj" fmla="val 4049"/>
          </a:avLst>
        </a:prstGeom>
        <a:noFill/>
        <a:ln w="9525">
          <a:solidFill>
            <a:schemeClr val="accent2">
              <a:lumMod val="75000"/>
            </a:schemeClr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r>
            <a:rPr lang="en-IN" sz="12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rPr>
            <a:t>General Index inflation increased from ~3.8% (pre-COVID) to ~5.8% (from COVID onset onward).</a:t>
          </a:r>
        </a:p>
      </xdr:txBody>
    </xdr:sp>
    <xdr:clientData/>
  </xdr:twoCellAnchor>
  <xdr:twoCellAnchor>
    <xdr:from>
      <xdr:col>1</xdr:col>
      <xdr:colOff>7620</xdr:colOff>
      <xdr:row>81</xdr:row>
      <xdr:rowOff>167640</xdr:rowOff>
    </xdr:from>
    <xdr:to>
      <xdr:col>23</xdr:col>
      <xdr:colOff>420420</xdr:colOff>
      <xdr:row>87</xdr:row>
      <xdr:rowOff>150360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EF8A89C2-2199-F60D-5964-43AD02421F1C}"/>
            </a:ext>
          </a:extLst>
        </xdr:cNvPr>
        <xdr:cNvSpPr/>
      </xdr:nvSpPr>
      <xdr:spPr>
        <a:xfrm>
          <a:off x="182880" y="14980920"/>
          <a:ext cx="13824000" cy="1080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endParaRPr lang="en-IN" sz="12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</xdr:col>
      <xdr:colOff>7620</xdr:colOff>
      <xdr:row>80</xdr:row>
      <xdr:rowOff>68580</xdr:rowOff>
    </xdr:from>
    <xdr:to>
      <xdr:col>23</xdr:col>
      <xdr:colOff>420420</xdr:colOff>
      <xdr:row>81</xdr:row>
      <xdr:rowOff>167640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7FF7CE82-8E1E-39B0-E08A-45CBCFB8BA8D}"/>
            </a:ext>
          </a:extLst>
        </xdr:cNvPr>
        <xdr:cNvSpPr txBox="1"/>
      </xdr:nvSpPr>
      <xdr:spPr>
        <a:xfrm>
          <a:off x="182880" y="14698980"/>
          <a:ext cx="13824000" cy="281940"/>
        </a:xfrm>
        <a:prstGeom prst="rect">
          <a:avLst/>
        </a:prstGeom>
        <a:solidFill>
          <a:schemeClr val="accent2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200" b="1">
              <a:solidFill>
                <a:schemeClr val="bg1"/>
              </a:solidFill>
            </a:rPr>
            <a:t>1. OBJECTIVE</a:t>
          </a:r>
          <a:endParaRPr lang="en-IN" sz="1200" b="1" cap="all" baseline="0">
            <a:solidFill>
              <a:schemeClr val="bg1"/>
            </a:solidFill>
            <a:effectLst/>
          </a:endParaRPr>
        </a:p>
      </xdr:txBody>
    </xdr:sp>
    <xdr:clientData/>
  </xdr:twoCellAnchor>
  <xdr:twoCellAnchor>
    <xdr:from>
      <xdr:col>12</xdr:col>
      <xdr:colOff>312420</xdr:colOff>
      <xdr:row>82</xdr:row>
      <xdr:rowOff>182760</xdr:rowOff>
    </xdr:from>
    <xdr:to>
      <xdr:col>17</xdr:col>
      <xdr:colOff>468420</xdr:colOff>
      <xdr:row>86</xdr:row>
      <xdr:rowOff>135240</xdr:rowOff>
    </xdr:to>
    <xdr:sp macro="" textlink="">
      <xdr:nvSpPr>
        <xdr:cNvPr id="64" name="Rectangle: Rounded Corners 63">
          <a:extLst>
            <a:ext uri="{FF2B5EF4-FFF2-40B4-BE49-F238E27FC236}">
              <a16:creationId xmlns:a16="http://schemas.microsoft.com/office/drawing/2014/main" id="{A6CD4910-2E3D-02BC-06F9-6828774B7D4E}"/>
            </a:ext>
          </a:extLst>
        </xdr:cNvPr>
        <xdr:cNvSpPr/>
      </xdr:nvSpPr>
      <xdr:spPr>
        <a:xfrm>
          <a:off x="7193280" y="15178920"/>
          <a:ext cx="3204000" cy="684000"/>
        </a:xfrm>
        <a:prstGeom prst="roundRect">
          <a:avLst>
            <a:gd name="adj" fmla="val 4049"/>
          </a:avLst>
        </a:prstGeom>
        <a:solidFill>
          <a:schemeClr val="accent2">
            <a:lumMod val="60000"/>
            <a:lumOff val="40000"/>
          </a:schemeClr>
        </a:solidFill>
        <a:ln>
          <a:solidFill>
            <a:schemeClr val="accent2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r>
            <a:rPr lang="en-IN" sz="1200" b="1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+mn-cs"/>
            </a:rPr>
            <a:t>Transport &amp; Communication experienced the sharpest post-COVID spike.</a:t>
          </a:r>
        </a:p>
      </xdr:txBody>
    </xdr:sp>
    <xdr:clientData/>
  </xdr:twoCellAnchor>
  <xdr:twoCellAnchor>
    <xdr:from>
      <xdr:col>18</xdr:col>
      <xdr:colOff>53340</xdr:colOff>
      <xdr:row>82</xdr:row>
      <xdr:rowOff>182760</xdr:rowOff>
    </xdr:from>
    <xdr:to>
      <xdr:col>23</xdr:col>
      <xdr:colOff>209340</xdr:colOff>
      <xdr:row>86</xdr:row>
      <xdr:rowOff>135240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3D2F1FC7-9470-32CF-B85F-05CCDD131F8E}"/>
            </a:ext>
          </a:extLst>
        </xdr:cNvPr>
        <xdr:cNvSpPr/>
      </xdr:nvSpPr>
      <xdr:spPr>
        <a:xfrm>
          <a:off x="10591800" y="15178920"/>
          <a:ext cx="3204000" cy="684000"/>
        </a:xfrm>
        <a:prstGeom prst="roundRect">
          <a:avLst>
            <a:gd name="adj" fmla="val 4049"/>
          </a:avLst>
        </a:prstGeom>
        <a:solidFill>
          <a:schemeClr val="accent2">
            <a:lumMod val="60000"/>
            <a:lumOff val="40000"/>
          </a:schemeClr>
        </a:solidFill>
        <a:ln>
          <a:solidFill>
            <a:schemeClr val="accent2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r>
            <a:rPr lang="en-IN" sz="1200" b="1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+mn-cs"/>
            </a:rPr>
            <a:t>Oils &amp; Fats is most associated with crude oil price movements (correlation of 0.40).</a:t>
          </a:r>
        </a:p>
      </xdr:txBody>
    </xdr:sp>
    <xdr:clientData/>
  </xdr:twoCellAnchor>
  <xdr:twoCellAnchor>
    <xdr:from>
      <xdr:col>1</xdr:col>
      <xdr:colOff>7620</xdr:colOff>
      <xdr:row>88</xdr:row>
      <xdr:rowOff>114301</xdr:rowOff>
    </xdr:from>
    <xdr:to>
      <xdr:col>23</xdr:col>
      <xdr:colOff>420420</xdr:colOff>
      <xdr:row>90</xdr:row>
      <xdr:rowOff>152400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8EA57022-C318-9583-2B40-E1043C251CC1}"/>
            </a:ext>
          </a:extLst>
        </xdr:cNvPr>
        <xdr:cNvSpPr/>
      </xdr:nvSpPr>
      <xdr:spPr>
        <a:xfrm>
          <a:off x="182880" y="16207741"/>
          <a:ext cx="13824000" cy="403859"/>
        </a:xfrm>
        <a:prstGeom prst="rect">
          <a:avLst/>
        </a:prstGeom>
        <a:ln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36000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IN" sz="12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This dashboard provides an executive summary. Click on the buttons above to explore detailed analysis for each question.</a:t>
          </a:r>
        </a:p>
      </xdr:txBody>
    </xdr:sp>
    <xdr:clientData/>
  </xdr:twoCellAnchor>
  <xdr:twoCellAnchor>
    <xdr:from>
      <xdr:col>1</xdr:col>
      <xdr:colOff>38101</xdr:colOff>
      <xdr:row>27</xdr:row>
      <xdr:rowOff>30480</xdr:rowOff>
    </xdr:from>
    <xdr:to>
      <xdr:col>8</xdr:col>
      <xdr:colOff>160021</xdr:colOff>
      <xdr:row>60</xdr:row>
      <xdr:rowOff>15240</xdr:rowOff>
    </xdr:to>
    <xdr:graphicFrame macro="">
      <xdr:nvGraphicFramePr>
        <xdr:cNvPr id="65" name="Chart 64">
          <a:extLst>
            <a:ext uri="{FF2B5EF4-FFF2-40B4-BE49-F238E27FC236}">
              <a16:creationId xmlns:a16="http://schemas.microsoft.com/office/drawing/2014/main" id="{85CA10F0-B35D-47CA-8E04-EE099B2442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12</xdr:col>
      <xdr:colOff>312420</xdr:colOff>
      <xdr:row>45</xdr:row>
      <xdr:rowOff>137160</xdr:rowOff>
    </xdr:from>
    <xdr:to>
      <xdr:col>23</xdr:col>
      <xdr:colOff>410820</xdr:colOff>
      <xdr:row>60</xdr:row>
      <xdr:rowOff>60960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0503641B-E616-4B85-9BD2-D102829A6C0D}"/>
            </a:ext>
          </a:extLst>
        </xdr:cNvPr>
        <xdr:cNvSpPr/>
      </xdr:nvSpPr>
      <xdr:spPr>
        <a:xfrm>
          <a:off x="7193280" y="8366760"/>
          <a:ext cx="6804000" cy="2667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endParaRPr lang="en-IN" sz="12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19</xdr:col>
      <xdr:colOff>502920</xdr:colOff>
      <xdr:row>49</xdr:row>
      <xdr:rowOff>78780</xdr:rowOff>
    </xdr:from>
    <xdr:to>
      <xdr:col>23</xdr:col>
      <xdr:colOff>289560</xdr:colOff>
      <xdr:row>58</xdr:row>
      <xdr:rowOff>88860</xdr:rowOff>
    </xdr:to>
    <xdr:sp macro="" textlink="">
      <xdr:nvSpPr>
        <xdr:cNvPr id="70" name="Rectangle: Rounded Corners 69">
          <a:extLst>
            <a:ext uri="{FF2B5EF4-FFF2-40B4-BE49-F238E27FC236}">
              <a16:creationId xmlns:a16="http://schemas.microsoft.com/office/drawing/2014/main" id="{6B065D1E-5951-4503-1FC6-03BB6330B57B}"/>
            </a:ext>
          </a:extLst>
        </xdr:cNvPr>
        <xdr:cNvSpPr/>
      </xdr:nvSpPr>
      <xdr:spPr>
        <a:xfrm>
          <a:off x="11650980" y="9039900"/>
          <a:ext cx="2225040" cy="1656000"/>
        </a:xfrm>
        <a:prstGeom prst="roundRect">
          <a:avLst>
            <a:gd name="adj" fmla="val 4049"/>
          </a:avLst>
        </a:prstGeom>
        <a:noFill/>
        <a:ln w="9525">
          <a:solidFill>
            <a:schemeClr val="accent2">
              <a:lumMod val="75000"/>
            </a:schemeClr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r>
            <a:rPr lang="en-IN" sz="12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rPr>
            <a:t>Food inflation peaked at 1.04% in Jun-2022 and hit the lowest at -0.66% in Feb-2023.</a:t>
          </a:r>
        </a:p>
        <a:p>
          <a:pPr marL="0" indent="0" algn="l"/>
          <a:endParaRPr lang="en-IN" sz="1200" b="1">
            <a:solidFill>
              <a:schemeClr val="tx1">
                <a:lumMod val="75000"/>
                <a:lumOff val="25000"/>
              </a:schemeClr>
            </a:solidFill>
            <a:latin typeface="+mn-lt"/>
            <a:ea typeface="+mn-ea"/>
            <a:cs typeface="+mn-cs"/>
          </a:endParaRPr>
        </a:p>
        <a:p>
          <a:pPr marL="0" indent="0" algn="l"/>
          <a:r>
            <a:rPr lang="en-IN" sz="12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rPr>
            <a:t>Biggest Individual Contributor Spices Absolute Change (Jun 2022-May 2023) 30.9 (Rural+Urban Index Points)</a:t>
          </a:r>
        </a:p>
      </xdr:txBody>
    </xdr:sp>
    <xdr:clientData/>
  </xdr:twoCellAnchor>
  <xdr:twoCellAnchor>
    <xdr:from>
      <xdr:col>12</xdr:col>
      <xdr:colOff>312420</xdr:colOff>
      <xdr:row>42</xdr:row>
      <xdr:rowOff>137160</xdr:rowOff>
    </xdr:from>
    <xdr:to>
      <xdr:col>23</xdr:col>
      <xdr:colOff>410820</xdr:colOff>
      <xdr:row>45</xdr:row>
      <xdr:rowOff>128520</xdr:rowOff>
    </xdr:to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19CD4252-DC0C-4902-98C9-8BB98C214DDA}"/>
            </a:ext>
          </a:extLst>
        </xdr:cNvPr>
        <xdr:cNvSpPr txBox="1"/>
      </xdr:nvSpPr>
      <xdr:spPr>
        <a:xfrm>
          <a:off x="7193280" y="7818120"/>
          <a:ext cx="6804000" cy="540000"/>
        </a:xfrm>
        <a:prstGeom prst="rect">
          <a:avLst/>
        </a:prstGeom>
        <a:solidFill>
          <a:schemeClr val="accent2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540000" rtlCol="0" anchor="ctr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200" b="1" cap="none" baseline="0">
              <a:solidFill>
                <a:schemeClr val="bg1"/>
              </a:solidFill>
              <a:effectLst/>
            </a:rPr>
            <a:t>FOOD INFLATION ANALYSIS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200" b="1" cap="none" baseline="0">
              <a:solidFill>
                <a:schemeClr val="bg1"/>
              </a:solidFill>
              <a:effectLst/>
            </a:rPr>
            <a:t>Jun 2022 to May 2023 (12 Months)</a:t>
          </a:r>
          <a:endParaRPr lang="en-IN" sz="1200" b="1" cap="all" baseline="0">
            <a:solidFill>
              <a:schemeClr val="bg1"/>
            </a:solidFill>
            <a:effectLst/>
          </a:endParaRPr>
        </a:p>
      </xdr:txBody>
    </xdr:sp>
    <xdr:clientData/>
  </xdr:twoCellAnchor>
  <xdr:twoCellAnchor>
    <xdr:from>
      <xdr:col>1</xdr:col>
      <xdr:colOff>220980</xdr:colOff>
      <xdr:row>82</xdr:row>
      <xdr:rowOff>182760</xdr:rowOff>
    </xdr:from>
    <xdr:to>
      <xdr:col>6</xdr:col>
      <xdr:colOff>376980</xdr:colOff>
      <xdr:row>86</xdr:row>
      <xdr:rowOff>135240</xdr:rowOff>
    </xdr:to>
    <xdr:sp macro="" textlink="">
      <xdr:nvSpPr>
        <xdr:cNvPr id="73" name="Rectangle: Rounded Corners 72">
          <a:extLst>
            <a:ext uri="{FF2B5EF4-FFF2-40B4-BE49-F238E27FC236}">
              <a16:creationId xmlns:a16="http://schemas.microsoft.com/office/drawing/2014/main" id="{8339FC29-2B43-8350-5B60-3C3955727731}"/>
            </a:ext>
          </a:extLst>
        </xdr:cNvPr>
        <xdr:cNvSpPr/>
      </xdr:nvSpPr>
      <xdr:spPr>
        <a:xfrm>
          <a:off x="396240" y="15178920"/>
          <a:ext cx="3204000" cy="684000"/>
        </a:xfrm>
        <a:prstGeom prst="roundRect">
          <a:avLst>
            <a:gd name="adj" fmla="val 4049"/>
          </a:avLst>
        </a:prstGeom>
        <a:solidFill>
          <a:schemeClr val="accent2">
            <a:lumMod val="60000"/>
            <a:lumOff val="40000"/>
          </a:schemeClr>
        </a:solidFill>
        <a:ln>
          <a:solidFill>
            <a:schemeClr val="accent2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r>
            <a:rPr lang="en-IN" sz="1200" b="1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+mn-cs"/>
            </a:rPr>
            <a:t>Inflation peaked in May 2022 at 7.04% YoY (Rural+Urban).</a:t>
          </a:r>
        </a:p>
      </xdr:txBody>
    </xdr:sp>
    <xdr:clientData/>
  </xdr:twoCellAnchor>
  <xdr:twoCellAnchor>
    <xdr:from>
      <xdr:col>6</xdr:col>
      <xdr:colOff>571500</xdr:colOff>
      <xdr:row>82</xdr:row>
      <xdr:rowOff>182760</xdr:rowOff>
    </xdr:from>
    <xdr:to>
      <xdr:col>12</xdr:col>
      <xdr:colOff>117900</xdr:colOff>
      <xdr:row>86</xdr:row>
      <xdr:rowOff>135240</xdr:rowOff>
    </xdr:to>
    <xdr:sp macro="" textlink="">
      <xdr:nvSpPr>
        <xdr:cNvPr id="74" name="Rectangle: Rounded Corners 73">
          <a:extLst>
            <a:ext uri="{FF2B5EF4-FFF2-40B4-BE49-F238E27FC236}">
              <a16:creationId xmlns:a16="http://schemas.microsoft.com/office/drawing/2014/main" id="{70742097-818F-27A4-BB4A-1E02A96CCA31}"/>
            </a:ext>
          </a:extLst>
        </xdr:cNvPr>
        <xdr:cNvSpPr/>
      </xdr:nvSpPr>
      <xdr:spPr>
        <a:xfrm>
          <a:off x="3794760" y="15178920"/>
          <a:ext cx="3204000" cy="684000"/>
        </a:xfrm>
        <a:prstGeom prst="roundRect">
          <a:avLst>
            <a:gd name="adj" fmla="val 4049"/>
          </a:avLst>
        </a:prstGeom>
        <a:solidFill>
          <a:schemeClr val="accent2">
            <a:lumMod val="60000"/>
            <a:lumOff val="40000"/>
          </a:schemeClr>
        </a:solidFill>
        <a:ln>
          <a:solidFill>
            <a:schemeClr val="accent2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r>
            <a:rPr lang="en-IN" sz="1200" b="1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+mn-cs"/>
            </a:rPr>
            <a:t>Food inflation showed volatility but declined slightly over the period.</a:t>
          </a:r>
        </a:p>
      </xdr:txBody>
    </xdr:sp>
    <xdr:clientData/>
  </xdr:twoCellAnchor>
  <xdr:twoCellAnchor editAs="absolute">
    <xdr:from>
      <xdr:col>12</xdr:col>
      <xdr:colOff>365760</xdr:colOff>
      <xdr:row>27</xdr:row>
      <xdr:rowOff>22860</xdr:rowOff>
    </xdr:from>
    <xdr:to>
      <xdr:col>19</xdr:col>
      <xdr:colOff>449580</xdr:colOff>
      <xdr:row>41</xdr:row>
      <xdr:rowOff>53340</xdr:rowOff>
    </xdr:to>
    <xdr:graphicFrame macro="">
      <xdr:nvGraphicFramePr>
        <xdr:cNvPr id="75" name="Chart 74">
          <a:extLst>
            <a:ext uri="{FF2B5EF4-FFF2-40B4-BE49-F238E27FC236}">
              <a16:creationId xmlns:a16="http://schemas.microsoft.com/office/drawing/2014/main" id="{CF2233B7-CC45-4692-A1F1-C28D28F4CF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12</xdr:col>
      <xdr:colOff>396240</xdr:colOff>
      <xdr:row>46</xdr:row>
      <xdr:rowOff>7620</xdr:rowOff>
    </xdr:from>
    <xdr:to>
      <xdr:col>19</xdr:col>
      <xdr:colOff>388620</xdr:colOff>
      <xdr:row>60</xdr:row>
      <xdr:rowOff>12516</xdr:rowOff>
    </xdr:to>
    <xdr:graphicFrame macro="">
      <xdr:nvGraphicFramePr>
        <xdr:cNvPr id="76" name="Chart 75">
          <a:extLst>
            <a:ext uri="{FF2B5EF4-FFF2-40B4-BE49-F238E27FC236}">
              <a16:creationId xmlns:a16="http://schemas.microsoft.com/office/drawing/2014/main" id="{EECDA799-37C1-448E-B633-1D919B9775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absolute">
    <xdr:from>
      <xdr:col>1</xdr:col>
      <xdr:colOff>182880</xdr:colOff>
      <xdr:row>65</xdr:row>
      <xdr:rowOff>38100</xdr:rowOff>
    </xdr:from>
    <xdr:to>
      <xdr:col>8</xdr:col>
      <xdr:colOff>144780</xdr:colOff>
      <xdr:row>78</xdr:row>
      <xdr:rowOff>7620</xdr:rowOff>
    </xdr:to>
    <xdr:graphicFrame macro="">
      <xdr:nvGraphicFramePr>
        <xdr:cNvPr id="77" name="Chart 76">
          <a:extLst>
            <a:ext uri="{FF2B5EF4-FFF2-40B4-BE49-F238E27FC236}">
              <a16:creationId xmlns:a16="http://schemas.microsoft.com/office/drawing/2014/main" id="{7ED2D8E3-1716-4672-8835-964944C6CA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absolute">
    <xdr:from>
      <xdr:col>12</xdr:col>
      <xdr:colOff>388620</xdr:colOff>
      <xdr:row>64</xdr:row>
      <xdr:rowOff>129540</xdr:rowOff>
    </xdr:from>
    <xdr:to>
      <xdr:col>19</xdr:col>
      <xdr:colOff>228600</xdr:colOff>
      <xdr:row>78</xdr:row>
      <xdr:rowOff>129539</xdr:rowOff>
    </xdr:to>
    <xdr:graphicFrame macro="">
      <xdr:nvGraphicFramePr>
        <xdr:cNvPr id="78" name="Chart 77">
          <a:extLst>
            <a:ext uri="{FF2B5EF4-FFF2-40B4-BE49-F238E27FC236}">
              <a16:creationId xmlns:a16="http://schemas.microsoft.com/office/drawing/2014/main" id="{14ADB2A3-1214-4979-844C-ABF4C7801B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12</xdr:col>
      <xdr:colOff>304800</xdr:colOff>
      <xdr:row>61</xdr:row>
      <xdr:rowOff>144780</xdr:rowOff>
    </xdr:from>
    <xdr:to>
      <xdr:col>13</xdr:col>
      <xdr:colOff>307200</xdr:colOff>
      <xdr:row>64</xdr:row>
      <xdr:rowOff>55140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400FA2-8E02-2FD0-5D2A-1285188D18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85660" y="11300460"/>
          <a:ext cx="612000" cy="459000"/>
        </a:xfrm>
        <a:prstGeom prst="rect">
          <a:avLst/>
        </a:prstGeom>
      </xdr:spPr>
    </xdr:pic>
    <xdr:clientData/>
  </xdr:twoCellAnchor>
  <xdr:twoCellAnchor editAs="oneCell">
    <xdr:from>
      <xdr:col>0</xdr:col>
      <xdr:colOff>172860</xdr:colOff>
      <xdr:row>61</xdr:row>
      <xdr:rowOff>150000</xdr:rowOff>
    </xdr:from>
    <xdr:to>
      <xdr:col>2</xdr:col>
      <xdr:colOff>0</xdr:colOff>
      <xdr:row>64</xdr:row>
      <xdr:rowOff>60360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D664F7AA-65BB-A816-DF84-FD729EAFD4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860" y="11305680"/>
          <a:ext cx="612000" cy="459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315240</xdr:colOff>
      <xdr:row>42</xdr:row>
      <xdr:rowOff>178080</xdr:rowOff>
    </xdr:from>
    <xdr:to>
      <xdr:col>13</xdr:col>
      <xdr:colOff>317640</xdr:colOff>
      <xdr:row>45</xdr:row>
      <xdr:rowOff>88440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0F671DE2-D803-9830-1538-66D1D63BA7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96100" y="7859040"/>
          <a:ext cx="612000" cy="459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305220</xdr:colOff>
      <xdr:row>24</xdr:row>
      <xdr:rowOff>46140</xdr:rowOff>
    </xdr:from>
    <xdr:to>
      <xdr:col>13</xdr:col>
      <xdr:colOff>307620</xdr:colOff>
      <xdr:row>26</xdr:row>
      <xdr:rowOff>139380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0227DCAD-4035-DF29-D595-C341969375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86080" y="4435260"/>
          <a:ext cx="612000" cy="459000"/>
        </a:xfrm>
        <a:prstGeom prst="rect">
          <a:avLst/>
        </a:prstGeom>
      </xdr:spPr>
    </xdr:pic>
    <xdr:clientData/>
  </xdr:twoCellAnchor>
  <xdr:twoCellAnchor editAs="oneCell">
    <xdr:from>
      <xdr:col>0</xdr:col>
      <xdr:colOff>165660</xdr:colOff>
      <xdr:row>24</xdr:row>
      <xdr:rowOff>51360</xdr:rowOff>
    </xdr:from>
    <xdr:to>
      <xdr:col>1</xdr:col>
      <xdr:colOff>602400</xdr:colOff>
      <xdr:row>26</xdr:row>
      <xdr:rowOff>144600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1D38C43A-481E-4B09-9153-107B084273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60" y="4440480"/>
          <a:ext cx="612000" cy="459000"/>
        </a:xfrm>
        <a:prstGeom prst="rect">
          <a:avLst/>
        </a:prstGeom>
      </xdr:spPr>
    </xdr:pic>
    <xdr:clientData/>
  </xdr:twoCellAnchor>
  <xdr:twoCellAnchor editAs="oneCell">
    <xdr:from>
      <xdr:col>1</xdr:col>
      <xdr:colOff>92850</xdr:colOff>
      <xdr:row>9</xdr:row>
      <xdr:rowOff>124740</xdr:rowOff>
    </xdr:from>
    <xdr:to>
      <xdr:col>2</xdr:col>
      <xdr:colOff>131250</xdr:colOff>
      <xdr:row>13</xdr:row>
      <xdr:rowOff>41220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BD3AFDF9-EC1F-B1FF-1EBB-8770475F83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duotone>
            <a:schemeClr val="accent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110" y="1770660"/>
          <a:ext cx="648000" cy="648000"/>
        </a:xfrm>
        <a:prstGeom prst="rect">
          <a:avLst/>
        </a:prstGeom>
      </xdr:spPr>
    </xdr:pic>
    <xdr:clientData/>
  </xdr:twoCellAnchor>
  <xdr:twoCellAnchor editAs="oneCell">
    <xdr:from>
      <xdr:col>6</xdr:col>
      <xdr:colOff>445410</xdr:colOff>
      <xdr:row>9</xdr:row>
      <xdr:rowOff>129960</xdr:rowOff>
    </xdr:from>
    <xdr:to>
      <xdr:col>7</xdr:col>
      <xdr:colOff>483810</xdr:colOff>
      <xdr:row>13</xdr:row>
      <xdr:rowOff>46440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8495D1BD-5E3F-8793-271C-8995F1FE7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duotone>
            <a:schemeClr val="accent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68670" y="1775880"/>
          <a:ext cx="648000" cy="648000"/>
        </a:xfrm>
        <a:prstGeom prst="rect">
          <a:avLst/>
        </a:prstGeom>
      </xdr:spPr>
    </xdr:pic>
    <xdr:clientData/>
  </xdr:twoCellAnchor>
  <xdr:twoCellAnchor editAs="oneCell">
    <xdr:from>
      <xdr:col>1</xdr:col>
      <xdr:colOff>92850</xdr:colOff>
      <xdr:row>17</xdr:row>
      <xdr:rowOff>97080</xdr:rowOff>
    </xdr:from>
    <xdr:to>
      <xdr:col>2</xdr:col>
      <xdr:colOff>131250</xdr:colOff>
      <xdr:row>21</xdr:row>
      <xdr:rowOff>13560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CC3057-05B8-46C8-45AD-A89ECA8A2F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duotone>
            <a:schemeClr val="accent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110" y="3206040"/>
          <a:ext cx="648000" cy="64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221220</xdr:colOff>
      <xdr:row>17</xdr:row>
      <xdr:rowOff>163260</xdr:rowOff>
    </xdr:from>
    <xdr:to>
      <xdr:col>13</xdr:col>
      <xdr:colOff>259620</xdr:colOff>
      <xdr:row>21</xdr:row>
      <xdr:rowOff>79740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BE4E4BF0-E2A0-4749-B384-82903CE4FB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duotone>
            <a:schemeClr val="accent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02080" y="3272220"/>
          <a:ext cx="648000" cy="648000"/>
        </a:xfrm>
        <a:prstGeom prst="rect">
          <a:avLst/>
        </a:prstGeom>
      </xdr:spPr>
    </xdr:pic>
    <xdr:clientData/>
  </xdr:twoCellAnchor>
  <xdr:twoCellAnchor editAs="oneCell">
    <xdr:from>
      <xdr:col>12</xdr:col>
      <xdr:colOff>221220</xdr:colOff>
      <xdr:row>9</xdr:row>
      <xdr:rowOff>115560</xdr:rowOff>
    </xdr:from>
    <xdr:to>
      <xdr:col>13</xdr:col>
      <xdr:colOff>259620</xdr:colOff>
      <xdr:row>13</xdr:row>
      <xdr:rowOff>32040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9A770EB5-B29A-6AD2-6E0B-41EEFE008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duotone>
            <a:schemeClr val="accent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02080" y="1761480"/>
          <a:ext cx="648000" cy="648000"/>
        </a:xfrm>
        <a:prstGeom prst="rect">
          <a:avLst/>
        </a:prstGeom>
      </xdr:spPr>
    </xdr:pic>
    <xdr:clientData/>
  </xdr:twoCellAnchor>
  <xdr:twoCellAnchor editAs="oneCell">
    <xdr:from>
      <xdr:col>6</xdr:col>
      <xdr:colOff>445410</xdr:colOff>
      <xdr:row>17</xdr:row>
      <xdr:rowOff>113160</xdr:rowOff>
    </xdr:from>
    <xdr:to>
      <xdr:col>7</xdr:col>
      <xdr:colOff>483810</xdr:colOff>
      <xdr:row>21</xdr:row>
      <xdr:rowOff>29640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32D24C47-9305-6626-28BC-C6AD44A6D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duotone>
            <a:schemeClr val="accent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68670" y="3222120"/>
          <a:ext cx="648000" cy="648000"/>
        </a:xfrm>
        <a:prstGeom prst="rect">
          <a:avLst/>
        </a:prstGeom>
      </xdr:spPr>
    </xdr:pic>
    <xdr:clientData/>
  </xdr:twoCellAnchor>
  <xdr:twoCellAnchor>
    <xdr:from>
      <xdr:col>20</xdr:col>
      <xdr:colOff>102870</xdr:colOff>
      <xdr:row>27</xdr:row>
      <xdr:rowOff>106680</xdr:rowOff>
    </xdr:from>
    <xdr:to>
      <xdr:col>23</xdr:col>
      <xdr:colOff>290070</xdr:colOff>
      <xdr:row>29</xdr:row>
      <xdr:rowOff>100920</xdr:rowOff>
    </xdr:to>
    <xdr:sp macro="" textlink="">
      <xdr:nvSpPr>
        <xdr:cNvPr id="101" name="Rectangle: Rounded Corners 100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CD88E741-A352-5D6C-D155-D32F1207A6A8}"/>
            </a:ext>
          </a:extLst>
        </xdr:cNvPr>
        <xdr:cNvSpPr/>
      </xdr:nvSpPr>
      <xdr:spPr>
        <a:xfrm>
          <a:off x="11860530" y="5044440"/>
          <a:ext cx="2016000" cy="360000"/>
        </a:xfrm>
        <a:prstGeom prst="roundRect">
          <a:avLst>
            <a:gd name="adj" fmla="val 14632"/>
          </a:avLst>
        </a:prstGeom>
        <a:solidFill>
          <a:schemeClr val="bg1"/>
        </a:solidFill>
        <a:ln>
          <a:noFill/>
        </a:ln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bIns="9000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800" b="1">
              <a:solidFill>
                <a:schemeClr val="accent2"/>
              </a:solidFill>
              <a:effectLst/>
              <a:latin typeface="+mn-lt"/>
              <a:ea typeface="+mn-ea"/>
              <a:cs typeface="+mn-cs"/>
            </a:rPr>
            <a:t>View Q2 Sheet</a:t>
          </a:r>
          <a:r>
            <a:rPr lang="en-IN" sz="1800" b="1" baseline="0">
              <a:solidFill>
                <a:schemeClr val="accent2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800" b="1">
              <a:solidFill>
                <a:schemeClr val="accent2"/>
              </a:solidFill>
              <a:effectLst/>
              <a:latin typeface="+mn-lt"/>
              <a:ea typeface="+mn-ea"/>
              <a:cs typeface="+mn-cs"/>
            </a:rPr>
            <a:t>➤</a:t>
          </a:r>
          <a:endParaRPr lang="en-IN" sz="2000" b="1">
            <a:solidFill>
              <a:schemeClr val="accent2"/>
            </a:solidFill>
            <a:effectLst/>
          </a:endParaRPr>
        </a:p>
      </xdr:txBody>
    </xdr:sp>
    <xdr:clientData/>
  </xdr:twoCellAnchor>
  <xdr:twoCellAnchor>
    <xdr:from>
      <xdr:col>20</xdr:col>
      <xdr:colOff>87630</xdr:colOff>
      <xdr:row>46</xdr:row>
      <xdr:rowOff>53340</xdr:rowOff>
    </xdr:from>
    <xdr:to>
      <xdr:col>23</xdr:col>
      <xdr:colOff>274830</xdr:colOff>
      <xdr:row>48</xdr:row>
      <xdr:rowOff>47580</xdr:rowOff>
    </xdr:to>
    <xdr:sp macro="" textlink="">
      <xdr:nvSpPr>
        <xdr:cNvPr id="102" name="Rectangle: Rounded Corners 101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0921C3E9-CADA-182B-9F5C-2DEB9A777C53}"/>
            </a:ext>
          </a:extLst>
        </xdr:cNvPr>
        <xdr:cNvSpPr/>
      </xdr:nvSpPr>
      <xdr:spPr>
        <a:xfrm>
          <a:off x="11845290" y="8465820"/>
          <a:ext cx="2016000" cy="360000"/>
        </a:xfrm>
        <a:prstGeom prst="roundRect">
          <a:avLst>
            <a:gd name="adj" fmla="val 14632"/>
          </a:avLst>
        </a:prstGeom>
        <a:solidFill>
          <a:schemeClr val="bg1"/>
        </a:solidFill>
        <a:ln>
          <a:noFill/>
        </a:ln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bIns="9000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800" b="1">
              <a:solidFill>
                <a:schemeClr val="accent2"/>
              </a:solidFill>
              <a:effectLst/>
              <a:latin typeface="+mn-lt"/>
              <a:ea typeface="+mn-ea"/>
              <a:cs typeface="+mn-cs"/>
            </a:rPr>
            <a:t>View Q3 Sheet</a:t>
          </a:r>
          <a:r>
            <a:rPr lang="en-IN" sz="1800" b="1" baseline="0">
              <a:solidFill>
                <a:schemeClr val="accent2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800" b="1">
              <a:solidFill>
                <a:schemeClr val="accent2"/>
              </a:solidFill>
              <a:effectLst/>
              <a:latin typeface="+mn-lt"/>
              <a:ea typeface="+mn-ea"/>
              <a:cs typeface="+mn-cs"/>
            </a:rPr>
            <a:t>➤</a:t>
          </a:r>
          <a:endParaRPr lang="en-IN" sz="2000" b="1">
            <a:solidFill>
              <a:schemeClr val="accent2"/>
            </a:solidFill>
            <a:effectLst/>
          </a:endParaRPr>
        </a:p>
      </xdr:txBody>
    </xdr:sp>
    <xdr:clientData/>
  </xdr:twoCellAnchor>
  <xdr:twoCellAnchor>
    <xdr:from>
      <xdr:col>8</xdr:col>
      <xdr:colOff>422910</xdr:colOff>
      <xdr:row>65</xdr:row>
      <xdr:rowOff>15240</xdr:rowOff>
    </xdr:from>
    <xdr:to>
      <xdr:col>12</xdr:col>
      <xdr:colOff>510</xdr:colOff>
      <xdr:row>67</xdr:row>
      <xdr:rowOff>9480</xdr:rowOff>
    </xdr:to>
    <xdr:sp macro="" textlink="">
      <xdr:nvSpPr>
        <xdr:cNvPr id="103" name="Rectangle: Rounded Corners 102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C8041033-895A-C0DB-8B1B-8D370B417F27}"/>
            </a:ext>
          </a:extLst>
        </xdr:cNvPr>
        <xdr:cNvSpPr/>
      </xdr:nvSpPr>
      <xdr:spPr>
        <a:xfrm>
          <a:off x="4865370" y="11902440"/>
          <a:ext cx="2016000" cy="360000"/>
        </a:xfrm>
        <a:prstGeom prst="roundRect">
          <a:avLst>
            <a:gd name="adj" fmla="val 14632"/>
          </a:avLst>
        </a:prstGeom>
        <a:solidFill>
          <a:schemeClr val="bg1"/>
        </a:solidFill>
        <a:ln>
          <a:noFill/>
        </a:ln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bIns="9000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800" b="1">
              <a:solidFill>
                <a:schemeClr val="accent2"/>
              </a:solidFill>
              <a:effectLst/>
              <a:latin typeface="+mn-lt"/>
              <a:ea typeface="+mn-ea"/>
              <a:cs typeface="+mn-cs"/>
            </a:rPr>
            <a:t>View Q4 Sheet</a:t>
          </a:r>
          <a:r>
            <a:rPr lang="en-IN" sz="1800" b="1" baseline="0">
              <a:solidFill>
                <a:schemeClr val="accent2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800" b="1">
              <a:solidFill>
                <a:schemeClr val="accent2"/>
              </a:solidFill>
              <a:effectLst/>
              <a:latin typeface="+mn-lt"/>
              <a:ea typeface="+mn-ea"/>
              <a:cs typeface="+mn-cs"/>
            </a:rPr>
            <a:t>➤</a:t>
          </a:r>
          <a:endParaRPr lang="en-IN" sz="2000" b="1">
            <a:solidFill>
              <a:schemeClr val="accent2"/>
            </a:solidFill>
            <a:effectLst/>
          </a:endParaRPr>
        </a:p>
      </xdr:txBody>
    </xdr:sp>
    <xdr:clientData/>
  </xdr:twoCellAnchor>
  <xdr:twoCellAnchor>
    <xdr:from>
      <xdr:col>20</xdr:col>
      <xdr:colOff>110490</xdr:colOff>
      <xdr:row>65</xdr:row>
      <xdr:rowOff>22860</xdr:rowOff>
    </xdr:from>
    <xdr:to>
      <xdr:col>23</xdr:col>
      <xdr:colOff>297690</xdr:colOff>
      <xdr:row>67</xdr:row>
      <xdr:rowOff>17100</xdr:rowOff>
    </xdr:to>
    <xdr:sp macro="" textlink="">
      <xdr:nvSpPr>
        <xdr:cNvPr id="104" name="Rectangle: Rounded Corners 103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FE77D9C1-E9CA-009B-6D86-3DC14D56B427}"/>
            </a:ext>
          </a:extLst>
        </xdr:cNvPr>
        <xdr:cNvSpPr/>
      </xdr:nvSpPr>
      <xdr:spPr>
        <a:xfrm>
          <a:off x="11868150" y="11910060"/>
          <a:ext cx="2016000" cy="360000"/>
        </a:xfrm>
        <a:prstGeom prst="roundRect">
          <a:avLst>
            <a:gd name="adj" fmla="val 14632"/>
          </a:avLst>
        </a:prstGeom>
        <a:solidFill>
          <a:schemeClr val="bg1"/>
        </a:solidFill>
        <a:ln>
          <a:noFill/>
        </a:ln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bIns="9000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800" b="1">
              <a:solidFill>
                <a:schemeClr val="accent2"/>
              </a:solidFill>
              <a:effectLst/>
              <a:latin typeface="+mn-lt"/>
              <a:ea typeface="+mn-ea"/>
              <a:cs typeface="+mn-cs"/>
            </a:rPr>
            <a:t>View Q5 Sheet</a:t>
          </a:r>
          <a:r>
            <a:rPr lang="en-IN" sz="1800" b="1" baseline="0">
              <a:solidFill>
                <a:schemeClr val="accent2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800" b="1">
              <a:solidFill>
                <a:schemeClr val="accent2"/>
              </a:solidFill>
              <a:effectLst/>
              <a:latin typeface="+mn-lt"/>
              <a:ea typeface="+mn-ea"/>
              <a:cs typeface="+mn-cs"/>
            </a:rPr>
            <a:t>➤</a:t>
          </a:r>
          <a:endParaRPr lang="en-IN" sz="2000" b="1">
            <a:solidFill>
              <a:schemeClr val="accent2"/>
            </a:solidFill>
            <a:effectLst/>
          </a:endParaRPr>
        </a:p>
      </xdr:txBody>
    </xdr:sp>
    <xdr:clientData/>
  </xdr:twoCellAnchor>
  <xdr:twoCellAnchor editAs="oneCell">
    <xdr:from>
      <xdr:col>1</xdr:col>
      <xdr:colOff>51955</xdr:colOff>
      <xdr:row>88</xdr:row>
      <xdr:rowOff>171797</xdr:rowOff>
    </xdr:from>
    <xdr:to>
      <xdr:col>1</xdr:col>
      <xdr:colOff>339955</xdr:colOff>
      <xdr:row>90</xdr:row>
      <xdr:rowOff>89698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A690353D-F3A3-A5BC-7BC0-D0A7D6D7B7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6326197"/>
          <a:ext cx="288000" cy="285046"/>
        </a:xfrm>
        <a:prstGeom prst="rect">
          <a:avLst/>
        </a:prstGeom>
      </xdr:spPr>
    </xdr:pic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0.51942</cdr:x>
      <cdr:y>0.0024</cdr:y>
    </cdr:from>
    <cdr:to>
      <cdr:x>0.51942</cdr:x>
      <cdr:y>0.60799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0EE4AB72-10CB-D217-F5FE-37EFF8355909}"/>
            </a:ext>
          </a:extLst>
        </cdr:cNvPr>
        <cdr:cNvCxnSpPr/>
      </cdr:nvCxnSpPr>
      <cdr:spPr>
        <a:xfrm xmlns:a="http://schemas.openxmlformats.org/drawingml/2006/main" flipV="1">
          <a:off x="2113562" y="5639"/>
          <a:ext cx="0" cy="1421296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170530</xdr:colOff>
      <xdr:row>12</xdr:row>
      <xdr:rowOff>70551</xdr:rowOff>
    </xdr:from>
    <xdr:to>
      <xdr:col>17</xdr:col>
      <xdr:colOff>213359</xdr:colOff>
      <xdr:row>36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03FEDAA-9778-95AF-67B9-030681EB61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11</xdr:col>
      <xdr:colOff>281940</xdr:colOff>
      <xdr:row>1</xdr:row>
      <xdr:rowOff>0</xdr:rowOff>
    </xdr:from>
    <xdr:to>
      <xdr:col>17</xdr:col>
      <xdr:colOff>198120</xdr:colOff>
      <xdr:row>4</xdr:row>
      <xdr:rowOff>53340</xdr:rowOff>
    </xdr:to>
    <xdr:sp macro="" textlink="">
      <xdr:nvSpPr>
        <xdr:cNvPr id="2" name="Rectangle: Rounded Corners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CADC849-B43D-4229-D3CB-06AAF995E8DB}"/>
            </a:ext>
          </a:extLst>
        </xdr:cNvPr>
        <xdr:cNvSpPr/>
      </xdr:nvSpPr>
      <xdr:spPr>
        <a:xfrm>
          <a:off x="10378440" y="182880"/>
          <a:ext cx="3573780" cy="601980"/>
        </a:xfrm>
        <a:prstGeom prst="roundRect">
          <a:avLst/>
        </a:prstGeom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400" b="1">
              <a:solidFill>
                <a:schemeClr val="accent2"/>
              </a:solidFill>
            </a:rPr>
            <a:t>← Back to Dashboard</a:t>
          </a:r>
        </a:p>
      </xdr:txBody>
    </xdr:sp>
    <xdr:clientData/>
  </xdr:twoCellAnchor>
  <xdr:twoCellAnchor editAs="absolute">
    <xdr:from>
      <xdr:col>0</xdr:col>
      <xdr:colOff>142435</xdr:colOff>
      <xdr:row>0</xdr:row>
      <xdr:rowOff>149469</xdr:rowOff>
    </xdr:from>
    <xdr:to>
      <xdr:col>3</xdr:col>
      <xdr:colOff>355795</xdr:colOff>
      <xdr:row>2</xdr:row>
      <xdr:rowOff>175260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7B407A54-158C-8133-CAA4-E95AE5EBE197}"/>
            </a:ext>
          </a:extLst>
        </xdr:cNvPr>
        <xdr:cNvSpPr/>
      </xdr:nvSpPr>
      <xdr:spPr>
        <a:xfrm>
          <a:off x="142435" y="149469"/>
          <a:ext cx="3307080" cy="391551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IN" sz="2400" b="1">
              <a:solidFill>
                <a:schemeClr val="accent2"/>
              </a:solidFill>
            </a:rPr>
            <a:t>Q1 -</a:t>
          </a:r>
          <a:r>
            <a:rPr lang="en-IN" sz="2400" b="1" baseline="0">
              <a:solidFill>
                <a:schemeClr val="accent2"/>
              </a:solidFill>
            </a:rPr>
            <a:t> CPI Contribution</a:t>
          </a:r>
          <a:endParaRPr lang="en-IN" sz="2400" b="1">
            <a:solidFill>
              <a:schemeClr val="accent2"/>
            </a:solidFill>
          </a:endParaRPr>
        </a:p>
      </xdr:txBody>
    </xdr:sp>
    <xdr:clientData/>
  </xdr:twoCellAnchor>
  <xdr:twoCellAnchor editAs="absolute">
    <xdr:from>
      <xdr:col>0</xdr:col>
      <xdr:colOff>142435</xdr:colOff>
      <xdr:row>2</xdr:row>
      <xdr:rowOff>12309</xdr:rowOff>
    </xdr:from>
    <xdr:to>
      <xdr:col>3</xdr:col>
      <xdr:colOff>355795</xdr:colOff>
      <xdr:row>4</xdr:row>
      <xdr:rowOff>38100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E2A5FF7E-F512-C7BB-009F-FD548A60E03B}"/>
            </a:ext>
          </a:extLst>
        </xdr:cNvPr>
        <xdr:cNvSpPr/>
      </xdr:nvSpPr>
      <xdr:spPr>
        <a:xfrm>
          <a:off x="142435" y="378069"/>
          <a:ext cx="3307080" cy="391551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IN" sz="1200" b="1" i="1">
              <a:solidFill>
                <a:schemeClr val="accent2"/>
              </a:solidFill>
            </a:rPr>
            <a:t>Based on Latest Available Month - May 2023</a:t>
          </a:r>
        </a:p>
      </xdr:txBody>
    </xdr:sp>
    <xdr:clientData/>
  </xdr:twoCellAnchor>
  <xdr:twoCellAnchor editAs="absolute">
    <xdr:from>
      <xdr:col>13</xdr:col>
      <xdr:colOff>38100</xdr:colOff>
      <xdr:row>5</xdr:row>
      <xdr:rowOff>38100</xdr:rowOff>
    </xdr:from>
    <xdr:to>
      <xdr:col>17</xdr:col>
      <xdr:colOff>227700</xdr:colOff>
      <xdr:row>9</xdr:row>
      <xdr:rowOff>174180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D4DA0E75-2430-4A85-FBDF-B2E09B476C48}"/>
            </a:ext>
          </a:extLst>
        </xdr:cNvPr>
        <xdr:cNvSpPr/>
      </xdr:nvSpPr>
      <xdr:spPr>
        <a:xfrm>
          <a:off x="11353800" y="952500"/>
          <a:ext cx="2628000" cy="8676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Top Contributing Category</a:t>
          </a:r>
          <a:endParaRPr lang="en-IN">
            <a:solidFill>
              <a:schemeClr val="tx1"/>
            </a:solidFill>
            <a:effectLst/>
          </a:endParaRPr>
        </a:p>
        <a:p>
          <a:pPr algn="ctr"/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(Rural</a:t>
          </a:r>
          <a:r>
            <a:rPr lang="en-IN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</a:t>
          </a:r>
          <a:endParaRPr lang="en-IN">
            <a:solidFill>
              <a:schemeClr val="tx1"/>
            </a:solidFill>
            <a:effectLst/>
          </a:endParaRPr>
        </a:p>
        <a:p>
          <a:pPr algn="ctr"/>
          <a:r>
            <a:rPr lang="en-IN" sz="1400" b="1" baseline="0">
              <a:solidFill>
                <a:schemeClr val="accent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Food</a:t>
          </a:r>
        </a:p>
        <a:p>
          <a:pPr marL="0" indent="0" algn="ctr"/>
          <a:r>
            <a:rPr lang="en-IN" sz="1400" b="1" baseline="0">
              <a:solidFill>
                <a:schemeClr val="accent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51.17%</a:t>
          </a:r>
          <a:endParaRPr lang="en-IN" sz="1100" b="1">
            <a:solidFill>
              <a:schemeClr val="accent2">
                <a:lumMod val="75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8</xdr:col>
      <xdr:colOff>247380</xdr:colOff>
      <xdr:row>5</xdr:row>
      <xdr:rowOff>45720</xdr:rowOff>
    </xdr:from>
    <xdr:to>
      <xdr:col>12</xdr:col>
      <xdr:colOff>436980</xdr:colOff>
      <xdr:row>9</xdr:row>
      <xdr:rowOff>181800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35E67B4D-6063-4D3A-8555-5B940191F383}"/>
            </a:ext>
          </a:extLst>
        </xdr:cNvPr>
        <xdr:cNvSpPr/>
      </xdr:nvSpPr>
      <xdr:spPr>
        <a:xfrm>
          <a:off x="8515080" y="960120"/>
          <a:ext cx="2628000" cy="8676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Top Contributing Category</a:t>
          </a:r>
          <a:endParaRPr lang="en-IN">
            <a:solidFill>
              <a:schemeClr val="tx1"/>
            </a:solidFill>
            <a:effectLst/>
          </a:endParaRPr>
        </a:p>
        <a:p>
          <a:pPr algn="ctr"/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en-IN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Urban)</a:t>
          </a:r>
          <a:endParaRPr lang="en-IN">
            <a:solidFill>
              <a:schemeClr val="tx1"/>
            </a:solidFill>
            <a:effectLst/>
          </a:endParaRPr>
        </a:p>
        <a:p>
          <a:pPr algn="ctr"/>
          <a:r>
            <a:rPr lang="en-IN" sz="1400" b="1" baseline="0">
              <a:solidFill>
                <a:schemeClr val="accent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Food</a:t>
          </a:r>
        </a:p>
        <a:p>
          <a:pPr marL="0" indent="0" algn="ctr"/>
          <a:r>
            <a:rPr lang="en-IN" sz="1400" b="1" baseline="0">
              <a:solidFill>
                <a:schemeClr val="accent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50.30%</a:t>
          </a:r>
          <a:endParaRPr lang="en-IN" sz="1100" b="1">
            <a:solidFill>
              <a:schemeClr val="accent2">
                <a:lumMod val="75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5</xdr:col>
      <xdr:colOff>174720</xdr:colOff>
      <xdr:row>5</xdr:row>
      <xdr:rowOff>53340</xdr:rowOff>
    </xdr:from>
    <xdr:to>
      <xdr:col>8</xdr:col>
      <xdr:colOff>67140</xdr:colOff>
      <xdr:row>10</xdr:row>
      <xdr:rowOff>6540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91043E06-011B-EE63-CCC8-ECC8FD07B137}"/>
            </a:ext>
          </a:extLst>
        </xdr:cNvPr>
        <xdr:cNvSpPr/>
      </xdr:nvSpPr>
      <xdr:spPr>
        <a:xfrm>
          <a:off x="5706840" y="967740"/>
          <a:ext cx="2628000" cy="8676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IN" sz="1100" b="1">
              <a:solidFill>
                <a:schemeClr val="tx1"/>
              </a:solidFill>
              <a:latin typeface="+mn-lt"/>
              <a:ea typeface="+mn-ea"/>
              <a:cs typeface="+mn-cs"/>
            </a:rPr>
            <a:t>Top Contributing Category</a:t>
          </a:r>
        </a:p>
        <a:p>
          <a:pPr marL="0" indent="0" algn="ctr"/>
          <a:r>
            <a:rPr lang="en-IN" sz="1100" b="1">
              <a:solidFill>
                <a:schemeClr val="tx1"/>
              </a:solidFill>
              <a:latin typeface="+mn-lt"/>
              <a:ea typeface="+mn-ea"/>
              <a:cs typeface="+mn-cs"/>
            </a:rPr>
            <a:t>(Rural</a:t>
          </a:r>
          <a:r>
            <a:rPr lang="en-IN" sz="1100" b="1" baseline="0">
              <a:solidFill>
                <a:schemeClr val="tx1"/>
              </a:solidFill>
              <a:latin typeface="+mn-lt"/>
              <a:ea typeface="+mn-ea"/>
              <a:cs typeface="+mn-cs"/>
            </a:rPr>
            <a:t>+Urban)</a:t>
          </a:r>
        </a:p>
        <a:p>
          <a:pPr marL="0" indent="0" algn="ctr"/>
          <a:r>
            <a:rPr lang="en-IN" sz="1400" b="1" baseline="0">
              <a:solidFill>
                <a:schemeClr val="accent2">
                  <a:lumMod val="75000"/>
                </a:schemeClr>
              </a:solidFill>
              <a:latin typeface="+mn-lt"/>
              <a:ea typeface="+mn-ea"/>
              <a:cs typeface="+mn-cs"/>
            </a:rPr>
            <a:t>Food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400" b="1" baseline="0">
              <a:solidFill>
                <a:schemeClr val="accent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49.61%</a:t>
          </a:r>
          <a:endParaRPr lang="en-IN" sz="1400">
            <a:solidFill>
              <a:schemeClr val="accent2">
                <a:lumMod val="75000"/>
              </a:schemeClr>
            </a:solidFill>
            <a:effectLst/>
          </a:endParaRPr>
        </a:p>
      </xdr:txBody>
    </xdr:sp>
    <xdr:clientData/>
  </xdr:twoCellAnchor>
  <xdr:twoCellAnchor editAs="absolute">
    <xdr:from>
      <xdr:col>1</xdr:col>
      <xdr:colOff>0</xdr:colOff>
      <xdr:row>5</xdr:row>
      <xdr:rowOff>60960</xdr:rowOff>
    </xdr:from>
    <xdr:to>
      <xdr:col>5</xdr:col>
      <xdr:colOff>0</xdr:colOff>
      <xdr:row>10</xdr:row>
      <xdr:rowOff>15240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50D7A425-31A4-E5B8-A262-9D64A59537DF}"/>
            </a:ext>
          </a:extLst>
        </xdr:cNvPr>
        <xdr:cNvSpPr/>
      </xdr:nvSpPr>
      <xdr:spPr>
        <a:xfrm>
          <a:off x="182880" y="975360"/>
          <a:ext cx="5349240" cy="86868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n-IN" sz="1200" b="0">
              <a:solidFill>
                <a:schemeClr val="tx1"/>
              </a:solidFill>
            </a:rPr>
            <a:t>To identify the contribution (%) of different broader categories towards the CPI basket based on the index values of the latest available month (May 2023).</a:t>
          </a:r>
        </a:p>
        <a:p>
          <a:pPr algn="l"/>
          <a:r>
            <a:rPr lang="en-IN" sz="1200" b="0">
              <a:solidFill>
                <a:schemeClr val="tx1"/>
              </a:solidFill>
            </a:rPr>
            <a:t>Contributions across categories add up to 100%.</a:t>
          </a:r>
        </a:p>
      </xdr:txBody>
    </xdr:sp>
    <xdr:clientData/>
  </xdr:twoCellAnchor>
  <xdr:twoCellAnchor editAs="absolute">
    <xdr:from>
      <xdr:col>1</xdr:col>
      <xdr:colOff>7620</xdr:colOff>
      <xdr:row>5</xdr:row>
      <xdr:rowOff>60960</xdr:rowOff>
    </xdr:from>
    <xdr:to>
      <xdr:col>5</xdr:col>
      <xdr:colOff>7980</xdr:colOff>
      <xdr:row>6</xdr:row>
      <xdr:rowOff>121920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D361C849-8C72-C139-D9C9-FB88CA9A96B7}"/>
            </a:ext>
          </a:extLst>
        </xdr:cNvPr>
        <xdr:cNvSpPr txBox="1"/>
      </xdr:nvSpPr>
      <xdr:spPr>
        <a:xfrm>
          <a:off x="190500" y="975360"/>
          <a:ext cx="5349600" cy="243840"/>
        </a:xfrm>
        <a:prstGeom prst="rect">
          <a:avLst/>
        </a:prstGeom>
        <a:solidFill>
          <a:schemeClr val="accent2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N" sz="1200" b="1" cap="all" baseline="0">
              <a:solidFill>
                <a:schemeClr val="bg1"/>
              </a:solidFill>
            </a:rPr>
            <a:t>1. Objective</a:t>
          </a:r>
        </a:p>
      </xdr:txBody>
    </xdr:sp>
    <xdr:clientData/>
  </xdr:twoCellAnchor>
  <xdr:twoCellAnchor editAs="absolute">
    <xdr:from>
      <xdr:col>1</xdr:col>
      <xdr:colOff>1840</xdr:colOff>
      <xdr:row>11</xdr:row>
      <xdr:rowOff>15240</xdr:rowOff>
    </xdr:from>
    <xdr:to>
      <xdr:col>5</xdr:col>
      <xdr:colOff>2726</xdr:colOff>
      <xdr:row>19</xdr:row>
      <xdr:rowOff>91440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E55C3DE2-3931-73D8-D4B1-34B1A5035FE9}"/>
            </a:ext>
          </a:extLst>
        </xdr:cNvPr>
        <xdr:cNvSpPr/>
      </xdr:nvSpPr>
      <xdr:spPr>
        <a:xfrm>
          <a:off x="184720" y="2026920"/>
          <a:ext cx="5350126" cy="153924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lvl="0"/>
          <a:r>
            <a:rPr lang="en-IN" b="1">
              <a:solidFill>
                <a:schemeClr val="tx1"/>
              </a:solidFill>
            </a:rPr>
            <a:t>• Housing Index</a:t>
          </a:r>
          <a:r>
            <a:rPr lang="en-IN" b="1" baseline="0">
              <a:solidFill>
                <a:schemeClr val="tx1"/>
              </a:solidFill>
            </a:rPr>
            <a:t>: </a:t>
          </a:r>
          <a:r>
            <a:rPr lang="en-IN">
              <a:solidFill>
                <a:schemeClr val="tx1"/>
              </a:solidFill>
            </a:rPr>
            <a:t>Rural Housing index is 0 in May 2023, resulting in a 0% contribution.</a:t>
          </a:r>
        </a:p>
        <a:p>
          <a:pPr lvl="0"/>
          <a:r>
            <a:rPr lang="en-IN" b="1">
              <a:solidFill>
                <a:schemeClr val="tx1"/>
              </a:solidFill>
            </a:rPr>
            <a:t>• Broader categories:</a:t>
          </a:r>
          <a:r>
            <a:rPr lang="en-IN">
              <a:solidFill>
                <a:schemeClr val="tx1"/>
              </a:solidFill>
            </a:rPr>
            <a:t> Related CPI sub-categories were grouped into broader categories such as Food, Apparel, Health, Fuel &amp; Light, etc. </a:t>
          </a:r>
        </a:p>
        <a:p>
          <a:pPr lvl="0"/>
          <a:r>
            <a:rPr lang="en-IN" b="1">
              <a:solidFill>
                <a:schemeClr val="tx1"/>
              </a:solidFill>
            </a:rPr>
            <a:t>• Contribution calculation:</a:t>
          </a:r>
          <a:r>
            <a:rPr lang="en-IN">
              <a:solidFill>
                <a:schemeClr val="tx1"/>
              </a:solidFill>
            </a:rPr>
            <a:t> Contribution (%) = </a:t>
          </a:r>
          <a:r>
            <a:rPr lang="en-IN" b="1">
              <a:solidFill>
                <a:schemeClr val="tx1"/>
              </a:solidFill>
            </a:rPr>
            <a:t>(Broader Category CPI Index ÷ Total CPI Index across all broader categories) × 100</a:t>
          </a:r>
          <a:r>
            <a:rPr lang="en-IN">
              <a:solidFill>
                <a:schemeClr val="tx1"/>
              </a:solidFill>
            </a:rPr>
            <a:t>. </a:t>
          </a:r>
        </a:p>
        <a:p>
          <a:pPr lvl="0"/>
          <a:r>
            <a:rPr lang="en-IN" b="1">
              <a:solidFill>
                <a:schemeClr val="tx1"/>
              </a:solidFill>
            </a:rPr>
            <a:t>• Sector-wise analysis:</a:t>
          </a:r>
          <a:r>
            <a:rPr lang="en-IN">
              <a:solidFill>
                <a:schemeClr val="tx1"/>
              </a:solidFill>
            </a:rPr>
            <a:t> Contributions were calculated separately for Rural, Urban, and Rural + Urban, with each sector's total contribution summing to </a:t>
          </a:r>
          <a:r>
            <a:rPr lang="en-IN" b="1">
              <a:solidFill>
                <a:schemeClr val="tx1"/>
              </a:solidFill>
            </a:rPr>
            <a:t>100%</a:t>
          </a:r>
          <a:r>
            <a:rPr lang="en-IN">
              <a:solidFill>
                <a:schemeClr val="tx1"/>
              </a:solidFill>
            </a:rPr>
            <a:t>.</a:t>
          </a:r>
        </a:p>
      </xdr:txBody>
    </xdr:sp>
    <xdr:clientData/>
  </xdr:twoCellAnchor>
  <xdr:twoCellAnchor editAs="absolute">
    <xdr:from>
      <xdr:col>1</xdr:col>
      <xdr:colOff>0</xdr:colOff>
      <xdr:row>11</xdr:row>
      <xdr:rowOff>7620</xdr:rowOff>
    </xdr:from>
    <xdr:to>
      <xdr:col>5</xdr:col>
      <xdr:colOff>360</xdr:colOff>
      <xdr:row>12</xdr:row>
      <xdr:rowOff>68580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B8D13343-9FA1-6BCF-86B9-A3BA6DD03F6D}"/>
            </a:ext>
          </a:extLst>
        </xdr:cNvPr>
        <xdr:cNvSpPr txBox="1"/>
      </xdr:nvSpPr>
      <xdr:spPr>
        <a:xfrm>
          <a:off x="182880" y="2019300"/>
          <a:ext cx="5349600" cy="243840"/>
        </a:xfrm>
        <a:prstGeom prst="rect">
          <a:avLst/>
        </a:prstGeom>
        <a:solidFill>
          <a:schemeClr val="accent2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/>
          <a:r>
            <a:rPr lang="en-IN" sz="1200" b="1">
              <a:solidFill>
                <a:schemeClr val="bg1"/>
              </a:solidFill>
              <a:latin typeface="+mn-lt"/>
              <a:ea typeface="+mn-ea"/>
              <a:cs typeface="+mn-cs"/>
            </a:rPr>
            <a:t>2. METHODOLOGY</a:t>
          </a:r>
        </a:p>
      </xdr:txBody>
    </xdr:sp>
    <xdr:clientData/>
  </xdr:twoCellAnchor>
  <xdr:twoCellAnchor editAs="absolute">
    <xdr:from>
      <xdr:col>5</xdr:col>
      <xdr:colOff>165274</xdr:colOff>
      <xdr:row>11</xdr:row>
      <xdr:rowOff>12500</xdr:rowOff>
    </xdr:from>
    <xdr:to>
      <xdr:col>17</xdr:col>
      <xdr:colOff>223294</xdr:colOff>
      <xdr:row>12</xdr:row>
      <xdr:rowOff>73460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AE6911B7-DA99-DE6D-F28C-226264FAF6F9}"/>
            </a:ext>
          </a:extLst>
        </xdr:cNvPr>
        <xdr:cNvSpPr txBox="1"/>
      </xdr:nvSpPr>
      <xdr:spPr>
        <a:xfrm>
          <a:off x="5697394" y="2024180"/>
          <a:ext cx="8280000" cy="243840"/>
        </a:xfrm>
        <a:prstGeom prst="rect">
          <a:avLst/>
        </a:prstGeom>
        <a:solidFill>
          <a:schemeClr val="accent2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/>
          <a:r>
            <a:rPr lang="en-IN" sz="1200" b="1" cap="all">
              <a:solidFill>
                <a:schemeClr val="bg1"/>
              </a:solidFill>
              <a:latin typeface="+mn-lt"/>
              <a:ea typeface="+mn-ea"/>
              <a:cs typeface="+mn-cs"/>
            </a:rPr>
            <a:t>4. Visualization -</a:t>
          </a:r>
          <a:r>
            <a:rPr lang="en-IN" sz="1200" b="1" cap="all" baseline="0">
              <a:solidFill>
                <a:schemeClr val="bg1"/>
              </a:solidFill>
              <a:latin typeface="+mn-lt"/>
              <a:ea typeface="+mn-ea"/>
              <a:cs typeface="+mn-cs"/>
            </a:rPr>
            <a:t> Contribution (%) Comparison</a:t>
          </a:r>
          <a:endParaRPr lang="en-IN" sz="1200" b="1" cap="all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1</xdr:col>
      <xdr:colOff>0</xdr:colOff>
      <xdr:row>20</xdr:row>
      <xdr:rowOff>99060</xdr:rowOff>
    </xdr:from>
    <xdr:to>
      <xdr:col>5</xdr:col>
      <xdr:colOff>360</xdr:colOff>
      <xdr:row>22</xdr:row>
      <xdr:rowOff>0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2DBA011-542E-9AC2-7DC2-2E7EAFE0765B}"/>
            </a:ext>
          </a:extLst>
        </xdr:cNvPr>
        <xdr:cNvSpPr txBox="1"/>
      </xdr:nvSpPr>
      <xdr:spPr>
        <a:xfrm>
          <a:off x="182880" y="3756660"/>
          <a:ext cx="5349600" cy="243840"/>
        </a:xfrm>
        <a:prstGeom prst="rect">
          <a:avLst/>
        </a:prstGeom>
        <a:solidFill>
          <a:schemeClr val="accent2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/>
          <a:r>
            <a:rPr lang="en-IN" sz="1200" b="1" cap="all">
              <a:solidFill>
                <a:schemeClr val="bg1"/>
              </a:solidFill>
              <a:latin typeface="+mn-lt"/>
              <a:ea typeface="+mn-ea"/>
              <a:cs typeface="+mn-cs"/>
            </a:rPr>
            <a:t>3.</a:t>
          </a:r>
          <a:r>
            <a:rPr lang="en-IN" sz="1200" b="1" cap="all" baseline="0">
              <a:solidFill>
                <a:schemeClr val="bg1"/>
              </a:solidFill>
              <a:latin typeface="+mn-lt"/>
              <a:ea typeface="+mn-ea"/>
              <a:cs typeface="+mn-cs"/>
            </a:rPr>
            <a:t> Contribution (%) by Broader Categories</a:t>
          </a:r>
          <a:endParaRPr lang="en-IN" sz="1200" b="1" cap="all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0</xdr:col>
      <xdr:colOff>179812</xdr:colOff>
      <xdr:row>36</xdr:row>
      <xdr:rowOff>165108</xdr:rowOff>
    </xdr:from>
    <xdr:to>
      <xdr:col>4</xdr:col>
      <xdr:colOff>397372</xdr:colOff>
      <xdr:row>44</xdr:row>
      <xdr:rowOff>68580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5AD10180-2578-990E-57C2-1FBDF742B73E}"/>
            </a:ext>
          </a:extLst>
        </xdr:cNvPr>
        <xdr:cNvSpPr/>
      </xdr:nvSpPr>
      <xdr:spPr>
        <a:xfrm>
          <a:off x="179812" y="6954528"/>
          <a:ext cx="4500000" cy="1366512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lvl="0"/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en-I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Food is the highest contributor to the CPI basket across all sectors.</a:t>
          </a:r>
        </a:p>
        <a:p>
          <a:pPr lvl="0"/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en-I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Food contributes 49.61% in Rural+Urban, 50.30% in Urban and 51.17% in Rural.</a:t>
          </a:r>
        </a:p>
        <a:p>
          <a:pPr lvl="0"/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en-I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Apparel is the second major contributor (~8-9%) across all sectors.</a:t>
          </a:r>
        </a:p>
        <a:p>
          <a:pPr lvl="0"/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en-I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Top 3 categories (Food, Apparel, Pan, tobacco and intoxicants) together contribute ~62-64% of the CPI basket.</a:t>
          </a:r>
          <a:endParaRPr lang="en-IN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4</xdr:col>
      <xdr:colOff>547106</xdr:colOff>
      <xdr:row>36</xdr:row>
      <xdr:rowOff>164138</xdr:rowOff>
    </xdr:from>
    <xdr:to>
      <xdr:col>9</xdr:col>
      <xdr:colOff>452246</xdr:colOff>
      <xdr:row>44</xdr:row>
      <xdr:rowOff>60960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AE583F81-FA40-DBDC-E05E-6D02D9585A31}"/>
            </a:ext>
          </a:extLst>
        </xdr:cNvPr>
        <xdr:cNvSpPr/>
      </xdr:nvSpPr>
      <xdr:spPr>
        <a:xfrm>
          <a:off x="4829546" y="6953558"/>
          <a:ext cx="4500000" cy="1359862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lvl="0"/>
          <a:r>
            <a:rPr lang="en-I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CPI Index values are used for calculating contributions.</a:t>
          </a:r>
        </a:p>
        <a:p>
          <a:pPr lvl="0"/>
          <a:r>
            <a:rPr lang="en-I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Data Source: Government of India - CPI Dataset (Up to May 2023)</a:t>
          </a:r>
        </a:p>
        <a:p>
          <a:pPr lvl="0"/>
          <a:r>
            <a:rPr lang="en-I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Latest available month considered: May 2023</a:t>
          </a:r>
          <a:endParaRPr lang="en-IN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9</xdr:col>
      <xdr:colOff>601980</xdr:colOff>
      <xdr:row>36</xdr:row>
      <xdr:rowOff>169487</xdr:rowOff>
    </xdr:from>
    <xdr:to>
      <xdr:col>17</xdr:col>
      <xdr:colOff>225180</xdr:colOff>
      <xdr:row>44</xdr:row>
      <xdr:rowOff>68580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6EBF15F-A60B-FE3F-43EC-11222B516B7B}"/>
            </a:ext>
          </a:extLst>
        </xdr:cNvPr>
        <xdr:cNvSpPr/>
      </xdr:nvSpPr>
      <xdr:spPr>
        <a:xfrm>
          <a:off x="9479280" y="6958907"/>
          <a:ext cx="4500000" cy="136213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lvl="0"/>
          <a:r>
            <a:rPr lang="en-I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CPI Index: Index value with base year as 2012 = 100.</a:t>
          </a:r>
        </a:p>
        <a:p>
          <a:pPr lvl="0"/>
          <a:r>
            <a:rPr lang="en-I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Contribution (%): Share of a category's index in the total index of all categories.</a:t>
          </a:r>
        </a:p>
        <a:p>
          <a:pPr lvl="0"/>
          <a:r>
            <a:rPr lang="en-I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Broader Categories: Grouping of similar categories for analysis.</a:t>
          </a:r>
          <a:endParaRPr lang="en-IN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0</xdr:col>
      <xdr:colOff>176349</xdr:colOff>
      <xdr:row>36</xdr:row>
      <xdr:rowOff>164374</xdr:rowOff>
    </xdr:from>
    <xdr:to>
      <xdr:col>4</xdr:col>
      <xdr:colOff>393909</xdr:colOff>
      <xdr:row>38</xdr:row>
      <xdr:rowOff>42998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869C0AE-12F3-2B2E-510B-A79D7584045E}"/>
            </a:ext>
          </a:extLst>
        </xdr:cNvPr>
        <xdr:cNvSpPr txBox="1"/>
      </xdr:nvSpPr>
      <xdr:spPr>
        <a:xfrm>
          <a:off x="176349" y="6953794"/>
          <a:ext cx="4500000" cy="244384"/>
        </a:xfrm>
        <a:prstGeom prst="rect">
          <a:avLst/>
        </a:prstGeom>
        <a:solidFill>
          <a:schemeClr val="accent2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/>
          <a:r>
            <a:rPr lang="en-IN" sz="1200" b="1" cap="all" baseline="0">
              <a:solidFill>
                <a:schemeClr val="bg1"/>
              </a:solidFill>
              <a:latin typeface="+mn-lt"/>
              <a:ea typeface="+mn-ea"/>
              <a:cs typeface="+mn-cs"/>
            </a:rPr>
            <a:t>5. Key Insights</a:t>
          </a:r>
        </a:p>
      </xdr:txBody>
    </xdr:sp>
    <xdr:clientData/>
  </xdr:twoCellAnchor>
  <xdr:twoCellAnchor editAs="absolute">
    <xdr:from>
      <xdr:col>4</xdr:col>
      <xdr:colOff>547409</xdr:colOff>
      <xdr:row>36</xdr:row>
      <xdr:rowOff>164374</xdr:rowOff>
    </xdr:from>
    <xdr:to>
      <xdr:col>9</xdr:col>
      <xdr:colOff>452549</xdr:colOff>
      <xdr:row>38</xdr:row>
      <xdr:rowOff>42998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E25E4489-3BAA-3BDC-3569-B352D336E719}"/>
            </a:ext>
          </a:extLst>
        </xdr:cNvPr>
        <xdr:cNvSpPr txBox="1"/>
      </xdr:nvSpPr>
      <xdr:spPr>
        <a:xfrm>
          <a:off x="4829849" y="6953794"/>
          <a:ext cx="4500000" cy="244384"/>
        </a:xfrm>
        <a:prstGeom prst="rect">
          <a:avLst/>
        </a:prstGeom>
        <a:solidFill>
          <a:schemeClr val="accent2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/>
          <a:r>
            <a:rPr lang="en-IN" sz="1200" b="1" cap="all">
              <a:solidFill>
                <a:schemeClr val="bg1"/>
              </a:solidFill>
              <a:latin typeface="+mn-lt"/>
              <a:ea typeface="+mn-ea"/>
              <a:cs typeface="+mn-cs"/>
            </a:rPr>
            <a:t>6.</a:t>
          </a:r>
          <a:r>
            <a:rPr lang="en-IN" sz="1200" b="1" cap="all" baseline="0">
              <a:solidFill>
                <a:schemeClr val="bg1"/>
              </a:solidFill>
              <a:latin typeface="+mn-lt"/>
              <a:ea typeface="+mn-ea"/>
              <a:cs typeface="+mn-cs"/>
            </a:rPr>
            <a:t> Notes</a:t>
          </a:r>
          <a:endParaRPr lang="en-IN" sz="1200" b="1" cap="all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9</xdr:col>
      <xdr:colOff>600418</xdr:colOff>
      <xdr:row>36</xdr:row>
      <xdr:rowOff>164374</xdr:rowOff>
    </xdr:from>
    <xdr:to>
      <xdr:col>17</xdr:col>
      <xdr:colOff>223618</xdr:colOff>
      <xdr:row>38</xdr:row>
      <xdr:rowOff>42998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47B1DEE6-B1A4-A12A-3970-5429FA4F49DD}"/>
            </a:ext>
          </a:extLst>
        </xdr:cNvPr>
        <xdr:cNvSpPr txBox="1"/>
      </xdr:nvSpPr>
      <xdr:spPr>
        <a:xfrm>
          <a:off x="9477718" y="6953794"/>
          <a:ext cx="4500000" cy="244384"/>
        </a:xfrm>
        <a:prstGeom prst="rect">
          <a:avLst/>
        </a:prstGeom>
        <a:solidFill>
          <a:schemeClr val="accent2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/>
          <a:r>
            <a:rPr lang="en-IN" sz="1200" b="1" cap="all" baseline="0">
              <a:solidFill>
                <a:schemeClr val="bg1"/>
              </a:solidFill>
              <a:latin typeface="+mn-lt"/>
              <a:ea typeface="+mn-ea"/>
              <a:cs typeface="+mn-cs"/>
            </a:rPr>
            <a:t>7. Definations</a:t>
          </a:r>
        </a:p>
      </xdr:txBody>
    </xdr:sp>
    <xdr:clientData/>
  </xdr:twoCellAnchor>
  <xdr:twoCellAnchor editAs="absolute">
    <xdr:from>
      <xdr:col>1</xdr:col>
      <xdr:colOff>1955</xdr:colOff>
      <xdr:row>44</xdr:row>
      <xdr:rowOff>232088</xdr:rowOff>
    </xdr:from>
    <xdr:to>
      <xdr:col>5</xdr:col>
      <xdr:colOff>1512849</xdr:colOff>
      <xdr:row>46</xdr:row>
      <xdr:rowOff>10908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3783FD96-70AE-5698-704E-8B7D5AD29A2C}"/>
            </a:ext>
          </a:extLst>
        </xdr:cNvPr>
        <xdr:cNvSpPr txBox="1"/>
      </xdr:nvSpPr>
      <xdr:spPr>
        <a:xfrm>
          <a:off x="184835" y="8484548"/>
          <a:ext cx="6860134" cy="243640"/>
        </a:xfrm>
        <a:prstGeom prst="rect">
          <a:avLst/>
        </a:prstGeom>
        <a:solidFill>
          <a:schemeClr val="accent2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/>
          <a:r>
            <a:rPr lang="en-IN" sz="1200" b="1" cap="all">
              <a:solidFill>
                <a:schemeClr val="bg1"/>
              </a:solidFill>
              <a:latin typeface="+mn-lt"/>
              <a:ea typeface="+mn-ea"/>
              <a:cs typeface="+mn-cs"/>
            </a:rPr>
            <a:t>8</a:t>
          </a:r>
          <a:r>
            <a:rPr lang="en-IN" sz="1200" b="1" cap="all" baseline="0">
              <a:solidFill>
                <a:schemeClr val="bg1"/>
              </a:solidFill>
              <a:latin typeface="+mn-lt"/>
              <a:ea typeface="+mn-ea"/>
              <a:cs typeface="+mn-cs"/>
            </a:rPr>
            <a:t>. Supporting Calculation Data for Q1 Analysis (Sources from Cleaned_data)</a:t>
          </a:r>
          <a:endParaRPr lang="en-IN" sz="1200" b="1" cap="all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7620</xdr:colOff>
      <xdr:row>15</xdr:row>
      <xdr:rowOff>0</xdr:rowOff>
    </xdr:from>
    <xdr:to>
      <xdr:col>15</xdr:col>
      <xdr:colOff>15240</xdr:colOff>
      <xdr:row>28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8F39A0-A3B2-8DA7-A423-5D0C74942B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99060</xdr:colOff>
      <xdr:row>2</xdr:row>
      <xdr:rowOff>45720</xdr:rowOff>
    </xdr:from>
    <xdr:to>
      <xdr:col>6</xdr:col>
      <xdr:colOff>419100</xdr:colOff>
      <xdr:row>4</xdr:row>
      <xdr:rowOff>71511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EEDBA5E-3C8C-49EE-85AB-6DFB52B7650D}"/>
            </a:ext>
          </a:extLst>
        </xdr:cNvPr>
        <xdr:cNvSpPr/>
      </xdr:nvSpPr>
      <xdr:spPr>
        <a:xfrm>
          <a:off x="99060" y="411480"/>
          <a:ext cx="3817620" cy="391551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IN" sz="1200" b="1" i="1">
              <a:solidFill>
                <a:schemeClr val="accent2"/>
              </a:solidFill>
            </a:rPr>
            <a:t>Urban+Rural |</a:t>
          </a:r>
          <a:r>
            <a:rPr lang="en-IN" sz="1200" b="1" i="1" baseline="0">
              <a:solidFill>
                <a:schemeClr val="accent2"/>
              </a:solidFill>
            </a:rPr>
            <a:t> May 2017 to May 2023</a:t>
          </a:r>
          <a:endParaRPr lang="en-IN" sz="1200" b="1" i="1">
            <a:solidFill>
              <a:schemeClr val="accent2"/>
            </a:solidFill>
          </a:endParaRPr>
        </a:p>
      </xdr:txBody>
    </xdr:sp>
    <xdr:clientData/>
  </xdr:twoCellAnchor>
  <xdr:twoCellAnchor editAs="absolute">
    <xdr:from>
      <xdr:col>0</xdr:col>
      <xdr:colOff>99060</xdr:colOff>
      <xdr:row>0</xdr:row>
      <xdr:rowOff>160020</xdr:rowOff>
    </xdr:from>
    <xdr:to>
      <xdr:col>7</xdr:col>
      <xdr:colOff>220980</xdr:colOff>
      <xdr:row>3</xdr:row>
      <xdr:rowOff>2931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339B25A1-1C24-471D-931D-61654CB256A0}"/>
            </a:ext>
          </a:extLst>
        </xdr:cNvPr>
        <xdr:cNvSpPr/>
      </xdr:nvSpPr>
      <xdr:spPr>
        <a:xfrm>
          <a:off x="99060" y="160020"/>
          <a:ext cx="4229100" cy="391551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IN" sz="2400" b="1">
              <a:solidFill>
                <a:schemeClr val="accent2"/>
              </a:solidFill>
            </a:rPr>
            <a:t>Q2 -</a:t>
          </a:r>
          <a:r>
            <a:rPr lang="en-IN" sz="2400" b="1" baseline="0">
              <a:solidFill>
                <a:schemeClr val="accent2"/>
              </a:solidFill>
            </a:rPr>
            <a:t> YoY CPI Inflation Analysis</a:t>
          </a:r>
          <a:endParaRPr lang="en-IN" sz="2400" b="1">
            <a:solidFill>
              <a:schemeClr val="accent2"/>
            </a:solidFill>
          </a:endParaRPr>
        </a:p>
      </xdr:txBody>
    </xdr:sp>
    <xdr:clientData/>
  </xdr:twoCellAnchor>
  <xdr:twoCellAnchor editAs="absolute">
    <xdr:from>
      <xdr:col>16</xdr:col>
      <xdr:colOff>1143000</xdr:colOff>
      <xdr:row>1</xdr:row>
      <xdr:rowOff>99060</xdr:rowOff>
    </xdr:from>
    <xdr:to>
      <xdr:col>18</xdr:col>
      <xdr:colOff>1005840</xdr:colOff>
      <xdr:row>4</xdr:row>
      <xdr:rowOff>152400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1646243-E5B2-40DD-815C-9BEC56F4B781}"/>
            </a:ext>
          </a:extLst>
        </xdr:cNvPr>
        <xdr:cNvSpPr/>
      </xdr:nvSpPr>
      <xdr:spPr>
        <a:xfrm>
          <a:off x="10386060" y="281940"/>
          <a:ext cx="3573780" cy="601980"/>
        </a:xfrm>
        <a:prstGeom prst="roundRect">
          <a:avLst/>
        </a:prstGeom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400" b="1">
              <a:solidFill>
                <a:schemeClr val="accent2"/>
              </a:solidFill>
            </a:rPr>
            <a:t>← Back to Dashboard</a:t>
          </a:r>
        </a:p>
      </xdr:txBody>
    </xdr:sp>
    <xdr:clientData/>
  </xdr:twoCellAnchor>
  <xdr:twoCellAnchor editAs="absolute">
    <xdr:from>
      <xdr:col>1</xdr:col>
      <xdr:colOff>0</xdr:colOff>
      <xdr:row>5</xdr:row>
      <xdr:rowOff>175260</xdr:rowOff>
    </xdr:from>
    <xdr:to>
      <xdr:col>8</xdr:col>
      <xdr:colOff>0</xdr:colOff>
      <xdr:row>12</xdr:row>
      <xdr:rowOff>38100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A6BBCA0C-02A5-4E23-A916-F3B15AD92A45}"/>
            </a:ext>
          </a:extLst>
        </xdr:cNvPr>
        <xdr:cNvSpPr/>
      </xdr:nvSpPr>
      <xdr:spPr>
        <a:xfrm>
          <a:off x="198120" y="1089660"/>
          <a:ext cx="4518660" cy="1143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0">
              <a:solidFill>
                <a:schemeClr val="tx1"/>
              </a:solidFill>
            </a:rPr>
            <a:t>To analyze the year-on-year (YoY) change in CPI inflation (Rural + Urban) starting from 2017 and identify the year with the highest YoY inflation and its key triggers.</a:t>
          </a:r>
        </a:p>
      </xdr:txBody>
    </xdr:sp>
    <xdr:clientData/>
  </xdr:twoCellAnchor>
  <xdr:twoCellAnchor editAs="absolute">
    <xdr:from>
      <xdr:col>1</xdr:col>
      <xdr:colOff>0</xdr:colOff>
      <xdr:row>5</xdr:row>
      <xdr:rowOff>175259</xdr:rowOff>
    </xdr:from>
    <xdr:to>
      <xdr:col>7</xdr:col>
      <xdr:colOff>608940</xdr:colOff>
      <xdr:row>7</xdr:row>
      <xdr:rowOff>54299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C224060-11B8-4F44-B695-9136464CA7BB}"/>
            </a:ext>
          </a:extLst>
        </xdr:cNvPr>
        <xdr:cNvSpPr txBox="1"/>
      </xdr:nvSpPr>
      <xdr:spPr>
        <a:xfrm>
          <a:off x="198120" y="1089659"/>
          <a:ext cx="4518000" cy="244800"/>
        </a:xfrm>
        <a:prstGeom prst="rect">
          <a:avLst/>
        </a:prstGeom>
        <a:solidFill>
          <a:schemeClr val="accent2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N" sz="1200" b="1">
              <a:solidFill>
                <a:schemeClr val="bg1"/>
              </a:solidFill>
            </a:rPr>
            <a:t>1. OBJECTIVE</a:t>
          </a:r>
        </a:p>
      </xdr:txBody>
    </xdr:sp>
    <xdr:clientData/>
  </xdr:twoCellAnchor>
  <xdr:twoCellAnchor editAs="absolute">
    <xdr:from>
      <xdr:col>8</xdr:col>
      <xdr:colOff>198360</xdr:colOff>
      <xdr:row>5</xdr:row>
      <xdr:rowOff>175260</xdr:rowOff>
    </xdr:from>
    <xdr:to>
      <xdr:col>12</xdr:col>
      <xdr:colOff>639960</xdr:colOff>
      <xdr:row>12</xdr:row>
      <xdr:rowOff>47100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29900D9A-332A-4F65-A055-A3F0381990E1}"/>
            </a:ext>
          </a:extLst>
        </xdr:cNvPr>
        <xdr:cNvSpPr/>
      </xdr:nvSpPr>
      <xdr:spPr>
        <a:xfrm>
          <a:off x="4915140" y="1089660"/>
          <a:ext cx="2880000" cy="115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endParaRPr lang="en-IN" sz="1400">
            <a:solidFill>
              <a:schemeClr val="accent2">
                <a:lumMod val="75000"/>
              </a:schemeClr>
            </a:solidFill>
            <a:effectLst/>
          </a:endParaRPr>
        </a:p>
      </xdr:txBody>
    </xdr:sp>
    <xdr:clientData/>
  </xdr:twoCellAnchor>
  <xdr:twoCellAnchor editAs="absolute">
    <xdr:from>
      <xdr:col>17</xdr:col>
      <xdr:colOff>22860</xdr:colOff>
      <xdr:row>5</xdr:row>
      <xdr:rowOff>175260</xdr:rowOff>
    </xdr:from>
    <xdr:to>
      <xdr:col>18</xdr:col>
      <xdr:colOff>997860</xdr:colOff>
      <xdr:row>12</xdr:row>
      <xdr:rowOff>47100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C8548546-80C1-8F34-05BA-9BCE87E8E036}"/>
            </a:ext>
          </a:extLst>
        </xdr:cNvPr>
        <xdr:cNvSpPr/>
      </xdr:nvSpPr>
      <xdr:spPr>
        <a:xfrm>
          <a:off x="11071860" y="1089660"/>
          <a:ext cx="2880000" cy="115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endParaRPr lang="en-IN" sz="1400">
            <a:solidFill>
              <a:schemeClr val="accent2">
                <a:lumMod val="75000"/>
              </a:schemeClr>
            </a:solidFill>
            <a:effectLst/>
          </a:endParaRPr>
        </a:p>
      </xdr:txBody>
    </xdr:sp>
    <xdr:clientData/>
  </xdr:twoCellAnchor>
  <xdr:twoCellAnchor editAs="absolute">
    <xdr:from>
      <xdr:col>13</xdr:col>
      <xdr:colOff>167760</xdr:colOff>
      <xdr:row>5</xdr:row>
      <xdr:rowOff>175260</xdr:rowOff>
    </xdr:from>
    <xdr:to>
      <xdr:col>16</xdr:col>
      <xdr:colOff>1630440</xdr:colOff>
      <xdr:row>12</xdr:row>
      <xdr:rowOff>47100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2E5822D-7D38-A875-982A-0FE622189E89}"/>
            </a:ext>
          </a:extLst>
        </xdr:cNvPr>
        <xdr:cNvSpPr/>
      </xdr:nvSpPr>
      <xdr:spPr>
        <a:xfrm>
          <a:off x="7993500" y="1089660"/>
          <a:ext cx="2880000" cy="115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endParaRPr lang="en-IN" sz="1400">
            <a:solidFill>
              <a:schemeClr val="accent2">
                <a:lumMod val="75000"/>
              </a:schemeClr>
            </a:solidFill>
            <a:effectLst/>
          </a:endParaRPr>
        </a:p>
      </xdr:txBody>
    </xdr:sp>
    <xdr:clientData/>
  </xdr:twoCellAnchor>
  <xdr:twoCellAnchor editAs="absolute">
    <xdr:from>
      <xdr:col>1</xdr:col>
      <xdr:colOff>7620</xdr:colOff>
      <xdr:row>13</xdr:row>
      <xdr:rowOff>91440</xdr:rowOff>
    </xdr:from>
    <xdr:to>
      <xdr:col>15</xdr:col>
      <xdr:colOff>16800</xdr:colOff>
      <xdr:row>15</xdr:row>
      <xdr:rowOff>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2E7D4D6-E94E-5D52-0C85-FF650EC10B35}"/>
            </a:ext>
          </a:extLst>
        </xdr:cNvPr>
        <xdr:cNvSpPr txBox="1"/>
      </xdr:nvSpPr>
      <xdr:spPr>
        <a:xfrm>
          <a:off x="205740" y="2468880"/>
          <a:ext cx="8856000" cy="243840"/>
        </a:xfrm>
        <a:prstGeom prst="rect">
          <a:avLst/>
        </a:prstGeom>
        <a:solidFill>
          <a:schemeClr val="accent2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200" b="1" cap="none">
              <a:solidFill>
                <a:schemeClr val="bg1"/>
              </a:solidFill>
            </a:rPr>
            <a:t>2. </a:t>
          </a:r>
          <a:r>
            <a:rPr lang="en-IN" sz="1200" b="1" i="0" cap="none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YoY CPI INFLATION TREND (RURAL+URBAN) -  MAY 2017 TO MAY 2023</a:t>
          </a:r>
          <a:endParaRPr lang="en-IN" sz="1200" b="1" cap="none" baseline="0">
            <a:solidFill>
              <a:schemeClr val="bg1"/>
            </a:solidFill>
            <a:effectLst/>
          </a:endParaRPr>
        </a:p>
      </xdr:txBody>
    </xdr:sp>
    <xdr:clientData/>
  </xdr:twoCellAnchor>
  <xdr:twoCellAnchor editAs="absolute">
    <xdr:from>
      <xdr:col>15</xdr:col>
      <xdr:colOff>186891</xdr:colOff>
      <xdr:row>13</xdr:row>
      <xdr:rowOff>92244</xdr:rowOff>
    </xdr:from>
    <xdr:to>
      <xdr:col>19</xdr:col>
      <xdr:colOff>16371</xdr:colOff>
      <xdr:row>15</xdr:row>
      <xdr:rowOff>804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850AAE24-992E-4CB2-343D-DB137E2C4529}"/>
            </a:ext>
          </a:extLst>
        </xdr:cNvPr>
        <xdr:cNvSpPr txBox="1"/>
      </xdr:nvSpPr>
      <xdr:spPr>
        <a:xfrm>
          <a:off x="9231831" y="2469684"/>
          <a:ext cx="4752000" cy="243840"/>
        </a:xfrm>
        <a:prstGeom prst="rect">
          <a:avLst/>
        </a:prstGeom>
        <a:solidFill>
          <a:schemeClr val="accent2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N" sz="1200" b="1">
              <a:solidFill>
                <a:schemeClr val="bg1"/>
              </a:solidFill>
            </a:rPr>
            <a:t>3. YoY</a:t>
          </a:r>
          <a:r>
            <a:rPr lang="en-IN" sz="1200" b="1" baseline="0">
              <a:solidFill>
                <a:schemeClr val="bg1"/>
              </a:solidFill>
            </a:rPr>
            <a:t> CPI INFLATION DATA (RURAL+URBAN)</a:t>
          </a:r>
          <a:endParaRPr lang="en-IN" sz="1200" b="1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16</xdr:col>
      <xdr:colOff>15240</xdr:colOff>
      <xdr:row>25</xdr:row>
      <xdr:rowOff>34035</xdr:rowOff>
    </xdr:from>
    <xdr:to>
      <xdr:col>18</xdr:col>
      <xdr:colOff>1005840</xdr:colOff>
      <xdr:row>28</xdr:row>
      <xdr:rowOff>94995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E7BA096B-FA01-540A-F002-09AFCF9EB3B7}"/>
            </a:ext>
          </a:extLst>
        </xdr:cNvPr>
        <xdr:cNvSpPr/>
      </xdr:nvSpPr>
      <xdr:spPr>
        <a:xfrm>
          <a:off x="9258300" y="4575555"/>
          <a:ext cx="4701540" cy="6096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endParaRPr lang="en-IN" sz="1400">
            <a:solidFill>
              <a:schemeClr val="accent2">
                <a:lumMod val="75000"/>
              </a:schemeClr>
            </a:solidFill>
            <a:effectLst/>
          </a:endParaRPr>
        </a:p>
      </xdr:txBody>
    </xdr:sp>
    <xdr:clientData/>
  </xdr:twoCellAnchor>
  <xdr:twoCellAnchor editAs="absolute">
    <xdr:from>
      <xdr:col>1</xdr:col>
      <xdr:colOff>7620</xdr:colOff>
      <xdr:row>29</xdr:row>
      <xdr:rowOff>106681</xdr:rowOff>
    </xdr:from>
    <xdr:to>
      <xdr:col>11</xdr:col>
      <xdr:colOff>464160</xdr:colOff>
      <xdr:row>48</xdr:row>
      <xdr:rowOff>23386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EEF83886-65E4-9C34-2137-1AC50BC78F05}"/>
            </a:ext>
          </a:extLst>
        </xdr:cNvPr>
        <xdr:cNvSpPr/>
      </xdr:nvSpPr>
      <xdr:spPr>
        <a:xfrm>
          <a:off x="205740" y="5379721"/>
          <a:ext cx="6804000" cy="33914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endParaRPr lang="en-IN" sz="1400">
            <a:solidFill>
              <a:schemeClr val="accent2">
                <a:lumMod val="75000"/>
              </a:schemeClr>
            </a:solidFill>
            <a:effectLst/>
          </a:endParaRPr>
        </a:p>
      </xdr:txBody>
    </xdr:sp>
    <xdr:clientData/>
  </xdr:twoCellAnchor>
  <xdr:twoCellAnchor>
    <xdr:from>
      <xdr:col>10</xdr:col>
      <xdr:colOff>83820</xdr:colOff>
      <xdr:row>6</xdr:row>
      <xdr:rowOff>38100</xdr:rowOff>
    </xdr:from>
    <xdr:to>
      <xdr:col>12</xdr:col>
      <xdr:colOff>586740</xdr:colOff>
      <xdr:row>7</xdr:row>
      <xdr:rowOff>121920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258FF4B7-5C30-7286-88C2-80043366E218}"/>
            </a:ext>
          </a:extLst>
        </xdr:cNvPr>
        <xdr:cNvSpPr txBox="1"/>
      </xdr:nvSpPr>
      <xdr:spPr>
        <a:xfrm>
          <a:off x="6019800" y="1135380"/>
          <a:ext cx="172212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200" b="1">
              <a:solidFill>
                <a:schemeClr val="accent2">
                  <a:lumMod val="75000"/>
                </a:schemeClr>
              </a:solidFill>
            </a:rPr>
            <a:t>Highest YoY Inflation</a:t>
          </a:r>
        </a:p>
      </xdr:txBody>
    </xdr:sp>
    <xdr:clientData/>
  </xdr:twoCellAnchor>
  <xdr:twoCellAnchor>
    <xdr:from>
      <xdr:col>10</xdr:col>
      <xdr:colOff>83820</xdr:colOff>
      <xdr:row>7</xdr:row>
      <xdr:rowOff>163830</xdr:rowOff>
    </xdr:from>
    <xdr:to>
      <xdr:col>12</xdr:col>
      <xdr:colOff>586740</xdr:colOff>
      <xdr:row>10</xdr:row>
      <xdr:rowOff>19050</xdr:rowOff>
    </xdr:to>
    <xdr:sp macro="" textlink="Dashboard_Calculations!F5">
      <xdr:nvSpPr>
        <xdr:cNvPr id="24" name="TextBox 23">
          <a:extLst>
            <a:ext uri="{FF2B5EF4-FFF2-40B4-BE49-F238E27FC236}">
              <a16:creationId xmlns:a16="http://schemas.microsoft.com/office/drawing/2014/main" id="{850AC65C-C2F6-1D2E-A827-CA4871654929}"/>
            </a:ext>
          </a:extLst>
        </xdr:cNvPr>
        <xdr:cNvSpPr txBox="1"/>
      </xdr:nvSpPr>
      <xdr:spPr>
        <a:xfrm>
          <a:off x="6019800" y="1443990"/>
          <a:ext cx="1722120" cy="4038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DDF6959B-230D-4303-BDBA-6768CE4C941D}" type="TxLink">
            <a:rPr lang="en-US" sz="2400" b="1" i="0" u="none" strike="noStrike">
              <a:solidFill>
                <a:schemeClr val="accent2">
                  <a:lumMod val="75000"/>
                </a:schemeClr>
              </a:solidFill>
              <a:latin typeface="Calibri"/>
              <a:ea typeface="Calibri"/>
              <a:cs typeface="Calibri"/>
            </a:rPr>
            <a:pPr algn="ctr"/>
            <a:t>7.04%</a:t>
          </a:fld>
          <a:endParaRPr lang="en-IN" sz="3600" b="1">
            <a:solidFill>
              <a:schemeClr val="accent2">
                <a:lumMod val="75000"/>
              </a:schemeClr>
            </a:solidFill>
          </a:endParaRPr>
        </a:p>
      </xdr:txBody>
    </xdr:sp>
    <xdr:clientData/>
  </xdr:twoCellAnchor>
  <xdr:twoCellAnchor>
    <xdr:from>
      <xdr:col>10</xdr:col>
      <xdr:colOff>83820</xdr:colOff>
      <xdr:row>10</xdr:row>
      <xdr:rowOff>60960</xdr:rowOff>
    </xdr:from>
    <xdr:to>
      <xdr:col>12</xdr:col>
      <xdr:colOff>586740</xdr:colOff>
      <xdr:row>11</xdr:row>
      <xdr:rowOff>175260</xdr:rowOff>
    </xdr:to>
    <xdr:sp macro="" textlink="Dashboard_Calculations!G5">
      <xdr:nvSpPr>
        <xdr:cNvPr id="25" name="TextBox 24">
          <a:extLst>
            <a:ext uri="{FF2B5EF4-FFF2-40B4-BE49-F238E27FC236}">
              <a16:creationId xmlns:a16="http://schemas.microsoft.com/office/drawing/2014/main" id="{A705314E-2BF6-60F6-88D5-DB320A57B1C3}"/>
            </a:ext>
          </a:extLst>
        </xdr:cNvPr>
        <xdr:cNvSpPr txBox="1"/>
      </xdr:nvSpPr>
      <xdr:spPr>
        <a:xfrm>
          <a:off x="6019800" y="1889760"/>
          <a:ext cx="1722120" cy="2971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 i="0" u="none" strike="noStrike">
              <a:solidFill>
                <a:schemeClr val="accent2">
                  <a:lumMod val="75000"/>
                </a:schemeClr>
              </a:solidFill>
              <a:latin typeface="Calibri"/>
              <a:ea typeface="Calibri"/>
              <a:cs typeface="Calibri"/>
            </a:rPr>
            <a:t>in </a:t>
          </a:r>
          <a:fld id="{1C3B5479-AC8A-4DBC-989E-38163A1E90FF}" type="TxLink">
            <a:rPr lang="en-US" sz="1200" b="1" i="0" u="none" strike="noStrike">
              <a:solidFill>
                <a:schemeClr val="accent2">
                  <a:lumMod val="75000"/>
                </a:schemeClr>
              </a:solidFill>
              <a:latin typeface="Calibri"/>
              <a:ea typeface="Calibri"/>
              <a:cs typeface="Calibri"/>
            </a:rPr>
            <a:pPr algn="ctr"/>
            <a:t>May-2022</a:t>
          </a:fld>
          <a:endParaRPr lang="en-IN" sz="1400" b="1">
            <a:solidFill>
              <a:schemeClr val="accent2">
                <a:lumMod val="75000"/>
              </a:schemeClr>
            </a:solidFill>
          </a:endParaRPr>
        </a:p>
      </xdr:txBody>
    </xdr:sp>
    <xdr:clientData/>
  </xdr:twoCellAnchor>
  <xdr:twoCellAnchor>
    <xdr:from>
      <xdr:col>15</xdr:col>
      <xdr:colOff>38100</xdr:colOff>
      <xdr:row>6</xdr:row>
      <xdr:rowOff>30480</xdr:rowOff>
    </xdr:from>
    <xdr:to>
      <xdr:col>16</xdr:col>
      <xdr:colOff>1562100</xdr:colOff>
      <xdr:row>7</xdr:row>
      <xdr:rowOff>114300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4F3D855D-9D73-4028-DA02-373B2AF5D209}"/>
            </a:ext>
          </a:extLst>
        </xdr:cNvPr>
        <xdr:cNvSpPr txBox="1"/>
      </xdr:nvSpPr>
      <xdr:spPr>
        <a:xfrm>
          <a:off x="9083040" y="1127760"/>
          <a:ext cx="172212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IN" sz="1200" b="1">
              <a:solidFill>
                <a:schemeClr val="accent2">
                  <a:lumMod val="75000"/>
                </a:schemeClr>
              </a:solidFill>
              <a:latin typeface="+mn-lt"/>
              <a:ea typeface="+mn-ea"/>
              <a:cs typeface="+mn-cs"/>
            </a:rPr>
            <a:t>Lowest YoY Inflation</a:t>
          </a:r>
        </a:p>
      </xdr:txBody>
    </xdr:sp>
    <xdr:clientData/>
  </xdr:twoCellAnchor>
  <xdr:twoCellAnchor>
    <xdr:from>
      <xdr:col>15</xdr:col>
      <xdr:colOff>38100</xdr:colOff>
      <xdr:row>7</xdr:row>
      <xdr:rowOff>160020</xdr:rowOff>
    </xdr:from>
    <xdr:to>
      <xdr:col>16</xdr:col>
      <xdr:colOff>1562100</xdr:colOff>
      <xdr:row>10</xdr:row>
      <xdr:rowOff>15240</xdr:rowOff>
    </xdr:to>
    <xdr:sp macro="" textlink="Dashboard_Calculations!F6">
      <xdr:nvSpPr>
        <xdr:cNvPr id="27" name="TextBox 26">
          <a:extLst>
            <a:ext uri="{FF2B5EF4-FFF2-40B4-BE49-F238E27FC236}">
              <a16:creationId xmlns:a16="http://schemas.microsoft.com/office/drawing/2014/main" id="{D1E42D07-CDD9-BC98-DF8B-6DC9A1EDD8C3}"/>
            </a:ext>
          </a:extLst>
        </xdr:cNvPr>
        <xdr:cNvSpPr txBox="1"/>
      </xdr:nvSpPr>
      <xdr:spPr>
        <a:xfrm>
          <a:off x="9083040" y="1440180"/>
          <a:ext cx="1722120" cy="4038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240A2491-3CFB-4A75-8A2D-AE1D3FF44E03}" type="TxLink">
            <a:rPr lang="en-US" sz="2400" b="1" i="0" u="none" strike="noStrike">
              <a:solidFill>
                <a:schemeClr val="accent2">
                  <a:lumMod val="75000"/>
                </a:schemeClr>
              </a:solidFill>
              <a:latin typeface="Calibri"/>
              <a:ea typeface="Calibri"/>
              <a:cs typeface="Calibri"/>
            </a:rPr>
            <a:pPr marL="0" indent="0" algn="ctr"/>
            <a:t>2.18%</a:t>
          </a:fld>
          <a:endParaRPr lang="en-IN" sz="2400" b="1" i="0" u="none" strike="noStrike">
            <a:solidFill>
              <a:schemeClr val="accent2">
                <a:lumMod val="75000"/>
              </a:schemeClr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15</xdr:col>
      <xdr:colOff>38100</xdr:colOff>
      <xdr:row>10</xdr:row>
      <xdr:rowOff>53340</xdr:rowOff>
    </xdr:from>
    <xdr:to>
      <xdr:col>16</xdr:col>
      <xdr:colOff>1562100</xdr:colOff>
      <xdr:row>11</xdr:row>
      <xdr:rowOff>167640</xdr:rowOff>
    </xdr:to>
    <xdr:sp macro="" textlink="Dashboard_Calculations!G6">
      <xdr:nvSpPr>
        <xdr:cNvPr id="28" name="TextBox 27">
          <a:extLst>
            <a:ext uri="{FF2B5EF4-FFF2-40B4-BE49-F238E27FC236}">
              <a16:creationId xmlns:a16="http://schemas.microsoft.com/office/drawing/2014/main" id="{2E4CC46E-20E8-2D37-DF83-B007B62474C2}"/>
            </a:ext>
          </a:extLst>
        </xdr:cNvPr>
        <xdr:cNvSpPr txBox="1"/>
      </xdr:nvSpPr>
      <xdr:spPr>
        <a:xfrm>
          <a:off x="9083040" y="1882140"/>
          <a:ext cx="1722120" cy="2971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1200" b="1" i="0" u="none" strike="noStrike">
              <a:solidFill>
                <a:schemeClr val="accent2">
                  <a:lumMod val="75000"/>
                </a:schemeClr>
              </a:solidFill>
              <a:latin typeface="Calibri"/>
              <a:ea typeface="Calibri"/>
              <a:cs typeface="Calibri"/>
            </a:rPr>
            <a:t>in </a:t>
          </a:r>
          <a:fld id="{AAF63013-5F98-45B2-B4AD-434B3B42BDA2}" type="TxLink">
            <a:rPr lang="en-US" sz="1200" b="1" i="0" u="none" strike="noStrike">
              <a:solidFill>
                <a:schemeClr val="accent2">
                  <a:lumMod val="75000"/>
                </a:schemeClr>
              </a:solidFill>
              <a:latin typeface="Calibri"/>
              <a:ea typeface="Calibri"/>
              <a:cs typeface="Calibri"/>
            </a:rPr>
            <a:pPr marL="0" indent="0" algn="ctr"/>
            <a:t>May-2017</a:t>
          </a:fld>
          <a:endParaRPr lang="en-IN" sz="1200" b="1" i="0" u="none" strike="noStrike">
            <a:solidFill>
              <a:schemeClr val="accent2">
                <a:lumMod val="75000"/>
              </a:schemeClr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17</xdr:col>
      <xdr:colOff>1097280</xdr:colOff>
      <xdr:row>6</xdr:row>
      <xdr:rowOff>38100</xdr:rowOff>
    </xdr:from>
    <xdr:to>
      <xdr:col>18</xdr:col>
      <xdr:colOff>914400</xdr:colOff>
      <xdr:row>7</xdr:row>
      <xdr:rowOff>121920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E161E025-30F3-A0F7-2CC3-C69BC8AD2661}"/>
            </a:ext>
          </a:extLst>
        </xdr:cNvPr>
        <xdr:cNvSpPr txBox="1"/>
      </xdr:nvSpPr>
      <xdr:spPr>
        <a:xfrm>
          <a:off x="12146280" y="1135380"/>
          <a:ext cx="172212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IN" sz="1200" b="1">
              <a:solidFill>
                <a:schemeClr val="accent2">
                  <a:lumMod val="75000"/>
                </a:schemeClr>
              </a:solidFill>
              <a:latin typeface="+mn-lt"/>
              <a:ea typeface="+mn-ea"/>
              <a:cs typeface="+mn-cs"/>
            </a:rPr>
            <a:t>Average YoY Inflation</a:t>
          </a:r>
        </a:p>
      </xdr:txBody>
    </xdr:sp>
    <xdr:clientData/>
  </xdr:twoCellAnchor>
  <xdr:twoCellAnchor>
    <xdr:from>
      <xdr:col>17</xdr:col>
      <xdr:colOff>1097280</xdr:colOff>
      <xdr:row>7</xdr:row>
      <xdr:rowOff>167640</xdr:rowOff>
    </xdr:from>
    <xdr:to>
      <xdr:col>18</xdr:col>
      <xdr:colOff>914400</xdr:colOff>
      <xdr:row>10</xdr:row>
      <xdr:rowOff>22860</xdr:rowOff>
    </xdr:to>
    <xdr:sp macro="" textlink="Dashboard_Calculations!F7">
      <xdr:nvSpPr>
        <xdr:cNvPr id="30" name="TextBox 29">
          <a:extLst>
            <a:ext uri="{FF2B5EF4-FFF2-40B4-BE49-F238E27FC236}">
              <a16:creationId xmlns:a16="http://schemas.microsoft.com/office/drawing/2014/main" id="{1C984117-C1B5-08E8-4C3B-FB23D8B1EDE1}"/>
            </a:ext>
          </a:extLst>
        </xdr:cNvPr>
        <xdr:cNvSpPr txBox="1"/>
      </xdr:nvSpPr>
      <xdr:spPr>
        <a:xfrm>
          <a:off x="12146280" y="1447800"/>
          <a:ext cx="1722120" cy="4038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B41FCA5B-F0FA-492B-B9D5-A8E5C371AE52}" type="TxLink">
            <a:rPr lang="en-US" sz="2400" b="1" i="0" u="none" strike="noStrike">
              <a:solidFill>
                <a:schemeClr val="accent2">
                  <a:lumMod val="75000"/>
                </a:schemeClr>
              </a:solidFill>
              <a:latin typeface="Calibri"/>
              <a:ea typeface="Calibri"/>
              <a:cs typeface="Calibri"/>
            </a:rPr>
            <a:pPr marL="0" indent="0" algn="ctr"/>
            <a:t>4.86%</a:t>
          </a:fld>
          <a:endParaRPr lang="en-IN" sz="2400" b="1" i="0" u="none" strike="noStrike">
            <a:solidFill>
              <a:schemeClr val="accent2">
                <a:lumMod val="75000"/>
              </a:schemeClr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17</xdr:col>
      <xdr:colOff>1097280</xdr:colOff>
      <xdr:row>10</xdr:row>
      <xdr:rowOff>60960</xdr:rowOff>
    </xdr:from>
    <xdr:to>
      <xdr:col>18</xdr:col>
      <xdr:colOff>914400</xdr:colOff>
      <xdr:row>11</xdr:row>
      <xdr:rowOff>175260</xdr:rowOff>
    </xdr:to>
    <xdr:sp macro="" textlink="Dashboard_Calculations!G5">
      <xdr:nvSpPr>
        <xdr:cNvPr id="31" name="TextBox 30">
          <a:extLst>
            <a:ext uri="{FF2B5EF4-FFF2-40B4-BE49-F238E27FC236}">
              <a16:creationId xmlns:a16="http://schemas.microsoft.com/office/drawing/2014/main" id="{DAF0A499-BC22-310D-FFF5-6C2BE60AA018}"/>
            </a:ext>
          </a:extLst>
        </xdr:cNvPr>
        <xdr:cNvSpPr txBox="1"/>
      </xdr:nvSpPr>
      <xdr:spPr>
        <a:xfrm>
          <a:off x="12146280" y="1889760"/>
          <a:ext cx="1722120" cy="2971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IN" sz="1200" b="1" i="0" u="none" strike="noStrike">
              <a:solidFill>
                <a:schemeClr val="accent2">
                  <a:lumMod val="75000"/>
                </a:schemeClr>
              </a:solidFill>
              <a:latin typeface="Calibri"/>
              <a:ea typeface="Calibri"/>
              <a:cs typeface="Calibri"/>
            </a:rPr>
            <a:t>May 2017 - May 2023</a:t>
          </a:r>
        </a:p>
      </xdr:txBody>
    </xdr:sp>
    <xdr:clientData/>
  </xdr:twoCellAnchor>
  <xdr:twoCellAnchor editAs="oneCell">
    <xdr:from>
      <xdr:col>13</xdr:col>
      <xdr:colOff>358140</xdr:colOff>
      <xdr:row>7</xdr:row>
      <xdr:rowOff>25500</xdr:rowOff>
    </xdr:from>
    <xdr:to>
      <xdr:col>14</xdr:col>
      <xdr:colOff>468540</xdr:colOff>
      <xdr:row>11</xdr:row>
      <xdr:rowOff>13980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B75B94C9-7E6E-4F3D-80C0-F7F21E743C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duotone>
            <a:schemeClr val="accent2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colorTemperature colorTemp="47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83880" y="1305660"/>
          <a:ext cx="720000" cy="7200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8</xdr:col>
      <xdr:colOff>381001</xdr:colOff>
      <xdr:row>7</xdr:row>
      <xdr:rowOff>25500</xdr:rowOff>
    </xdr:from>
    <xdr:to>
      <xdr:col>9</xdr:col>
      <xdr:colOff>491401</xdr:colOff>
      <xdr:row>11</xdr:row>
      <xdr:rowOff>13980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EF7C7735-5686-8374-8450-B3DD5926A3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duotone>
            <a:schemeClr val="accent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97781" y="1305660"/>
          <a:ext cx="720000" cy="7200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17</xdr:col>
      <xdr:colOff>220980</xdr:colOff>
      <xdr:row>7</xdr:row>
      <xdr:rowOff>25500</xdr:rowOff>
    </xdr:from>
    <xdr:to>
      <xdr:col>17</xdr:col>
      <xdr:colOff>940980</xdr:colOff>
      <xdr:row>11</xdr:row>
      <xdr:rowOff>13980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448F7493-2B15-3BBD-4BBF-D51BC85BF3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duotone>
            <a:schemeClr val="accent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69980" y="1305660"/>
          <a:ext cx="720000" cy="72000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1</xdr:col>
      <xdr:colOff>7620</xdr:colOff>
      <xdr:row>29</xdr:row>
      <xdr:rowOff>106680</xdr:rowOff>
    </xdr:from>
    <xdr:to>
      <xdr:col>11</xdr:col>
      <xdr:colOff>464160</xdr:colOff>
      <xdr:row>30</xdr:row>
      <xdr:rowOff>167640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85611C83-2E31-9B88-204C-06DFA73B2A37}"/>
            </a:ext>
          </a:extLst>
        </xdr:cNvPr>
        <xdr:cNvSpPr txBox="1"/>
      </xdr:nvSpPr>
      <xdr:spPr>
        <a:xfrm>
          <a:off x="205740" y="5379720"/>
          <a:ext cx="6804000" cy="243840"/>
        </a:xfrm>
        <a:prstGeom prst="rect">
          <a:avLst/>
        </a:prstGeom>
        <a:solidFill>
          <a:schemeClr val="accent2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200" b="1">
              <a:solidFill>
                <a:schemeClr val="bg1"/>
              </a:solidFill>
            </a:rPr>
            <a:t>4. KEY DRIVERS BEHIND THE HIGHEST INFLATION IN 2022</a:t>
          </a:r>
          <a:endParaRPr lang="en-IN" sz="1200" b="1" cap="all" baseline="0">
            <a:solidFill>
              <a:schemeClr val="bg1"/>
            </a:solidFill>
            <a:effectLst/>
          </a:endParaRPr>
        </a:p>
      </xdr:txBody>
    </xdr:sp>
    <xdr:clientData/>
  </xdr:twoCellAnchor>
  <xdr:twoCellAnchor editAs="oneCell">
    <xdr:from>
      <xdr:col>16</xdr:col>
      <xdr:colOff>160020</xdr:colOff>
      <xdr:row>25</xdr:row>
      <xdr:rowOff>64770</xdr:rowOff>
    </xdr:from>
    <xdr:to>
      <xdr:col>16</xdr:col>
      <xdr:colOff>700020</xdr:colOff>
      <xdr:row>28</xdr:row>
      <xdr:rowOff>56130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74D9505F-A20E-7ED5-78B6-188092D088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duotone>
            <a:schemeClr val="accent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3080" y="4606290"/>
          <a:ext cx="540000" cy="54000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16</xdr:col>
      <xdr:colOff>906780</xdr:colOff>
      <xdr:row>25</xdr:row>
      <xdr:rowOff>85470</xdr:rowOff>
    </xdr:from>
    <xdr:to>
      <xdr:col>18</xdr:col>
      <xdr:colOff>685800</xdr:colOff>
      <xdr:row>28</xdr:row>
      <xdr:rowOff>45720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5A26ED9-CA90-7871-7AA5-A8C46E3E2934}"/>
            </a:ext>
          </a:extLst>
        </xdr:cNvPr>
        <xdr:cNvSpPr txBox="1"/>
      </xdr:nvSpPr>
      <xdr:spPr>
        <a:xfrm>
          <a:off x="10149840" y="4626990"/>
          <a:ext cx="3489960" cy="5088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r>
            <a:rPr lang="en-IN" sz="1300" b="1" i="0" u="none" strike="noStrike">
              <a:solidFill>
                <a:schemeClr val="accent2">
                  <a:lumMod val="75000"/>
                </a:schemeClr>
              </a:solidFill>
              <a:latin typeface="Calibri"/>
              <a:ea typeface="Calibri"/>
              <a:cs typeface="Calibri"/>
            </a:rPr>
            <a:t>Peak Year: May 2022 recorded the highest YoY CPI Inflation at 7.04%</a:t>
          </a:r>
        </a:p>
      </xdr:txBody>
    </xdr:sp>
    <xdr:clientData/>
  </xdr:twoCellAnchor>
  <xdr:twoCellAnchor>
    <xdr:from>
      <xdr:col>2</xdr:col>
      <xdr:colOff>18809</xdr:colOff>
      <xdr:row>31</xdr:row>
      <xdr:rowOff>15772</xdr:rowOff>
    </xdr:from>
    <xdr:to>
      <xdr:col>11</xdr:col>
      <xdr:colOff>373349</xdr:colOff>
      <xdr:row>34</xdr:row>
      <xdr:rowOff>135451</xdr:rowOff>
    </xdr:to>
    <xdr:grpSp>
      <xdr:nvGrpSpPr>
        <xdr:cNvPr id="53" name="Group 52">
          <a:extLst>
            <a:ext uri="{FF2B5EF4-FFF2-40B4-BE49-F238E27FC236}">
              <a16:creationId xmlns:a16="http://schemas.microsoft.com/office/drawing/2014/main" id="{6B6AF899-1187-674A-8527-C2B546DEF9A1}"/>
            </a:ext>
          </a:extLst>
        </xdr:cNvPr>
        <xdr:cNvGrpSpPr/>
      </xdr:nvGrpSpPr>
      <xdr:grpSpPr>
        <a:xfrm>
          <a:off x="978929" y="5654572"/>
          <a:ext cx="5940000" cy="668319"/>
          <a:chOff x="1669569" y="5707124"/>
          <a:chExt cx="5130624" cy="672523"/>
        </a:xfrm>
      </xdr:grpSpPr>
      <xdr:sp macro="" textlink="">
        <xdr:nvSpPr>
          <xdr:cNvPr id="43" name="TextBox 42">
            <a:extLst>
              <a:ext uri="{FF2B5EF4-FFF2-40B4-BE49-F238E27FC236}">
                <a16:creationId xmlns:a16="http://schemas.microsoft.com/office/drawing/2014/main" id="{01C66176-5112-A346-E60C-15C1BC56B97E}"/>
              </a:ext>
            </a:extLst>
          </xdr:cNvPr>
          <xdr:cNvSpPr txBox="1"/>
        </xdr:nvSpPr>
        <xdr:spPr>
          <a:xfrm>
            <a:off x="1678240" y="5707124"/>
            <a:ext cx="5116698" cy="25749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IN" sz="1100" b="1" i="0">
                <a:solidFill>
                  <a:schemeClr val="accent2">
                    <a:lumMod val="75000"/>
                  </a:schemeClr>
                </a:solidFill>
                <a:effectLst/>
                <a:latin typeface="+mn-lt"/>
                <a:ea typeface="+mn-ea"/>
                <a:cs typeface="+mn-cs"/>
              </a:rPr>
              <a:t>Global Crude Oil </a:t>
            </a:r>
            <a:r>
              <a:rPr lang="en-IN" sz="1200" b="1" i="0">
                <a:solidFill>
                  <a:schemeClr val="accent2">
                    <a:lumMod val="75000"/>
                  </a:schemeClr>
                </a:solidFill>
                <a:effectLst/>
                <a:latin typeface="+mn-lt"/>
                <a:ea typeface="+mn-ea"/>
                <a:cs typeface="+mn-cs"/>
              </a:rPr>
              <a:t>Shock:</a:t>
            </a:r>
            <a:endParaRPr lang="en-IN" sz="1100">
              <a:solidFill>
                <a:schemeClr val="accent2">
                  <a:lumMod val="75000"/>
                </a:schemeClr>
              </a:solidFill>
            </a:endParaRPr>
          </a:p>
        </xdr:txBody>
      </xdr:sp>
      <xdr:sp macro="" textlink="">
        <xdr:nvSpPr>
          <xdr:cNvPr id="44" name="TextBox 43">
            <a:extLst>
              <a:ext uri="{FF2B5EF4-FFF2-40B4-BE49-F238E27FC236}">
                <a16:creationId xmlns:a16="http://schemas.microsoft.com/office/drawing/2014/main" id="{315D8A17-780E-2C86-59C2-0C7A31321BD6}"/>
              </a:ext>
            </a:extLst>
          </xdr:cNvPr>
          <xdr:cNvSpPr txBox="1"/>
        </xdr:nvSpPr>
        <xdr:spPr>
          <a:xfrm>
            <a:off x="1669569" y="5904447"/>
            <a:ext cx="5130624" cy="4752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N" sz="1100" b="0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Russia-Ukraine war (Feb 2022) pushed Indian crude basket to $116/barrel by June 2022, raising transport and production costs.</a:t>
            </a:r>
            <a:endParaRPr lang="en-IN" sz="1100"/>
          </a:p>
        </xdr:txBody>
      </xdr:sp>
    </xdr:grpSp>
    <xdr:clientData/>
  </xdr:twoCellAnchor>
  <xdr:twoCellAnchor>
    <xdr:from>
      <xdr:col>2</xdr:col>
      <xdr:colOff>18809</xdr:colOff>
      <xdr:row>35</xdr:row>
      <xdr:rowOff>72482</xdr:rowOff>
    </xdr:from>
    <xdr:to>
      <xdr:col>11</xdr:col>
      <xdr:colOff>373349</xdr:colOff>
      <xdr:row>39</xdr:row>
      <xdr:rowOff>20980</xdr:rowOff>
    </xdr:to>
    <xdr:grpSp>
      <xdr:nvGrpSpPr>
        <xdr:cNvPr id="54" name="Group 53">
          <a:extLst>
            <a:ext uri="{FF2B5EF4-FFF2-40B4-BE49-F238E27FC236}">
              <a16:creationId xmlns:a16="http://schemas.microsoft.com/office/drawing/2014/main" id="{518DBAC9-73B6-9D75-6110-0C7A66748571}"/>
            </a:ext>
          </a:extLst>
        </xdr:cNvPr>
        <xdr:cNvGrpSpPr/>
      </xdr:nvGrpSpPr>
      <xdr:grpSpPr>
        <a:xfrm>
          <a:off x="978929" y="6442802"/>
          <a:ext cx="5940000" cy="680018"/>
          <a:chOff x="1669569" y="6406058"/>
          <a:chExt cx="5130624" cy="683171"/>
        </a:xfrm>
      </xdr:grpSpPr>
      <xdr:sp macro="" textlink="">
        <xdr:nvSpPr>
          <xdr:cNvPr id="47" name="TextBox 46">
            <a:extLst>
              <a:ext uri="{FF2B5EF4-FFF2-40B4-BE49-F238E27FC236}">
                <a16:creationId xmlns:a16="http://schemas.microsoft.com/office/drawing/2014/main" id="{24563939-5991-C280-8AE7-9F6244BCECA6}"/>
              </a:ext>
            </a:extLst>
          </xdr:cNvPr>
          <xdr:cNvSpPr txBox="1"/>
        </xdr:nvSpPr>
        <xdr:spPr>
          <a:xfrm>
            <a:off x="1678240" y="6406058"/>
            <a:ext cx="5116698" cy="2592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/>
            <a:r>
              <a:rPr lang="en-IN" sz="1100" b="1" i="0">
                <a:solidFill>
                  <a:schemeClr val="accent2">
                    <a:lumMod val="75000"/>
                  </a:schemeClr>
                </a:solidFill>
                <a:effectLst/>
                <a:latin typeface="+mn-lt"/>
                <a:ea typeface="+mn-ea"/>
                <a:cs typeface="+mn-cs"/>
              </a:rPr>
              <a:t>Food Inflation Surge:</a:t>
            </a:r>
          </a:p>
        </xdr:txBody>
      </xdr:sp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229F65FF-3F86-BA8B-67C4-32C9E77F15EC}"/>
              </a:ext>
            </a:extLst>
          </xdr:cNvPr>
          <xdr:cNvSpPr txBox="1"/>
        </xdr:nvSpPr>
        <xdr:spPr>
          <a:xfrm>
            <a:off x="1669569" y="6613899"/>
            <a:ext cx="5130624" cy="47533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r>
              <a:rPr lang="en-IN" sz="1100" b="0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Food inflation rose to 6.7% in FY2022-23 from 4.6% in FY2021-22. Cereals (10.9%), Spices (16.1%) and Milk (7.4%) drove the surge.</a:t>
            </a:r>
          </a:p>
        </xdr:txBody>
      </xdr:sp>
    </xdr:grpSp>
    <xdr:clientData/>
  </xdr:twoCellAnchor>
  <xdr:twoCellAnchor>
    <xdr:from>
      <xdr:col>2</xdr:col>
      <xdr:colOff>18809</xdr:colOff>
      <xdr:row>39</xdr:row>
      <xdr:rowOff>140891</xdr:rowOff>
    </xdr:from>
    <xdr:to>
      <xdr:col>11</xdr:col>
      <xdr:colOff>373349</xdr:colOff>
      <xdr:row>43</xdr:row>
      <xdr:rowOff>98712</xdr:rowOff>
    </xdr:to>
    <xdr:grpSp>
      <xdr:nvGrpSpPr>
        <xdr:cNvPr id="55" name="Group 54">
          <a:extLst>
            <a:ext uri="{FF2B5EF4-FFF2-40B4-BE49-F238E27FC236}">
              <a16:creationId xmlns:a16="http://schemas.microsoft.com/office/drawing/2014/main" id="{A0DDD666-3619-624A-BD91-0BDC19A00B0A}"/>
            </a:ext>
          </a:extLst>
        </xdr:cNvPr>
        <xdr:cNvGrpSpPr/>
      </xdr:nvGrpSpPr>
      <xdr:grpSpPr>
        <a:xfrm>
          <a:off x="978929" y="7242731"/>
          <a:ext cx="5940000" cy="689341"/>
          <a:chOff x="1669569" y="7373008"/>
          <a:chExt cx="5130624" cy="693545"/>
        </a:xfrm>
      </xdr:grpSpPr>
      <xdr:sp macro="" textlink="">
        <xdr:nvSpPr>
          <xdr:cNvPr id="49" name="TextBox 48">
            <a:extLst>
              <a:ext uri="{FF2B5EF4-FFF2-40B4-BE49-F238E27FC236}">
                <a16:creationId xmlns:a16="http://schemas.microsoft.com/office/drawing/2014/main" id="{96B2A440-567A-3237-95AA-E0E79C4B6E3A}"/>
              </a:ext>
            </a:extLst>
          </xdr:cNvPr>
          <xdr:cNvSpPr txBox="1"/>
        </xdr:nvSpPr>
        <xdr:spPr>
          <a:xfrm>
            <a:off x="1678240" y="7373008"/>
            <a:ext cx="5116698" cy="2592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/>
            <a:r>
              <a:rPr lang="en-IN" sz="1100" b="1" i="0">
                <a:solidFill>
                  <a:schemeClr val="accent2">
                    <a:lumMod val="75000"/>
                  </a:schemeClr>
                </a:solidFill>
                <a:effectLst/>
                <a:latin typeface="+mn-lt"/>
                <a:ea typeface="+mn-ea"/>
                <a:cs typeface="+mn-cs"/>
              </a:rPr>
              <a:t>Edible Oils Spike &amp; Policy Relief:</a:t>
            </a:r>
          </a:p>
        </xdr:txBody>
      </xdr:sp>
      <xdr:sp macro="" textlink="">
        <xdr:nvSpPr>
          <xdr:cNvPr id="50" name="TextBox 49">
            <a:extLst>
              <a:ext uri="{FF2B5EF4-FFF2-40B4-BE49-F238E27FC236}">
                <a16:creationId xmlns:a16="http://schemas.microsoft.com/office/drawing/2014/main" id="{EA297CEB-17D5-6849-EFF0-4D6F759D8978}"/>
              </a:ext>
            </a:extLst>
          </xdr:cNvPr>
          <xdr:cNvSpPr txBox="1"/>
        </xdr:nvSpPr>
        <xdr:spPr>
          <a:xfrm>
            <a:off x="1669569" y="7591353"/>
            <a:ext cx="5130624" cy="4752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r>
              <a:rPr lang="en-IN" sz="1100" b="0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Edible oils inflation was 29.3% in FY2021-22 but eased to 3.2% in FY2022-23 after govt. import duty cuts and stock limits.</a:t>
            </a:r>
          </a:p>
        </xdr:txBody>
      </xdr:sp>
    </xdr:grpSp>
    <xdr:clientData/>
  </xdr:twoCellAnchor>
  <xdr:twoCellAnchor>
    <xdr:from>
      <xdr:col>2</xdr:col>
      <xdr:colOff>18809</xdr:colOff>
      <xdr:row>44</xdr:row>
      <xdr:rowOff>35743</xdr:rowOff>
    </xdr:from>
    <xdr:to>
      <xdr:col>11</xdr:col>
      <xdr:colOff>373349</xdr:colOff>
      <xdr:row>47</xdr:row>
      <xdr:rowOff>182755</xdr:rowOff>
    </xdr:to>
    <xdr:grpSp>
      <xdr:nvGrpSpPr>
        <xdr:cNvPr id="57" name="Group 56">
          <a:extLst>
            <a:ext uri="{FF2B5EF4-FFF2-40B4-BE49-F238E27FC236}">
              <a16:creationId xmlns:a16="http://schemas.microsoft.com/office/drawing/2014/main" id="{F6E1360B-455D-28C3-8E78-93465293A882}"/>
            </a:ext>
          </a:extLst>
        </xdr:cNvPr>
        <xdr:cNvGrpSpPr/>
      </xdr:nvGrpSpPr>
      <xdr:grpSpPr>
        <a:xfrm>
          <a:off x="978929" y="8051983"/>
          <a:ext cx="5940000" cy="695652"/>
          <a:chOff x="1669569" y="8339964"/>
          <a:chExt cx="5130624" cy="698805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1BAE1F6A-4B10-31C2-5890-3EF5DEC7D44B}"/>
              </a:ext>
            </a:extLst>
          </xdr:cNvPr>
          <xdr:cNvSpPr txBox="1"/>
        </xdr:nvSpPr>
        <xdr:spPr>
          <a:xfrm>
            <a:off x="1678240" y="8339964"/>
            <a:ext cx="5116698" cy="2592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/>
            <a:r>
              <a:rPr lang="en-IN" sz="1100" b="1" i="0">
                <a:solidFill>
                  <a:schemeClr val="accent2">
                    <a:lumMod val="75000"/>
                  </a:schemeClr>
                </a:solidFill>
                <a:effectLst/>
                <a:latin typeface="+mn-lt"/>
                <a:ea typeface="+mn-ea"/>
                <a:cs typeface="+mn-cs"/>
              </a:rPr>
              <a:t>Domestic Supply Disruptions:</a:t>
            </a:r>
          </a:p>
        </xdr:txBody>
      </xdr:sp>
      <xdr:sp macro="" textlink="">
        <xdr:nvSpPr>
          <xdr:cNvPr id="52" name="TextBox 51">
            <a:extLst>
              <a:ext uri="{FF2B5EF4-FFF2-40B4-BE49-F238E27FC236}">
                <a16:creationId xmlns:a16="http://schemas.microsoft.com/office/drawing/2014/main" id="{799305DE-81D7-B726-021B-57129C11A002}"/>
              </a:ext>
            </a:extLst>
          </xdr:cNvPr>
          <xdr:cNvSpPr txBox="1"/>
        </xdr:nvSpPr>
        <xdr:spPr>
          <a:xfrm>
            <a:off x="1669569" y="8563569"/>
            <a:ext cx="5130624" cy="4752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r>
              <a:rPr lang="en-IN" sz="1100" b="0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Severe heatwave (Mar-Apr 2022) hit wheat yields. FCI procurement dropped 50%+. Wheat export ban on 13 May 2022, rice export curbs followed in September.</a:t>
            </a:r>
          </a:p>
        </xdr:txBody>
      </xdr:sp>
    </xdr:grpSp>
    <xdr:clientData/>
  </xdr:twoCellAnchor>
  <xdr:twoCellAnchor editAs="oneCell">
    <xdr:from>
      <xdr:col>1</xdr:col>
      <xdr:colOff>179763</xdr:colOff>
      <xdr:row>40</xdr:row>
      <xdr:rowOff>36421</xdr:rowOff>
    </xdr:from>
    <xdr:to>
      <xdr:col>1</xdr:col>
      <xdr:colOff>647763</xdr:colOff>
      <xdr:row>42</xdr:row>
      <xdr:rowOff>140694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786CDEC5-784E-17B0-E034-F6F31BCED2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duotone>
            <a:schemeClr val="accent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7883" y="7321141"/>
          <a:ext cx="468000" cy="470033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</xdr:col>
      <xdr:colOff>179763</xdr:colOff>
      <xdr:row>31</xdr:row>
      <xdr:rowOff>70659</xdr:rowOff>
    </xdr:from>
    <xdr:to>
      <xdr:col>1</xdr:col>
      <xdr:colOff>647763</xdr:colOff>
      <xdr:row>33</xdr:row>
      <xdr:rowOff>173314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5605923E-799C-EC23-1509-DC2E434286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duotone>
            <a:schemeClr val="accent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7883" y="5709459"/>
          <a:ext cx="468000" cy="468415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</xdr:col>
      <xdr:colOff>179763</xdr:colOff>
      <xdr:row>35</xdr:row>
      <xdr:rowOff>146227</xdr:rowOff>
    </xdr:from>
    <xdr:to>
      <xdr:col>1</xdr:col>
      <xdr:colOff>647763</xdr:colOff>
      <xdr:row>38</xdr:row>
      <xdr:rowOff>63509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9E00C1A-B715-3DFF-FCF4-E65F1505D5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duotone>
            <a:schemeClr val="accent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7883" y="6516547"/>
          <a:ext cx="468000" cy="465922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</xdr:col>
      <xdr:colOff>179763</xdr:colOff>
      <xdr:row>44</xdr:row>
      <xdr:rowOff>113606</xdr:rowOff>
    </xdr:from>
    <xdr:to>
      <xdr:col>1</xdr:col>
      <xdr:colOff>647763</xdr:colOff>
      <xdr:row>47</xdr:row>
      <xdr:rowOff>30888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3EB65141-8D95-056F-85A6-906B76C9C0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duotone>
            <a:schemeClr val="accent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7883" y="8129846"/>
          <a:ext cx="468000" cy="465922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12</xdr:col>
      <xdr:colOff>4848</xdr:colOff>
      <xdr:row>29</xdr:row>
      <xdr:rowOff>106681</xdr:rowOff>
    </xdr:from>
    <xdr:to>
      <xdr:col>18</xdr:col>
      <xdr:colOff>1011413</xdr:colOff>
      <xdr:row>46</xdr:row>
      <xdr:rowOff>0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307B594A-8720-D5DE-1A65-BE7334691061}"/>
            </a:ext>
          </a:extLst>
        </xdr:cNvPr>
        <xdr:cNvSpPr/>
      </xdr:nvSpPr>
      <xdr:spPr>
        <a:xfrm>
          <a:off x="7160028" y="5379721"/>
          <a:ext cx="6805385" cy="3002279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endParaRPr lang="en-IN" sz="1400">
            <a:solidFill>
              <a:schemeClr val="accent2">
                <a:lumMod val="75000"/>
              </a:schemeClr>
            </a:solidFill>
            <a:effectLst/>
          </a:endParaRPr>
        </a:p>
      </xdr:txBody>
    </xdr:sp>
    <xdr:clientData/>
  </xdr:twoCellAnchor>
  <xdr:twoCellAnchor editAs="absolute">
    <xdr:from>
      <xdr:col>12</xdr:col>
      <xdr:colOff>4848</xdr:colOff>
      <xdr:row>29</xdr:row>
      <xdr:rowOff>106680</xdr:rowOff>
    </xdr:from>
    <xdr:to>
      <xdr:col>18</xdr:col>
      <xdr:colOff>1011413</xdr:colOff>
      <xdr:row>30</xdr:row>
      <xdr:rowOff>167640</xdr:rowOff>
    </xdr:to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EA6E1E94-B8BE-C380-79E2-71A5C10F234F}"/>
            </a:ext>
          </a:extLst>
        </xdr:cNvPr>
        <xdr:cNvSpPr txBox="1"/>
      </xdr:nvSpPr>
      <xdr:spPr>
        <a:xfrm>
          <a:off x="7160028" y="5379720"/>
          <a:ext cx="6805385" cy="243840"/>
        </a:xfrm>
        <a:prstGeom prst="rect">
          <a:avLst/>
        </a:prstGeom>
        <a:solidFill>
          <a:schemeClr val="accent2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200" b="1" cap="all" baseline="0">
              <a:solidFill>
                <a:schemeClr val="bg1"/>
              </a:solidFill>
              <a:latin typeface="+mn-lt"/>
              <a:ea typeface="+mn-ea"/>
              <a:cs typeface="+mn-cs"/>
            </a:rPr>
            <a:t>5. Why Inflation Cooled Down by May 2023?</a:t>
          </a:r>
        </a:p>
      </xdr:txBody>
    </xdr:sp>
    <xdr:clientData/>
  </xdr:twoCellAnchor>
  <xdr:twoCellAnchor>
    <xdr:from>
      <xdr:col>13</xdr:col>
      <xdr:colOff>117516</xdr:colOff>
      <xdr:row>31</xdr:row>
      <xdr:rowOff>69112</xdr:rowOff>
    </xdr:from>
    <xdr:to>
      <xdr:col>18</xdr:col>
      <xdr:colOff>913133</xdr:colOff>
      <xdr:row>32</xdr:row>
      <xdr:rowOff>142120</xdr:rowOff>
    </xdr:to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5D9F9C00-F3F7-60EE-8BCD-7B6BA44DEB46}"/>
            </a:ext>
          </a:extLst>
        </xdr:cNvPr>
        <xdr:cNvSpPr txBox="1"/>
      </xdr:nvSpPr>
      <xdr:spPr>
        <a:xfrm>
          <a:off x="7943256" y="5707912"/>
          <a:ext cx="5923877" cy="2558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N" sz="1100" b="1" i="0">
              <a:solidFill>
                <a:schemeClr val="accent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Lower Global Commodity Prices</a:t>
          </a:r>
        </a:p>
      </xdr:txBody>
    </xdr:sp>
    <xdr:clientData/>
  </xdr:twoCellAnchor>
  <xdr:twoCellAnchor>
    <xdr:from>
      <xdr:col>13</xdr:col>
      <xdr:colOff>107477</xdr:colOff>
      <xdr:row>32</xdr:row>
      <xdr:rowOff>82323</xdr:rowOff>
    </xdr:from>
    <xdr:to>
      <xdr:col>18</xdr:col>
      <xdr:colOff>919217</xdr:colOff>
      <xdr:row>34</xdr:row>
      <xdr:rowOff>7621</xdr:rowOff>
    </xdr:to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611ACC5A-F9A1-2E0A-D5C7-951937F0A1E9}"/>
            </a:ext>
          </a:extLst>
        </xdr:cNvPr>
        <xdr:cNvSpPr txBox="1"/>
      </xdr:nvSpPr>
      <xdr:spPr>
        <a:xfrm>
          <a:off x="7933217" y="5904003"/>
          <a:ext cx="5940000" cy="2910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Crude oil and other commodity prices eased from their 2022 peaks.</a:t>
          </a:r>
          <a:endParaRPr lang="en-IN" sz="1100"/>
        </a:p>
      </xdr:txBody>
    </xdr:sp>
    <xdr:clientData/>
  </xdr:twoCellAnchor>
  <xdr:twoCellAnchor>
    <xdr:from>
      <xdr:col>13</xdr:col>
      <xdr:colOff>117516</xdr:colOff>
      <xdr:row>34</xdr:row>
      <xdr:rowOff>163922</xdr:rowOff>
    </xdr:from>
    <xdr:to>
      <xdr:col>18</xdr:col>
      <xdr:colOff>913133</xdr:colOff>
      <xdr:row>36</xdr:row>
      <xdr:rowOff>56166</xdr:rowOff>
    </xdr:to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E0A92B44-6035-8FBB-1B33-856763FE0BA8}"/>
            </a:ext>
          </a:extLst>
        </xdr:cNvPr>
        <xdr:cNvSpPr txBox="1"/>
      </xdr:nvSpPr>
      <xdr:spPr>
        <a:xfrm>
          <a:off x="7943256" y="6351362"/>
          <a:ext cx="5923877" cy="2580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/>
          <a:r>
            <a:rPr lang="en-IN" sz="1100" b="1" i="0">
              <a:solidFill>
                <a:schemeClr val="accent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Favorable Base Effect</a:t>
          </a:r>
        </a:p>
      </xdr:txBody>
    </xdr:sp>
    <xdr:clientData/>
  </xdr:twoCellAnchor>
  <xdr:twoCellAnchor>
    <xdr:from>
      <xdr:col>13</xdr:col>
      <xdr:colOff>107477</xdr:colOff>
      <xdr:row>36</xdr:row>
      <xdr:rowOff>5044</xdr:rowOff>
    </xdr:from>
    <xdr:to>
      <xdr:col>18</xdr:col>
      <xdr:colOff>919217</xdr:colOff>
      <xdr:row>37</xdr:row>
      <xdr:rowOff>113764</xdr:rowOff>
    </xdr:to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98D874AD-DBE2-CC24-47D9-001DF91F9B76}"/>
            </a:ext>
          </a:extLst>
        </xdr:cNvPr>
        <xdr:cNvSpPr txBox="1"/>
      </xdr:nvSpPr>
      <xdr:spPr>
        <a:xfrm>
          <a:off x="7933217" y="6558244"/>
          <a:ext cx="5940000" cy="291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Comparison against unusually high inflation in May 2022.</a:t>
          </a:r>
        </a:p>
      </xdr:txBody>
    </xdr:sp>
    <xdr:clientData/>
  </xdr:twoCellAnchor>
  <xdr:twoCellAnchor>
    <xdr:from>
      <xdr:col>13</xdr:col>
      <xdr:colOff>117516</xdr:colOff>
      <xdr:row>38</xdr:row>
      <xdr:rowOff>72311</xdr:rowOff>
    </xdr:from>
    <xdr:to>
      <xdr:col>18</xdr:col>
      <xdr:colOff>913133</xdr:colOff>
      <xdr:row>39</xdr:row>
      <xdr:rowOff>147060</xdr:rowOff>
    </xdr:to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58075B5E-610A-7125-2690-9ED6BBFD4088}"/>
            </a:ext>
          </a:extLst>
        </xdr:cNvPr>
        <xdr:cNvSpPr txBox="1"/>
      </xdr:nvSpPr>
      <xdr:spPr>
        <a:xfrm>
          <a:off x="7943256" y="6991271"/>
          <a:ext cx="5923877" cy="2576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/>
          <a:r>
            <a:rPr lang="en-IN" sz="1100" b="1" i="0">
              <a:solidFill>
                <a:schemeClr val="accent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RBI Rate Hikes Working with Lag</a:t>
          </a:r>
        </a:p>
      </xdr:txBody>
    </xdr:sp>
    <xdr:clientData/>
  </xdr:twoCellAnchor>
  <xdr:twoCellAnchor>
    <xdr:from>
      <xdr:col>13</xdr:col>
      <xdr:colOff>107477</xdr:colOff>
      <xdr:row>39</xdr:row>
      <xdr:rowOff>106452</xdr:rowOff>
    </xdr:from>
    <xdr:to>
      <xdr:col>18</xdr:col>
      <xdr:colOff>919217</xdr:colOff>
      <xdr:row>41</xdr:row>
      <xdr:rowOff>32292</xdr:rowOff>
    </xdr:to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63DF8F97-F712-E552-0185-D5273AC8E63F}"/>
            </a:ext>
          </a:extLst>
        </xdr:cNvPr>
        <xdr:cNvSpPr txBox="1"/>
      </xdr:nvSpPr>
      <xdr:spPr>
        <a:xfrm>
          <a:off x="7933217" y="7208292"/>
          <a:ext cx="5940000" cy="291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Tight monetary policy helped contain demand-side pressures.</a:t>
          </a:r>
        </a:p>
      </xdr:txBody>
    </xdr:sp>
    <xdr:clientData/>
  </xdr:twoCellAnchor>
  <xdr:twoCellAnchor>
    <xdr:from>
      <xdr:col>13</xdr:col>
      <xdr:colOff>117516</xdr:colOff>
      <xdr:row>42</xdr:row>
      <xdr:rowOff>28123</xdr:rowOff>
    </xdr:from>
    <xdr:to>
      <xdr:col>18</xdr:col>
      <xdr:colOff>913133</xdr:colOff>
      <xdr:row>43</xdr:row>
      <xdr:rowOff>103273</xdr:rowOff>
    </xdr:to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30E43CAA-8BF1-6894-FE09-2C54360CDFE1}"/>
            </a:ext>
          </a:extLst>
        </xdr:cNvPr>
        <xdr:cNvSpPr txBox="1"/>
      </xdr:nvSpPr>
      <xdr:spPr>
        <a:xfrm>
          <a:off x="7943256" y="7678603"/>
          <a:ext cx="5923877" cy="2580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/>
          <a:r>
            <a:rPr lang="en-IN" sz="1100" b="1" i="0">
              <a:solidFill>
                <a:schemeClr val="accent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Government Interventions</a:t>
          </a:r>
        </a:p>
      </xdr:txBody>
    </xdr:sp>
    <xdr:clientData/>
  </xdr:twoCellAnchor>
  <xdr:twoCellAnchor>
    <xdr:from>
      <xdr:col>13</xdr:col>
      <xdr:colOff>107477</xdr:colOff>
      <xdr:row>43</xdr:row>
      <xdr:rowOff>67839</xdr:rowOff>
    </xdr:from>
    <xdr:to>
      <xdr:col>18</xdr:col>
      <xdr:colOff>919217</xdr:colOff>
      <xdr:row>45</xdr:row>
      <xdr:rowOff>175135</xdr:rowOff>
    </xdr:to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8C6B8D27-A866-F05E-6301-161760223BFB}"/>
            </a:ext>
          </a:extLst>
        </xdr:cNvPr>
        <xdr:cNvSpPr txBox="1"/>
      </xdr:nvSpPr>
      <xdr:spPr>
        <a:xfrm>
          <a:off x="7933217" y="7901199"/>
          <a:ext cx="5940000" cy="4730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Excise duty cuts on fuel, export bans, stock limits and increased procurement helped improve supply conditions.</a:t>
          </a:r>
        </a:p>
      </xdr:txBody>
    </xdr:sp>
    <xdr:clientData/>
  </xdr:twoCellAnchor>
  <xdr:twoCellAnchor editAs="oneCell">
    <xdr:from>
      <xdr:col>12</xdr:col>
      <xdr:colOff>190700</xdr:colOff>
      <xdr:row>31</xdr:row>
      <xdr:rowOff>68178</xdr:rowOff>
    </xdr:from>
    <xdr:to>
      <xdr:col>13</xdr:col>
      <xdr:colOff>24942</xdr:colOff>
      <xdr:row>34</xdr:row>
      <xdr:rowOff>24656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F3726A-4BAC-7A55-C8D5-C4663CA9FC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duotone>
            <a:schemeClr val="accent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45880" y="5706978"/>
          <a:ext cx="504802" cy="505118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190700</xdr:colOff>
      <xdr:row>35</xdr:row>
      <xdr:rowOff>13257</xdr:rowOff>
    </xdr:from>
    <xdr:to>
      <xdr:col>13</xdr:col>
      <xdr:colOff>24942</xdr:colOff>
      <xdr:row>37</xdr:row>
      <xdr:rowOff>151011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A5100679-3C8C-900B-D3E0-B37B012CC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duotone>
            <a:schemeClr val="accent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45880" y="6383577"/>
          <a:ext cx="504802" cy="503514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190700</xdr:colOff>
      <xdr:row>38</xdr:row>
      <xdr:rowOff>139611</xdr:rowOff>
    </xdr:from>
    <xdr:to>
      <xdr:col>13</xdr:col>
      <xdr:colOff>24942</xdr:colOff>
      <xdr:row>41</xdr:row>
      <xdr:rowOff>93614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6EF7825A-32E0-93CD-9951-664845E261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duotone>
            <a:schemeClr val="accent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45880" y="7058571"/>
          <a:ext cx="504802" cy="502643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190700</xdr:colOff>
      <xdr:row>42</xdr:row>
      <xdr:rowOff>82215</xdr:rowOff>
    </xdr:from>
    <xdr:to>
      <xdr:col>13</xdr:col>
      <xdr:colOff>24942</xdr:colOff>
      <xdr:row>45</xdr:row>
      <xdr:rowOff>37089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01C9C03B-8AC7-FD9D-C3E5-9BBB441439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duotone>
            <a:schemeClr val="accent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45880" y="7732695"/>
          <a:ext cx="504802" cy="503514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1</xdr:col>
      <xdr:colOff>7620</xdr:colOff>
      <xdr:row>49</xdr:row>
      <xdr:rowOff>45721</xdr:rowOff>
    </xdr:from>
    <xdr:to>
      <xdr:col>11</xdr:col>
      <xdr:colOff>464160</xdr:colOff>
      <xdr:row>54</xdr:row>
      <xdr:rowOff>7620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0D5CED9B-C030-E767-89BD-124E2D2986E3}"/>
            </a:ext>
          </a:extLst>
        </xdr:cNvPr>
        <xdr:cNvSpPr/>
      </xdr:nvSpPr>
      <xdr:spPr>
        <a:xfrm>
          <a:off x="205740" y="8976361"/>
          <a:ext cx="6804000" cy="876299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b" anchorCtr="0" forceAA="0" compatLnSpc="1">
          <a:prstTxWarp prst="textNoShape">
            <a:avLst/>
          </a:prstTxWarp>
          <a:noAutofit/>
        </a:bodyPr>
        <a:lstStyle/>
        <a:p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en-I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May 2022 saw the highest YoOY CPI inflation (7.04%) due to a combination of global and domestic supply shocks.</a:t>
          </a:r>
        </a:p>
        <a:p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en-I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Food and fuel were the major contributors, with food inflation averaging ~7.0% in FY2022-23.</a:t>
          </a:r>
        </a:p>
        <a:p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en-I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Inflation eased to 4.31% by May 2023 due to lower commodity prices, base effect, and policy measures.</a:t>
          </a:r>
          <a:endParaRPr lang="en-IN" sz="1400">
            <a:solidFill>
              <a:schemeClr val="tx1"/>
            </a:solidFill>
            <a:effectLst/>
          </a:endParaRPr>
        </a:p>
      </xdr:txBody>
    </xdr:sp>
    <xdr:clientData/>
  </xdr:twoCellAnchor>
  <xdr:twoCellAnchor editAs="absolute">
    <xdr:from>
      <xdr:col>1</xdr:col>
      <xdr:colOff>7620</xdr:colOff>
      <xdr:row>49</xdr:row>
      <xdr:rowOff>45720</xdr:rowOff>
    </xdr:from>
    <xdr:to>
      <xdr:col>11</xdr:col>
      <xdr:colOff>464160</xdr:colOff>
      <xdr:row>50</xdr:row>
      <xdr:rowOff>106680</xdr:rowOff>
    </xdr:to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4CD86DDB-CFC6-9047-DF6C-8442CD57E7BF}"/>
            </a:ext>
          </a:extLst>
        </xdr:cNvPr>
        <xdr:cNvSpPr txBox="1"/>
      </xdr:nvSpPr>
      <xdr:spPr>
        <a:xfrm>
          <a:off x="205740" y="8976360"/>
          <a:ext cx="6804000" cy="243840"/>
        </a:xfrm>
        <a:prstGeom prst="rect">
          <a:avLst/>
        </a:prstGeom>
        <a:solidFill>
          <a:schemeClr val="accent2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200" b="1" cap="all" baseline="0">
              <a:solidFill>
                <a:schemeClr val="bg1"/>
              </a:solidFill>
            </a:rPr>
            <a:t>6. </a:t>
          </a:r>
          <a:r>
            <a:rPr lang="en-IN" sz="1200" b="1" cap="all" baseline="0">
              <a:solidFill>
                <a:schemeClr val="bg1"/>
              </a:solidFill>
              <a:latin typeface="+mn-lt"/>
              <a:ea typeface="+mn-ea"/>
              <a:cs typeface="+mn-cs"/>
            </a:rPr>
            <a:t>Key Takeways</a:t>
          </a:r>
        </a:p>
      </xdr:txBody>
    </xdr:sp>
    <xdr:clientData/>
  </xdr:twoCellAnchor>
  <xdr:twoCellAnchor editAs="absolute">
    <xdr:from>
      <xdr:col>12</xdr:col>
      <xdr:colOff>22860</xdr:colOff>
      <xdr:row>47</xdr:row>
      <xdr:rowOff>15241</xdr:rowOff>
    </xdr:from>
    <xdr:to>
      <xdr:col>19</xdr:col>
      <xdr:colOff>14580</xdr:colOff>
      <xdr:row>54</xdr:row>
      <xdr:rowOff>22860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97B254A6-3281-90FD-33AD-08414794771F}"/>
            </a:ext>
          </a:extLst>
        </xdr:cNvPr>
        <xdr:cNvSpPr/>
      </xdr:nvSpPr>
      <xdr:spPr>
        <a:xfrm>
          <a:off x="7178040" y="8580121"/>
          <a:ext cx="6804000" cy="1287779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b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en-I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CPI Index base year = 2012 = 100</a:t>
          </a:r>
        </a:p>
        <a:p>
          <a:pPr marL="0" indent="0" algn="l"/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en-IN">
              <a:solidFill>
                <a:schemeClr val="tx1"/>
              </a:solidFill>
            </a:rPr>
            <a:t>YoY Inflation (%) = [(CPI Index (This Month) − CPI Index (Same Month Last Year)) ÷ CPI Index (Same Month Last Year)] × 100</a:t>
          </a:r>
          <a:endParaRPr lang="en-IN" sz="11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indent="0" algn="l"/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en-I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Data Source: Government of India - CPI Dataset (Up to May 2023)</a:t>
          </a:r>
        </a:p>
        <a:p>
          <a:pPr marL="0" indent="0" algn="l"/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en-I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Scope: Rural + Urban (Combined)</a:t>
          </a:r>
        </a:p>
      </xdr:txBody>
    </xdr:sp>
    <xdr:clientData/>
  </xdr:twoCellAnchor>
  <xdr:twoCellAnchor editAs="absolute">
    <xdr:from>
      <xdr:col>12</xdr:col>
      <xdr:colOff>22860</xdr:colOff>
      <xdr:row>47</xdr:row>
      <xdr:rowOff>15240</xdr:rowOff>
    </xdr:from>
    <xdr:to>
      <xdr:col>19</xdr:col>
      <xdr:colOff>14580</xdr:colOff>
      <xdr:row>48</xdr:row>
      <xdr:rowOff>76200</xdr:rowOff>
    </xdr:to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8A7A3D58-39D7-AA7D-E82E-2060C71353F4}"/>
            </a:ext>
          </a:extLst>
        </xdr:cNvPr>
        <xdr:cNvSpPr txBox="1"/>
      </xdr:nvSpPr>
      <xdr:spPr>
        <a:xfrm>
          <a:off x="7178040" y="8580120"/>
          <a:ext cx="6804000" cy="243840"/>
        </a:xfrm>
        <a:prstGeom prst="rect">
          <a:avLst/>
        </a:prstGeom>
        <a:solidFill>
          <a:schemeClr val="accent2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200" b="1" cap="all" baseline="0">
              <a:solidFill>
                <a:schemeClr val="bg1"/>
              </a:solidFill>
            </a:rPr>
            <a:t>7. Notes</a:t>
          </a:r>
          <a:endParaRPr lang="en-IN" sz="1200" b="1" cap="all" baseline="0">
            <a:solidFill>
              <a:schemeClr val="bg1"/>
            </a:solidFill>
            <a:effectLst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201255</xdr:colOff>
      <xdr:row>31</xdr:row>
      <xdr:rowOff>965</xdr:rowOff>
    </xdr:from>
    <xdr:to>
      <xdr:col>9</xdr:col>
      <xdr:colOff>62295</xdr:colOff>
      <xdr:row>45</xdr:row>
      <xdr:rowOff>5861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6E99BC-81D5-D745-40F4-644D9A71B0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198120</xdr:colOff>
      <xdr:row>47</xdr:row>
      <xdr:rowOff>95094</xdr:rowOff>
    </xdr:from>
    <xdr:to>
      <xdr:col>12</xdr:col>
      <xdr:colOff>723840</xdr:colOff>
      <xdr:row>68</xdr:row>
      <xdr:rowOff>26686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2E1917B-E3BF-E99E-4B0A-5E79ADA90A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0</xdr:col>
      <xdr:colOff>83820</xdr:colOff>
      <xdr:row>2</xdr:row>
      <xdr:rowOff>18826</xdr:rowOff>
    </xdr:from>
    <xdr:to>
      <xdr:col>4</xdr:col>
      <xdr:colOff>136712</xdr:colOff>
      <xdr:row>4</xdr:row>
      <xdr:rowOff>51789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40514082-6B67-4D7F-9C8B-460196B1215D}"/>
            </a:ext>
          </a:extLst>
        </xdr:cNvPr>
        <xdr:cNvSpPr/>
      </xdr:nvSpPr>
      <xdr:spPr>
        <a:xfrm>
          <a:off x="83820" y="384586"/>
          <a:ext cx="3817172" cy="39872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IN" sz="1200" b="1" i="1">
              <a:solidFill>
                <a:schemeClr val="accent2"/>
              </a:solidFill>
            </a:rPr>
            <a:t>Analysis Period:</a:t>
          </a:r>
          <a:r>
            <a:rPr lang="en-IN" sz="1200" b="1" i="1" baseline="0">
              <a:solidFill>
                <a:schemeClr val="accent2"/>
              </a:solidFill>
            </a:rPr>
            <a:t> Jun 2022 to May 2023</a:t>
          </a:r>
          <a:endParaRPr lang="en-IN" sz="1200" b="1" i="1">
            <a:solidFill>
              <a:schemeClr val="accent2"/>
            </a:solidFill>
          </a:endParaRPr>
        </a:p>
      </xdr:txBody>
    </xdr:sp>
    <xdr:clientData/>
  </xdr:twoCellAnchor>
  <xdr:twoCellAnchor editAs="absolute">
    <xdr:from>
      <xdr:col>0</xdr:col>
      <xdr:colOff>83820</xdr:colOff>
      <xdr:row>0</xdr:row>
      <xdr:rowOff>129540</xdr:rowOff>
    </xdr:from>
    <xdr:to>
      <xdr:col>4</xdr:col>
      <xdr:colOff>548192</xdr:colOff>
      <xdr:row>2</xdr:row>
      <xdr:rowOff>162503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F63DEF3D-5006-4594-A3D4-8845FEE65285}"/>
            </a:ext>
          </a:extLst>
        </xdr:cNvPr>
        <xdr:cNvSpPr/>
      </xdr:nvSpPr>
      <xdr:spPr>
        <a:xfrm>
          <a:off x="83820" y="129540"/>
          <a:ext cx="4228652" cy="39872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IN" sz="2400" b="1">
              <a:solidFill>
                <a:schemeClr val="accent2"/>
              </a:solidFill>
            </a:rPr>
            <a:t>Q3 -</a:t>
          </a:r>
          <a:r>
            <a:rPr lang="en-IN" sz="2400" b="1" baseline="0">
              <a:solidFill>
                <a:schemeClr val="accent2"/>
              </a:solidFill>
            </a:rPr>
            <a:t> Food Inflation Analysis</a:t>
          </a:r>
          <a:endParaRPr lang="en-IN" sz="2400" b="1">
            <a:solidFill>
              <a:schemeClr val="accent2"/>
            </a:solidFill>
          </a:endParaRPr>
        </a:p>
      </xdr:txBody>
    </xdr:sp>
    <xdr:clientData/>
  </xdr:twoCellAnchor>
  <xdr:twoCellAnchor editAs="absolute">
    <xdr:from>
      <xdr:col>13</xdr:col>
      <xdr:colOff>107231</xdr:colOff>
      <xdr:row>1</xdr:row>
      <xdr:rowOff>68580</xdr:rowOff>
    </xdr:from>
    <xdr:to>
      <xdr:col>16</xdr:col>
      <xdr:colOff>1033251</xdr:colOff>
      <xdr:row>4</xdr:row>
      <xdr:rowOff>136264</xdr:rowOff>
    </xdr:to>
    <xdr:sp macro="" textlink="">
      <xdr:nvSpPr>
        <xdr:cNvPr id="9" name="Rectangle: Rounded Corners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1F6B6C8-9DDC-42AC-9641-5398CB8C433F}"/>
            </a:ext>
          </a:extLst>
        </xdr:cNvPr>
        <xdr:cNvSpPr/>
      </xdr:nvSpPr>
      <xdr:spPr>
        <a:xfrm>
          <a:off x="10376647" y="251460"/>
          <a:ext cx="3576021" cy="616324"/>
        </a:xfrm>
        <a:prstGeom prst="roundRect">
          <a:avLst/>
        </a:prstGeom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400" b="1">
              <a:solidFill>
                <a:schemeClr val="accent2"/>
              </a:solidFill>
            </a:rPr>
            <a:t>← Back to Dashboard</a:t>
          </a:r>
        </a:p>
      </xdr:txBody>
    </xdr:sp>
    <xdr:clientData/>
  </xdr:twoCellAnchor>
  <xdr:twoCellAnchor editAs="absolute">
    <xdr:from>
      <xdr:col>0</xdr:col>
      <xdr:colOff>190500</xdr:colOff>
      <xdr:row>6</xdr:row>
      <xdr:rowOff>30480</xdr:rowOff>
    </xdr:from>
    <xdr:to>
      <xdr:col>4</xdr:col>
      <xdr:colOff>890220</xdr:colOff>
      <xdr:row>18</xdr:row>
      <xdr:rowOff>99060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F2BE4E04-32EF-4E4F-BDDF-4D0FF39998FC}"/>
            </a:ext>
          </a:extLst>
        </xdr:cNvPr>
        <xdr:cNvSpPr/>
      </xdr:nvSpPr>
      <xdr:spPr>
        <a:xfrm>
          <a:off x="190500" y="1127760"/>
          <a:ext cx="4464000" cy="226314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endParaRPr lang="en-IN" sz="1400">
            <a:solidFill>
              <a:schemeClr val="accent2">
                <a:lumMod val="75000"/>
              </a:schemeClr>
            </a:solidFill>
            <a:effectLst/>
          </a:endParaRPr>
        </a:p>
      </xdr:txBody>
    </xdr:sp>
    <xdr:clientData/>
  </xdr:twoCellAnchor>
  <xdr:twoCellAnchor editAs="absolute">
    <xdr:from>
      <xdr:col>1</xdr:col>
      <xdr:colOff>1165860</xdr:colOff>
      <xdr:row>7</xdr:row>
      <xdr:rowOff>22860</xdr:rowOff>
    </xdr:from>
    <xdr:to>
      <xdr:col>4</xdr:col>
      <xdr:colOff>670560</xdr:colOff>
      <xdr:row>8</xdr:row>
      <xdr:rowOff>160020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F8465DCD-1981-CA9B-7495-24EE67BC9FC7}"/>
            </a:ext>
          </a:extLst>
        </xdr:cNvPr>
        <xdr:cNvSpPr txBox="1"/>
      </xdr:nvSpPr>
      <xdr:spPr>
        <a:xfrm>
          <a:off x="1371600" y="1303020"/>
          <a:ext cx="3063240" cy="320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N" sz="1600" b="1">
              <a:solidFill>
                <a:schemeClr val="accent2">
                  <a:lumMod val="75000"/>
                </a:schemeClr>
              </a:solidFill>
            </a:rPr>
            <a:t>Highest Food Inflation (MoM)</a:t>
          </a:r>
        </a:p>
      </xdr:txBody>
    </xdr:sp>
    <xdr:clientData/>
  </xdr:twoCellAnchor>
  <xdr:twoCellAnchor editAs="absolute">
    <xdr:from>
      <xdr:col>1</xdr:col>
      <xdr:colOff>106680</xdr:colOff>
      <xdr:row>10</xdr:row>
      <xdr:rowOff>30480</xdr:rowOff>
    </xdr:from>
    <xdr:to>
      <xdr:col>1</xdr:col>
      <xdr:colOff>1402680</xdr:colOff>
      <xdr:row>17</xdr:row>
      <xdr:rowOff>118320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1FCB5A17-8304-BFA6-DD20-FC4AD5AE71E5}"/>
            </a:ext>
          </a:extLst>
        </xdr:cNvPr>
        <xdr:cNvSpPr/>
      </xdr:nvSpPr>
      <xdr:spPr>
        <a:xfrm>
          <a:off x="312420" y="1859280"/>
          <a:ext cx="1296000" cy="1368000"/>
        </a:xfrm>
        <a:prstGeom prst="roundRect">
          <a:avLst/>
        </a:prstGeom>
        <a:solidFill>
          <a:srgbClr val="FFE1E1"/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absolute">
    <xdr:from>
      <xdr:col>1</xdr:col>
      <xdr:colOff>1565910</xdr:colOff>
      <xdr:row>10</xdr:row>
      <xdr:rowOff>30480</xdr:rowOff>
    </xdr:from>
    <xdr:to>
      <xdr:col>3</xdr:col>
      <xdr:colOff>57750</xdr:colOff>
      <xdr:row>17</xdr:row>
      <xdr:rowOff>118320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0BBB77CF-4F4B-EA10-2777-6290C919A6D9}"/>
            </a:ext>
          </a:extLst>
        </xdr:cNvPr>
        <xdr:cNvSpPr/>
      </xdr:nvSpPr>
      <xdr:spPr>
        <a:xfrm>
          <a:off x="1771650" y="1859280"/>
          <a:ext cx="1296000" cy="1368000"/>
        </a:xfrm>
        <a:prstGeom prst="roundRect">
          <a:avLst/>
        </a:prstGeom>
        <a:solidFill>
          <a:srgbClr val="FFE1E1"/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3</xdr:col>
      <xdr:colOff>228600</xdr:colOff>
      <xdr:row>10</xdr:row>
      <xdr:rowOff>30480</xdr:rowOff>
    </xdr:from>
    <xdr:to>
      <xdr:col>4</xdr:col>
      <xdr:colOff>770220</xdr:colOff>
      <xdr:row>17</xdr:row>
      <xdr:rowOff>118320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902BCC69-D2A4-32DD-3186-4509E0B3132B}"/>
            </a:ext>
          </a:extLst>
        </xdr:cNvPr>
        <xdr:cNvSpPr/>
      </xdr:nvSpPr>
      <xdr:spPr>
        <a:xfrm>
          <a:off x="3238500" y="1859280"/>
          <a:ext cx="1296000" cy="1368000"/>
        </a:xfrm>
        <a:prstGeom prst="roundRect">
          <a:avLst/>
        </a:prstGeom>
        <a:solidFill>
          <a:srgbClr val="FFE1E1"/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1</xdr:col>
      <xdr:colOff>228900</xdr:colOff>
      <xdr:row>10</xdr:row>
      <xdr:rowOff>129540</xdr:rowOff>
    </xdr:from>
    <xdr:to>
      <xdr:col>1</xdr:col>
      <xdr:colOff>1280460</xdr:colOff>
      <xdr:row>12</xdr:row>
      <xdr:rowOff>83820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CC774485-8CE4-132F-2B92-0928123EB825}"/>
            </a:ext>
          </a:extLst>
        </xdr:cNvPr>
        <xdr:cNvSpPr txBox="1"/>
      </xdr:nvSpPr>
      <xdr:spPr>
        <a:xfrm>
          <a:off x="434640" y="1958340"/>
          <a:ext cx="1051560" cy="320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300" b="1">
              <a:solidFill>
                <a:srgbClr val="FF0000"/>
              </a:solidFill>
            </a:rPr>
            <a:t>Rural</a:t>
          </a:r>
        </a:p>
      </xdr:txBody>
    </xdr:sp>
    <xdr:clientData/>
  </xdr:twoCellAnchor>
  <xdr:twoCellAnchor editAs="absolute">
    <xdr:from>
      <xdr:col>1</xdr:col>
      <xdr:colOff>1676700</xdr:colOff>
      <xdr:row>10</xdr:row>
      <xdr:rowOff>129540</xdr:rowOff>
    </xdr:from>
    <xdr:to>
      <xdr:col>2</xdr:col>
      <xdr:colOff>640380</xdr:colOff>
      <xdr:row>12</xdr:row>
      <xdr:rowOff>83820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2356208B-F740-AA9D-830E-E72B64F7A92C}"/>
            </a:ext>
          </a:extLst>
        </xdr:cNvPr>
        <xdr:cNvSpPr txBox="1"/>
      </xdr:nvSpPr>
      <xdr:spPr>
        <a:xfrm>
          <a:off x="1882440" y="1958340"/>
          <a:ext cx="1051560" cy="320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IN" sz="1300" b="1">
              <a:solidFill>
                <a:srgbClr val="FF0000"/>
              </a:solidFill>
              <a:latin typeface="+mn-lt"/>
              <a:ea typeface="+mn-ea"/>
              <a:cs typeface="+mn-cs"/>
            </a:rPr>
            <a:t>Urban</a:t>
          </a:r>
        </a:p>
      </xdr:txBody>
    </xdr:sp>
    <xdr:clientData/>
  </xdr:twoCellAnchor>
  <xdr:twoCellAnchor editAs="absolute">
    <xdr:from>
      <xdr:col>3</xdr:col>
      <xdr:colOff>327960</xdr:colOff>
      <xdr:row>10</xdr:row>
      <xdr:rowOff>129540</xdr:rowOff>
    </xdr:from>
    <xdr:to>
      <xdr:col>4</xdr:col>
      <xdr:colOff>653580</xdr:colOff>
      <xdr:row>12</xdr:row>
      <xdr:rowOff>83820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BBA75307-4EC9-4D19-5C9F-49B85FC30AF0}"/>
            </a:ext>
          </a:extLst>
        </xdr:cNvPr>
        <xdr:cNvSpPr txBox="1"/>
      </xdr:nvSpPr>
      <xdr:spPr>
        <a:xfrm>
          <a:off x="3337860" y="1958340"/>
          <a:ext cx="1080000" cy="320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IN" sz="1300" b="1">
              <a:solidFill>
                <a:srgbClr val="FF0000"/>
              </a:solidFill>
              <a:latin typeface="+mn-lt"/>
              <a:ea typeface="+mn-ea"/>
              <a:cs typeface="+mn-cs"/>
            </a:rPr>
            <a:t>Rural+Urban</a:t>
          </a:r>
        </a:p>
      </xdr:txBody>
    </xdr:sp>
    <xdr:clientData/>
  </xdr:twoCellAnchor>
  <xdr:twoCellAnchor editAs="absolute">
    <xdr:from>
      <xdr:col>1</xdr:col>
      <xdr:colOff>198420</xdr:colOff>
      <xdr:row>15</xdr:row>
      <xdr:rowOff>91440</xdr:rowOff>
    </xdr:from>
    <xdr:to>
      <xdr:col>1</xdr:col>
      <xdr:colOff>1249980</xdr:colOff>
      <xdr:row>17</xdr:row>
      <xdr:rowOff>45720</xdr:rowOff>
    </xdr:to>
    <xdr:sp macro="" textlink="Dashboard_Calculations!G16">
      <xdr:nvSpPr>
        <xdr:cNvPr id="26" name="TextBox 25">
          <a:extLst>
            <a:ext uri="{FF2B5EF4-FFF2-40B4-BE49-F238E27FC236}">
              <a16:creationId xmlns:a16="http://schemas.microsoft.com/office/drawing/2014/main" id="{9ED5AE48-8471-01FD-D232-F4CD10C8A951}"/>
            </a:ext>
          </a:extLst>
        </xdr:cNvPr>
        <xdr:cNvSpPr txBox="1"/>
      </xdr:nvSpPr>
      <xdr:spPr>
        <a:xfrm>
          <a:off x="404160" y="2834640"/>
          <a:ext cx="1051560" cy="320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18FB4DA2-6809-4312-8DB3-5496C888377F}" type="TxLink">
            <a:rPr lang="en-US" sz="1200" b="1" i="0" u="none" strike="noStrike">
              <a:solidFill>
                <a:srgbClr val="FF0000"/>
              </a:solidFill>
              <a:latin typeface="Calibri"/>
              <a:ea typeface="Calibri"/>
              <a:cs typeface="Calibri"/>
            </a:rPr>
            <a:pPr algn="ctr"/>
            <a:t>Jun-2022</a:t>
          </a:fld>
          <a:endParaRPr lang="en-IN" sz="1400" b="1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1646220</xdr:colOff>
      <xdr:row>15</xdr:row>
      <xdr:rowOff>91440</xdr:rowOff>
    </xdr:from>
    <xdr:to>
      <xdr:col>2</xdr:col>
      <xdr:colOff>609900</xdr:colOff>
      <xdr:row>17</xdr:row>
      <xdr:rowOff>45720</xdr:rowOff>
    </xdr:to>
    <xdr:sp macro="" textlink="Dashboard_Calculations!G17">
      <xdr:nvSpPr>
        <xdr:cNvPr id="27" name="TextBox 26">
          <a:extLst>
            <a:ext uri="{FF2B5EF4-FFF2-40B4-BE49-F238E27FC236}">
              <a16:creationId xmlns:a16="http://schemas.microsoft.com/office/drawing/2014/main" id="{83A96AD9-860A-A03E-D587-19E762278CEF}"/>
            </a:ext>
          </a:extLst>
        </xdr:cNvPr>
        <xdr:cNvSpPr txBox="1"/>
      </xdr:nvSpPr>
      <xdr:spPr>
        <a:xfrm>
          <a:off x="1851960" y="2834640"/>
          <a:ext cx="1051560" cy="320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3E39C935-1D07-4612-ABC1-BFD72451517D}" type="TxLink">
            <a:rPr lang="en-US" sz="1200" b="1" i="0" u="none" strike="noStrike">
              <a:solidFill>
                <a:srgbClr val="FF0000"/>
              </a:solidFill>
              <a:latin typeface="Calibri"/>
              <a:ea typeface="Calibri"/>
              <a:cs typeface="Calibri"/>
            </a:rPr>
            <a:pPr marL="0" indent="0" algn="ctr"/>
            <a:t>Jun-2022</a:t>
          </a:fld>
          <a:endParaRPr lang="en-IN" sz="1200" b="1" i="0" u="none" strike="noStrike">
            <a:solidFill>
              <a:srgbClr val="FF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 editAs="absolute">
    <xdr:from>
      <xdr:col>3</xdr:col>
      <xdr:colOff>297480</xdr:colOff>
      <xdr:row>15</xdr:row>
      <xdr:rowOff>91440</xdr:rowOff>
    </xdr:from>
    <xdr:to>
      <xdr:col>4</xdr:col>
      <xdr:colOff>594660</xdr:colOff>
      <xdr:row>17</xdr:row>
      <xdr:rowOff>45720</xdr:rowOff>
    </xdr:to>
    <xdr:sp macro="" textlink="Dashboard_Calculations!G18">
      <xdr:nvSpPr>
        <xdr:cNvPr id="28" name="TextBox 27">
          <a:extLst>
            <a:ext uri="{FF2B5EF4-FFF2-40B4-BE49-F238E27FC236}">
              <a16:creationId xmlns:a16="http://schemas.microsoft.com/office/drawing/2014/main" id="{A6129386-58E2-5E55-4C69-14351929FC52}"/>
            </a:ext>
          </a:extLst>
        </xdr:cNvPr>
        <xdr:cNvSpPr txBox="1"/>
      </xdr:nvSpPr>
      <xdr:spPr>
        <a:xfrm>
          <a:off x="3307380" y="2834640"/>
          <a:ext cx="1051560" cy="320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E5E875F4-BCF7-4B82-870F-D855D802D4E1}" type="TxLink">
            <a:rPr lang="en-US" sz="1200" b="1" i="0" u="none" strike="noStrike">
              <a:solidFill>
                <a:srgbClr val="FF0000"/>
              </a:solidFill>
              <a:latin typeface="Calibri"/>
              <a:ea typeface="Calibri"/>
              <a:cs typeface="Calibri"/>
            </a:rPr>
            <a:pPr marL="0" indent="0" algn="ctr"/>
            <a:t>Jun-2022</a:t>
          </a:fld>
          <a:endParaRPr lang="en-IN" sz="1200" b="1" i="0" u="none" strike="noStrike">
            <a:solidFill>
              <a:srgbClr val="FF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 editAs="absolute">
    <xdr:from>
      <xdr:col>1</xdr:col>
      <xdr:colOff>228600</xdr:colOff>
      <xdr:row>12</xdr:row>
      <xdr:rowOff>106680</xdr:rowOff>
    </xdr:from>
    <xdr:to>
      <xdr:col>1</xdr:col>
      <xdr:colOff>1264920</xdr:colOff>
      <xdr:row>15</xdr:row>
      <xdr:rowOff>68580</xdr:rowOff>
    </xdr:to>
    <xdr:sp macro="" textlink="Dashboard_Calculations!F16">
      <xdr:nvSpPr>
        <xdr:cNvPr id="29" name="TextBox 28">
          <a:extLst>
            <a:ext uri="{FF2B5EF4-FFF2-40B4-BE49-F238E27FC236}">
              <a16:creationId xmlns:a16="http://schemas.microsoft.com/office/drawing/2014/main" id="{BC53A3ED-C6C1-D26F-E1B9-BED3B2548D2B}"/>
            </a:ext>
          </a:extLst>
        </xdr:cNvPr>
        <xdr:cNvSpPr txBox="1"/>
      </xdr:nvSpPr>
      <xdr:spPr>
        <a:xfrm>
          <a:off x="434340" y="2301240"/>
          <a:ext cx="1036320" cy="5105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81898EC7-7304-4D3A-8372-62CCECCAF749}" type="TxLink">
            <a:rPr lang="en-US" sz="2000" b="1" i="0" u="none" strike="noStrike">
              <a:solidFill>
                <a:srgbClr val="FF0000"/>
              </a:solidFill>
              <a:latin typeface="Calibri"/>
              <a:ea typeface="Calibri"/>
              <a:cs typeface="Calibri"/>
            </a:rPr>
            <a:pPr algn="ctr"/>
            <a:t>0.97%</a:t>
          </a:fld>
          <a:endParaRPr lang="en-IN" sz="2000" b="1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1699260</xdr:colOff>
      <xdr:row>12</xdr:row>
      <xdr:rowOff>106680</xdr:rowOff>
    </xdr:from>
    <xdr:to>
      <xdr:col>2</xdr:col>
      <xdr:colOff>647700</xdr:colOff>
      <xdr:row>15</xdr:row>
      <xdr:rowOff>68580</xdr:rowOff>
    </xdr:to>
    <xdr:sp macro="" textlink="Dashboard_Calculations!F17">
      <xdr:nvSpPr>
        <xdr:cNvPr id="30" name="TextBox 29">
          <a:extLst>
            <a:ext uri="{FF2B5EF4-FFF2-40B4-BE49-F238E27FC236}">
              <a16:creationId xmlns:a16="http://schemas.microsoft.com/office/drawing/2014/main" id="{883DDA3F-100A-8356-693E-3C84ACE2DD84}"/>
            </a:ext>
          </a:extLst>
        </xdr:cNvPr>
        <xdr:cNvSpPr txBox="1"/>
      </xdr:nvSpPr>
      <xdr:spPr>
        <a:xfrm>
          <a:off x="1905000" y="2301240"/>
          <a:ext cx="1036320" cy="5105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5EA741AA-3E95-48A3-8875-CA2B37768A81}" type="TxLink">
            <a:rPr lang="en-US" sz="2000" b="1" i="0" u="none" strike="noStrike">
              <a:solidFill>
                <a:srgbClr val="FF0000"/>
              </a:solidFill>
              <a:latin typeface="Calibri"/>
              <a:ea typeface="Calibri"/>
              <a:cs typeface="Calibri"/>
            </a:rPr>
            <a:pPr marL="0" indent="0" algn="ctr"/>
            <a:t>1.13%</a:t>
          </a:fld>
          <a:endParaRPr lang="en-IN" sz="2000" b="1" i="0" u="none" strike="noStrike">
            <a:solidFill>
              <a:srgbClr val="FF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 editAs="absolute">
    <xdr:from>
      <xdr:col>3</xdr:col>
      <xdr:colOff>373380</xdr:colOff>
      <xdr:row>12</xdr:row>
      <xdr:rowOff>106680</xdr:rowOff>
    </xdr:from>
    <xdr:to>
      <xdr:col>4</xdr:col>
      <xdr:colOff>655320</xdr:colOff>
      <xdr:row>15</xdr:row>
      <xdr:rowOff>68580</xdr:rowOff>
    </xdr:to>
    <xdr:sp macro="" textlink="Dashboard_Calculations!F18">
      <xdr:nvSpPr>
        <xdr:cNvPr id="31" name="TextBox 30">
          <a:extLst>
            <a:ext uri="{FF2B5EF4-FFF2-40B4-BE49-F238E27FC236}">
              <a16:creationId xmlns:a16="http://schemas.microsoft.com/office/drawing/2014/main" id="{126DE6E4-608B-8BD2-1BFD-4DBFA5C0A6BB}"/>
            </a:ext>
          </a:extLst>
        </xdr:cNvPr>
        <xdr:cNvSpPr txBox="1"/>
      </xdr:nvSpPr>
      <xdr:spPr>
        <a:xfrm>
          <a:off x="3383280" y="2301240"/>
          <a:ext cx="1036320" cy="5105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63290534-04CE-453F-AF9E-3DE37A8F7875}" type="TxLink">
            <a:rPr lang="en-US" sz="2000" b="1" i="0" u="none" strike="noStrike">
              <a:solidFill>
                <a:srgbClr val="FF0000"/>
              </a:solidFill>
              <a:latin typeface="Calibri"/>
              <a:ea typeface="Calibri"/>
              <a:cs typeface="Calibri"/>
            </a:rPr>
            <a:pPr marL="0" indent="0" algn="ctr"/>
            <a:t>1.04%</a:t>
          </a:fld>
          <a:endParaRPr lang="en-IN" sz="2000" b="1" i="0" u="none" strike="noStrike">
            <a:solidFill>
              <a:srgbClr val="FF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 editAs="absolute">
    <xdr:from>
      <xdr:col>5</xdr:col>
      <xdr:colOff>118110</xdr:colOff>
      <xdr:row>6</xdr:row>
      <xdr:rowOff>30480</xdr:rowOff>
    </xdr:from>
    <xdr:to>
      <xdr:col>11</xdr:col>
      <xdr:colOff>623226</xdr:colOff>
      <xdr:row>18</xdr:row>
      <xdr:rowOff>99060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B01120C-4EA5-FBBD-CF8E-3186464B9559}"/>
            </a:ext>
          </a:extLst>
        </xdr:cNvPr>
        <xdr:cNvSpPr/>
      </xdr:nvSpPr>
      <xdr:spPr>
        <a:xfrm>
          <a:off x="4857750" y="1127760"/>
          <a:ext cx="4467516" cy="226314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endParaRPr lang="en-IN" sz="1400">
            <a:solidFill>
              <a:schemeClr val="accent2">
                <a:lumMod val="75000"/>
              </a:schemeClr>
            </a:solidFill>
            <a:effectLst/>
          </a:endParaRPr>
        </a:p>
      </xdr:txBody>
    </xdr:sp>
    <xdr:clientData/>
  </xdr:twoCellAnchor>
  <xdr:twoCellAnchor editAs="absolute">
    <xdr:from>
      <xdr:col>6</xdr:col>
      <xdr:colOff>103800</xdr:colOff>
      <xdr:row>7</xdr:row>
      <xdr:rowOff>22860</xdr:rowOff>
    </xdr:from>
    <xdr:to>
      <xdr:col>11</xdr:col>
      <xdr:colOff>403393</xdr:colOff>
      <xdr:row>8</xdr:row>
      <xdr:rowOff>160020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47CAB3D6-35F9-C203-073D-8677A8A2FA32}"/>
            </a:ext>
          </a:extLst>
        </xdr:cNvPr>
        <xdr:cNvSpPr txBox="1"/>
      </xdr:nvSpPr>
      <xdr:spPr>
        <a:xfrm>
          <a:off x="6039780" y="1303020"/>
          <a:ext cx="3065653" cy="320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N" sz="1600" b="1">
              <a:solidFill>
                <a:schemeClr val="accent2">
                  <a:lumMod val="75000"/>
                </a:schemeClr>
              </a:solidFill>
            </a:rPr>
            <a:t>Lowest Food Inflation (MoM)</a:t>
          </a:r>
        </a:p>
      </xdr:txBody>
    </xdr:sp>
    <xdr:clientData/>
  </xdr:twoCellAnchor>
  <xdr:twoCellAnchor editAs="absolute">
    <xdr:from>
      <xdr:col>5</xdr:col>
      <xdr:colOff>247728</xdr:colOff>
      <xdr:row>10</xdr:row>
      <xdr:rowOff>30480</xdr:rowOff>
    </xdr:from>
    <xdr:to>
      <xdr:col>6</xdr:col>
      <xdr:colOff>348409</xdr:colOff>
      <xdr:row>17</xdr:row>
      <xdr:rowOff>118320</xdr:rowOff>
    </xdr:to>
    <xdr:sp macro="" textlink="">
      <xdr:nvSpPr>
        <xdr:cNvPr id="34" name="Rectangle: Rounded Corners 33">
          <a:extLst>
            <a:ext uri="{FF2B5EF4-FFF2-40B4-BE49-F238E27FC236}">
              <a16:creationId xmlns:a16="http://schemas.microsoft.com/office/drawing/2014/main" id="{A1287A3B-ADE4-0F8D-D8ED-148C222ED4A6}"/>
            </a:ext>
          </a:extLst>
        </xdr:cNvPr>
        <xdr:cNvSpPr/>
      </xdr:nvSpPr>
      <xdr:spPr>
        <a:xfrm>
          <a:off x="4987368" y="1859280"/>
          <a:ext cx="1297021" cy="136800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absolute">
    <xdr:from>
      <xdr:col>7</xdr:col>
      <xdr:colOff>69783</xdr:colOff>
      <xdr:row>10</xdr:row>
      <xdr:rowOff>30480</xdr:rowOff>
    </xdr:from>
    <xdr:to>
      <xdr:col>9</xdr:col>
      <xdr:colOff>71404</xdr:colOff>
      <xdr:row>17</xdr:row>
      <xdr:rowOff>118320</xdr:rowOff>
    </xdr:to>
    <xdr:sp macro="" textlink="">
      <xdr:nvSpPr>
        <xdr:cNvPr id="35" name="Rectangle: Rounded Corners 34">
          <a:extLst>
            <a:ext uri="{FF2B5EF4-FFF2-40B4-BE49-F238E27FC236}">
              <a16:creationId xmlns:a16="http://schemas.microsoft.com/office/drawing/2014/main" id="{66F73582-0A73-79F5-7791-29378563AC90}"/>
            </a:ext>
          </a:extLst>
        </xdr:cNvPr>
        <xdr:cNvSpPr/>
      </xdr:nvSpPr>
      <xdr:spPr>
        <a:xfrm>
          <a:off x="6455343" y="1859280"/>
          <a:ext cx="1297021" cy="136800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9</xdr:col>
      <xdr:colOff>227119</xdr:colOff>
      <xdr:row>10</xdr:row>
      <xdr:rowOff>30480</xdr:rowOff>
    </xdr:from>
    <xdr:to>
      <xdr:col>11</xdr:col>
      <xdr:colOff>503060</xdr:colOff>
      <xdr:row>17</xdr:row>
      <xdr:rowOff>118320</xdr:rowOff>
    </xdr:to>
    <xdr:sp macro="" textlink="">
      <xdr:nvSpPr>
        <xdr:cNvPr id="36" name="Rectangle: Rounded Corners 35">
          <a:extLst>
            <a:ext uri="{FF2B5EF4-FFF2-40B4-BE49-F238E27FC236}">
              <a16:creationId xmlns:a16="http://schemas.microsoft.com/office/drawing/2014/main" id="{6AEAAA02-04CC-96FA-21BD-5D9CF148B354}"/>
            </a:ext>
          </a:extLst>
        </xdr:cNvPr>
        <xdr:cNvSpPr/>
      </xdr:nvSpPr>
      <xdr:spPr>
        <a:xfrm>
          <a:off x="7908079" y="1859280"/>
          <a:ext cx="1297021" cy="136800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5</xdr:col>
      <xdr:colOff>370044</xdr:colOff>
      <xdr:row>10</xdr:row>
      <xdr:rowOff>129540</xdr:rowOff>
    </xdr:from>
    <xdr:to>
      <xdr:col>6</xdr:col>
      <xdr:colOff>226092</xdr:colOff>
      <xdr:row>12</xdr:row>
      <xdr:rowOff>83820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88C8DBB1-C78B-DA6A-D597-D1977F1D6C8C}"/>
            </a:ext>
          </a:extLst>
        </xdr:cNvPr>
        <xdr:cNvSpPr txBox="1"/>
      </xdr:nvSpPr>
      <xdr:spPr>
        <a:xfrm>
          <a:off x="5109684" y="1958340"/>
          <a:ext cx="1052388" cy="320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300" b="1">
              <a:solidFill>
                <a:schemeClr val="accent6">
                  <a:lumMod val="75000"/>
                </a:schemeClr>
              </a:solidFill>
            </a:rPr>
            <a:t>Rural</a:t>
          </a:r>
        </a:p>
      </xdr:txBody>
    </xdr:sp>
    <xdr:clientData/>
  </xdr:twoCellAnchor>
  <xdr:twoCellAnchor editAs="absolute">
    <xdr:from>
      <xdr:col>7</xdr:col>
      <xdr:colOff>180661</xdr:colOff>
      <xdr:row>10</xdr:row>
      <xdr:rowOff>129540</xdr:rowOff>
    </xdr:from>
    <xdr:to>
      <xdr:col>8</xdr:col>
      <xdr:colOff>722509</xdr:colOff>
      <xdr:row>12</xdr:row>
      <xdr:rowOff>83820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7DFB9335-C150-9C1D-25B9-669F93C9A92E}"/>
            </a:ext>
          </a:extLst>
        </xdr:cNvPr>
        <xdr:cNvSpPr txBox="1"/>
      </xdr:nvSpPr>
      <xdr:spPr>
        <a:xfrm>
          <a:off x="6566221" y="1958340"/>
          <a:ext cx="1052388" cy="320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IN" sz="1300" b="1">
              <a:solidFill>
                <a:schemeClr val="accent6">
                  <a:lumMod val="75000"/>
                </a:schemeClr>
              </a:solidFill>
              <a:latin typeface="+mn-lt"/>
              <a:ea typeface="+mn-ea"/>
              <a:cs typeface="+mn-cs"/>
            </a:rPr>
            <a:t>Urban</a:t>
          </a:r>
        </a:p>
      </xdr:txBody>
    </xdr:sp>
    <xdr:clientData/>
  </xdr:twoCellAnchor>
  <xdr:twoCellAnchor editAs="absolute">
    <xdr:from>
      <xdr:col>10</xdr:col>
      <xdr:colOff>59857</xdr:colOff>
      <xdr:row>10</xdr:row>
      <xdr:rowOff>129540</xdr:rowOff>
    </xdr:from>
    <xdr:to>
      <xdr:col>11</xdr:col>
      <xdr:colOff>386328</xdr:colOff>
      <xdr:row>12</xdr:row>
      <xdr:rowOff>83820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89C6CF9-4DA2-1F57-26B8-6FB36A4CBC62}"/>
            </a:ext>
          </a:extLst>
        </xdr:cNvPr>
        <xdr:cNvSpPr txBox="1"/>
      </xdr:nvSpPr>
      <xdr:spPr>
        <a:xfrm>
          <a:off x="8007517" y="1958340"/>
          <a:ext cx="1080851" cy="320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IN" sz="1300" b="1">
              <a:solidFill>
                <a:schemeClr val="accent6">
                  <a:lumMod val="75000"/>
                </a:schemeClr>
              </a:solidFill>
              <a:latin typeface="+mn-lt"/>
              <a:ea typeface="+mn-ea"/>
              <a:cs typeface="+mn-cs"/>
            </a:rPr>
            <a:t>Rural+Urban</a:t>
          </a:r>
        </a:p>
      </xdr:txBody>
    </xdr:sp>
    <xdr:clientData/>
  </xdr:twoCellAnchor>
  <xdr:twoCellAnchor editAs="absolute">
    <xdr:from>
      <xdr:col>5</xdr:col>
      <xdr:colOff>339540</xdr:colOff>
      <xdr:row>15</xdr:row>
      <xdr:rowOff>91440</xdr:rowOff>
    </xdr:from>
    <xdr:to>
      <xdr:col>6</xdr:col>
      <xdr:colOff>195588</xdr:colOff>
      <xdr:row>17</xdr:row>
      <xdr:rowOff>45720</xdr:rowOff>
    </xdr:to>
    <xdr:sp macro="" textlink="Dashboard_Calculations!G20">
      <xdr:nvSpPr>
        <xdr:cNvPr id="41" name="TextBox 40">
          <a:extLst>
            <a:ext uri="{FF2B5EF4-FFF2-40B4-BE49-F238E27FC236}">
              <a16:creationId xmlns:a16="http://schemas.microsoft.com/office/drawing/2014/main" id="{402AA87B-446A-33A3-0B3F-C5FD0A258D07}"/>
            </a:ext>
          </a:extLst>
        </xdr:cNvPr>
        <xdr:cNvSpPr txBox="1"/>
      </xdr:nvSpPr>
      <xdr:spPr>
        <a:xfrm>
          <a:off x="5079180" y="2834640"/>
          <a:ext cx="1052388" cy="320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3B4F51F4-04D5-405D-963C-665290768AED}" type="TxLink">
            <a:rPr lang="en-US" sz="1200" b="1" i="0" u="none" strike="noStrike">
              <a:solidFill>
                <a:schemeClr val="accent6">
                  <a:lumMod val="75000"/>
                </a:schemeClr>
              </a:solidFill>
              <a:latin typeface="Calibri"/>
              <a:ea typeface="Calibri"/>
              <a:cs typeface="Calibri"/>
            </a:rPr>
            <a:pPr marL="0" indent="0" algn="ctr"/>
            <a:t>Feb-2023</a:t>
          </a:fld>
          <a:endParaRPr lang="en-IN" sz="1200" b="1" i="0" u="none" strike="noStrike">
            <a:solidFill>
              <a:schemeClr val="accent6">
                <a:lumMod val="75000"/>
              </a:schemeClr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 editAs="absolute">
    <xdr:from>
      <xdr:col>7</xdr:col>
      <xdr:colOff>150157</xdr:colOff>
      <xdr:row>15</xdr:row>
      <xdr:rowOff>91440</xdr:rowOff>
    </xdr:from>
    <xdr:to>
      <xdr:col>8</xdr:col>
      <xdr:colOff>692005</xdr:colOff>
      <xdr:row>17</xdr:row>
      <xdr:rowOff>45720</xdr:rowOff>
    </xdr:to>
    <xdr:sp macro="" textlink="Dashboard_Calculations!G21">
      <xdr:nvSpPr>
        <xdr:cNvPr id="42" name="TextBox 41">
          <a:extLst>
            <a:ext uri="{FF2B5EF4-FFF2-40B4-BE49-F238E27FC236}">
              <a16:creationId xmlns:a16="http://schemas.microsoft.com/office/drawing/2014/main" id="{BB1453D0-E362-E591-E5E5-1538FFF3040F}"/>
            </a:ext>
          </a:extLst>
        </xdr:cNvPr>
        <xdr:cNvSpPr txBox="1"/>
      </xdr:nvSpPr>
      <xdr:spPr>
        <a:xfrm>
          <a:off x="6535717" y="2834640"/>
          <a:ext cx="1052388" cy="320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CB71C668-08C0-4AA5-AC65-DD69801E74DF}" type="TxLink">
            <a:rPr lang="en-US" sz="1200" b="1" i="0" u="none" strike="noStrike">
              <a:solidFill>
                <a:schemeClr val="accent6">
                  <a:lumMod val="75000"/>
                </a:schemeClr>
              </a:solidFill>
              <a:latin typeface="Calibri"/>
              <a:ea typeface="Calibri"/>
              <a:cs typeface="Calibri"/>
            </a:rPr>
            <a:pPr marL="0" indent="0" algn="ctr"/>
            <a:t>Dec-2022</a:t>
          </a:fld>
          <a:endParaRPr lang="en-IN" sz="1200" b="1" i="0" u="none" strike="noStrike">
            <a:solidFill>
              <a:schemeClr val="accent6">
                <a:lumMod val="75000"/>
              </a:schemeClr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 editAs="absolute">
    <xdr:from>
      <xdr:col>10</xdr:col>
      <xdr:colOff>29353</xdr:colOff>
      <xdr:row>15</xdr:row>
      <xdr:rowOff>91440</xdr:rowOff>
    </xdr:from>
    <xdr:to>
      <xdr:col>11</xdr:col>
      <xdr:colOff>327361</xdr:colOff>
      <xdr:row>17</xdr:row>
      <xdr:rowOff>45720</xdr:rowOff>
    </xdr:to>
    <xdr:sp macro="" textlink="Dashboard_Calculations!G22">
      <xdr:nvSpPr>
        <xdr:cNvPr id="43" name="TextBox 42">
          <a:extLst>
            <a:ext uri="{FF2B5EF4-FFF2-40B4-BE49-F238E27FC236}">
              <a16:creationId xmlns:a16="http://schemas.microsoft.com/office/drawing/2014/main" id="{7F719492-3A12-5D94-E587-5CF7EF9D68FE}"/>
            </a:ext>
          </a:extLst>
        </xdr:cNvPr>
        <xdr:cNvSpPr txBox="1"/>
      </xdr:nvSpPr>
      <xdr:spPr>
        <a:xfrm>
          <a:off x="7977013" y="2834640"/>
          <a:ext cx="1052388" cy="320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03BA02CB-02E7-4FDE-AEE1-143782BAD97B}" type="TxLink">
            <a:rPr lang="en-US" sz="1200" b="1" i="0" u="none" strike="noStrike">
              <a:solidFill>
                <a:schemeClr val="accent6">
                  <a:lumMod val="75000"/>
                </a:schemeClr>
              </a:solidFill>
              <a:latin typeface="Calibri"/>
              <a:ea typeface="Calibri"/>
              <a:cs typeface="Calibri"/>
            </a:rPr>
            <a:pPr marL="0" indent="0" algn="ctr"/>
            <a:t>Feb-2023</a:t>
          </a:fld>
          <a:endParaRPr lang="en-IN" sz="1200" b="1" i="0" u="none" strike="noStrike">
            <a:solidFill>
              <a:schemeClr val="accent6">
                <a:lumMod val="75000"/>
              </a:schemeClr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 editAs="absolute">
    <xdr:from>
      <xdr:col>5</xdr:col>
      <xdr:colOff>369744</xdr:colOff>
      <xdr:row>12</xdr:row>
      <xdr:rowOff>106680</xdr:rowOff>
    </xdr:from>
    <xdr:to>
      <xdr:col>6</xdr:col>
      <xdr:colOff>210540</xdr:colOff>
      <xdr:row>15</xdr:row>
      <xdr:rowOff>68580</xdr:rowOff>
    </xdr:to>
    <xdr:sp macro="" textlink="Dashboard_Calculations!F20">
      <xdr:nvSpPr>
        <xdr:cNvPr id="44" name="TextBox 43">
          <a:extLst>
            <a:ext uri="{FF2B5EF4-FFF2-40B4-BE49-F238E27FC236}">
              <a16:creationId xmlns:a16="http://schemas.microsoft.com/office/drawing/2014/main" id="{EFEB18AC-EDB2-6970-DCFC-3BA755D9874B}"/>
            </a:ext>
          </a:extLst>
        </xdr:cNvPr>
        <xdr:cNvSpPr txBox="1"/>
      </xdr:nvSpPr>
      <xdr:spPr>
        <a:xfrm>
          <a:off x="5109384" y="2301240"/>
          <a:ext cx="1037136" cy="5105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E8357F78-4B9C-495A-BEB7-805DFEF868A4}" type="TxLink">
            <a:rPr lang="en-US" sz="2000" b="1" i="0" u="none" strike="noStrike">
              <a:solidFill>
                <a:schemeClr val="accent6">
                  <a:lumMod val="75000"/>
                </a:schemeClr>
              </a:solidFill>
              <a:latin typeface="Calibri"/>
              <a:ea typeface="Calibri"/>
              <a:cs typeface="Calibri"/>
            </a:rPr>
            <a:pPr marL="0" indent="0" algn="ctr"/>
            <a:t>-0.82%</a:t>
          </a:fld>
          <a:endParaRPr lang="en-IN" sz="2000" b="1" i="0" u="none" strike="noStrike">
            <a:solidFill>
              <a:schemeClr val="accent6">
                <a:lumMod val="75000"/>
              </a:schemeClr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 editAs="absolute">
    <xdr:from>
      <xdr:col>7</xdr:col>
      <xdr:colOff>203238</xdr:colOff>
      <xdr:row>12</xdr:row>
      <xdr:rowOff>106680</xdr:rowOff>
    </xdr:from>
    <xdr:to>
      <xdr:col>8</xdr:col>
      <xdr:colOff>729834</xdr:colOff>
      <xdr:row>15</xdr:row>
      <xdr:rowOff>68580</xdr:rowOff>
    </xdr:to>
    <xdr:sp macro="" textlink="Dashboard_Calculations!F21">
      <xdr:nvSpPr>
        <xdr:cNvPr id="45" name="TextBox 44">
          <a:extLst>
            <a:ext uri="{FF2B5EF4-FFF2-40B4-BE49-F238E27FC236}">
              <a16:creationId xmlns:a16="http://schemas.microsoft.com/office/drawing/2014/main" id="{C6D4CB86-1208-4FB5-52B7-61E7A31A4AB0}"/>
            </a:ext>
          </a:extLst>
        </xdr:cNvPr>
        <xdr:cNvSpPr txBox="1"/>
      </xdr:nvSpPr>
      <xdr:spPr>
        <a:xfrm>
          <a:off x="6588798" y="2301240"/>
          <a:ext cx="1037136" cy="5105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17ABF091-FBD6-4ED9-9D80-7681511D2FCD}" type="TxLink">
            <a:rPr lang="en-US" sz="2000" b="1" i="0" u="none" strike="noStrike">
              <a:solidFill>
                <a:schemeClr val="accent6">
                  <a:lumMod val="75000"/>
                </a:schemeClr>
              </a:solidFill>
              <a:latin typeface="Calibri"/>
              <a:ea typeface="Calibri"/>
              <a:cs typeface="Calibri"/>
            </a:rPr>
            <a:pPr marL="0" indent="0" algn="ctr"/>
            <a:t>-0.75%</a:t>
          </a:fld>
          <a:endParaRPr lang="en-IN" sz="2000" b="1" i="0" u="none" strike="noStrike">
            <a:solidFill>
              <a:schemeClr val="accent6">
                <a:lumMod val="75000"/>
              </a:schemeClr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 editAs="absolute">
    <xdr:from>
      <xdr:col>10</xdr:col>
      <xdr:colOff>105313</xdr:colOff>
      <xdr:row>12</xdr:row>
      <xdr:rowOff>106680</xdr:rowOff>
    </xdr:from>
    <xdr:to>
      <xdr:col>11</xdr:col>
      <xdr:colOff>388069</xdr:colOff>
      <xdr:row>15</xdr:row>
      <xdr:rowOff>68580</xdr:rowOff>
    </xdr:to>
    <xdr:sp macro="" textlink="Dashboard_Calculations!F22">
      <xdr:nvSpPr>
        <xdr:cNvPr id="46" name="TextBox 45">
          <a:extLst>
            <a:ext uri="{FF2B5EF4-FFF2-40B4-BE49-F238E27FC236}">
              <a16:creationId xmlns:a16="http://schemas.microsoft.com/office/drawing/2014/main" id="{F6F9C50C-E7C6-8D6C-8337-340DEC4D692E}"/>
            </a:ext>
          </a:extLst>
        </xdr:cNvPr>
        <xdr:cNvSpPr txBox="1"/>
      </xdr:nvSpPr>
      <xdr:spPr>
        <a:xfrm>
          <a:off x="8052973" y="2301240"/>
          <a:ext cx="1037136" cy="5105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08ECE183-6809-421E-AE55-3BFA8A426EAF}" type="TxLink">
            <a:rPr lang="en-US" sz="2000" b="1" i="0" u="none" strike="noStrike">
              <a:solidFill>
                <a:schemeClr val="accent6">
                  <a:lumMod val="75000"/>
                </a:schemeClr>
              </a:solidFill>
              <a:latin typeface="Calibri"/>
              <a:ea typeface="Calibri"/>
              <a:cs typeface="Calibri"/>
            </a:rPr>
            <a:pPr marL="0" indent="0" algn="ctr"/>
            <a:t>-0.66%</a:t>
          </a:fld>
          <a:endParaRPr lang="en-IN" sz="2000" b="1" i="0" u="none" strike="noStrike">
            <a:solidFill>
              <a:schemeClr val="accent6">
                <a:lumMod val="75000"/>
              </a:schemeClr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 editAs="absolute">
    <xdr:from>
      <xdr:col>12</xdr:col>
      <xdr:colOff>123092</xdr:colOff>
      <xdr:row>6</xdr:row>
      <xdr:rowOff>30480</xdr:rowOff>
    </xdr:from>
    <xdr:to>
      <xdr:col>16</xdr:col>
      <xdr:colOff>1069583</xdr:colOff>
      <xdr:row>18</xdr:row>
      <xdr:rowOff>99060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022651EB-7C30-7A70-FB1E-B7A70F2546AD}"/>
            </a:ext>
          </a:extLst>
        </xdr:cNvPr>
        <xdr:cNvSpPr/>
      </xdr:nvSpPr>
      <xdr:spPr>
        <a:xfrm>
          <a:off x="9526172" y="1127760"/>
          <a:ext cx="4466931" cy="226314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endParaRPr lang="en-IN" sz="1400">
            <a:solidFill>
              <a:schemeClr val="accent2">
                <a:lumMod val="75000"/>
              </a:schemeClr>
            </a:solidFill>
            <a:effectLst/>
          </a:endParaRPr>
        </a:p>
      </xdr:txBody>
    </xdr:sp>
    <xdr:clientData/>
  </xdr:twoCellAnchor>
  <xdr:twoCellAnchor editAs="absolute">
    <xdr:from>
      <xdr:col>13</xdr:col>
      <xdr:colOff>436287</xdr:colOff>
      <xdr:row>7</xdr:row>
      <xdr:rowOff>22860</xdr:rowOff>
    </xdr:from>
    <xdr:to>
      <xdr:col>16</xdr:col>
      <xdr:colOff>849778</xdr:colOff>
      <xdr:row>8</xdr:row>
      <xdr:rowOff>160020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46331122-7781-158F-DAD8-8EB3F626B8CB}"/>
            </a:ext>
          </a:extLst>
        </xdr:cNvPr>
        <xdr:cNvSpPr txBox="1"/>
      </xdr:nvSpPr>
      <xdr:spPr>
        <a:xfrm>
          <a:off x="10708047" y="1303020"/>
          <a:ext cx="3065251" cy="320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N" sz="1600" b="1">
              <a:solidFill>
                <a:schemeClr val="accent2">
                  <a:lumMod val="75000"/>
                </a:schemeClr>
              </a:solidFill>
            </a:rPr>
            <a:t>Latest MoM</a:t>
          </a:r>
          <a:r>
            <a:rPr lang="en-IN" sz="1600" b="1" baseline="0">
              <a:solidFill>
                <a:schemeClr val="accent2">
                  <a:lumMod val="75000"/>
                </a:schemeClr>
              </a:solidFill>
            </a:rPr>
            <a:t> Food Inflation</a:t>
          </a:r>
          <a:endParaRPr lang="en-IN" sz="1600" b="1">
            <a:solidFill>
              <a:schemeClr val="accent2">
                <a:lumMod val="75000"/>
              </a:schemeClr>
            </a:solidFill>
          </a:endParaRPr>
        </a:p>
      </xdr:txBody>
    </xdr:sp>
    <xdr:clientData/>
  </xdr:twoCellAnchor>
  <xdr:twoCellAnchor>
    <xdr:from>
      <xdr:col>12</xdr:col>
      <xdr:colOff>252697</xdr:colOff>
      <xdr:row>10</xdr:row>
      <xdr:rowOff>30480</xdr:rowOff>
    </xdr:from>
    <xdr:to>
      <xdr:col>13</xdr:col>
      <xdr:colOff>680868</xdr:colOff>
      <xdr:row>17</xdr:row>
      <xdr:rowOff>118320</xdr:rowOff>
    </xdr:to>
    <xdr:grpSp>
      <xdr:nvGrpSpPr>
        <xdr:cNvPr id="107" name="Group 106">
          <a:extLst>
            <a:ext uri="{FF2B5EF4-FFF2-40B4-BE49-F238E27FC236}">
              <a16:creationId xmlns:a16="http://schemas.microsoft.com/office/drawing/2014/main" id="{915DFBCE-37C8-3226-1435-7BD6D6B2CEA5}"/>
            </a:ext>
          </a:extLst>
        </xdr:cNvPr>
        <xdr:cNvGrpSpPr/>
      </xdr:nvGrpSpPr>
      <xdr:grpSpPr>
        <a:xfrm>
          <a:off x="9655777" y="1859280"/>
          <a:ext cx="1296851" cy="1368000"/>
          <a:chOff x="9625297" y="1859280"/>
          <a:chExt cx="1296851" cy="1368000"/>
        </a:xfrm>
      </xdr:grpSpPr>
      <xdr:sp macro="" textlink="">
        <xdr:nvSpPr>
          <xdr:cNvPr id="49" name="Rectangle: Rounded Corners 48">
            <a:extLst>
              <a:ext uri="{FF2B5EF4-FFF2-40B4-BE49-F238E27FC236}">
                <a16:creationId xmlns:a16="http://schemas.microsoft.com/office/drawing/2014/main" id="{0DAB137A-3296-5B1C-4E02-F41A13996A1B}"/>
              </a:ext>
            </a:extLst>
          </xdr:cNvPr>
          <xdr:cNvSpPr/>
        </xdr:nvSpPr>
        <xdr:spPr>
          <a:xfrm>
            <a:off x="9625297" y="1859280"/>
            <a:ext cx="1296851" cy="1368000"/>
          </a:xfrm>
          <a:prstGeom prst="roundRect">
            <a:avLst/>
          </a:prstGeom>
          <a:solidFill>
            <a:srgbClr val="FBE1FB"/>
          </a:solidFill>
          <a:ln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53" name="TextBox 52">
            <a:extLst>
              <a:ext uri="{FF2B5EF4-FFF2-40B4-BE49-F238E27FC236}">
                <a16:creationId xmlns:a16="http://schemas.microsoft.com/office/drawing/2014/main" id="{B94291E7-151E-8719-0AEB-37CF38733F36}"/>
              </a:ext>
            </a:extLst>
          </xdr:cNvPr>
          <xdr:cNvSpPr txBox="1"/>
        </xdr:nvSpPr>
        <xdr:spPr>
          <a:xfrm>
            <a:off x="9747597" y="1958340"/>
            <a:ext cx="1052250" cy="3200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N" sz="1300" b="1">
                <a:solidFill>
                  <a:srgbClr val="7030A0"/>
                </a:solidFill>
              </a:rPr>
              <a:t>Rural</a:t>
            </a:r>
          </a:p>
        </xdr:txBody>
      </xdr:sp>
      <xdr:sp macro="" textlink="$K$45">
        <xdr:nvSpPr>
          <xdr:cNvPr id="56" name="TextBox 55">
            <a:extLst>
              <a:ext uri="{FF2B5EF4-FFF2-40B4-BE49-F238E27FC236}">
                <a16:creationId xmlns:a16="http://schemas.microsoft.com/office/drawing/2014/main" id="{0A1CAD87-5BB9-E580-D89D-6D68548BCF4A}"/>
              </a:ext>
            </a:extLst>
          </xdr:cNvPr>
          <xdr:cNvSpPr txBox="1"/>
        </xdr:nvSpPr>
        <xdr:spPr>
          <a:xfrm>
            <a:off x="9717097" y="2834640"/>
            <a:ext cx="1052250" cy="3200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23C04375-920E-4C48-97EB-F2538F9F837F}" type="TxLink">
              <a:rPr lang="en-US" sz="1200" b="1" i="0" u="none" strike="noStrike">
                <a:solidFill>
                  <a:srgbClr val="7030A0"/>
                </a:solidFill>
                <a:latin typeface="Calibri"/>
                <a:ea typeface="Calibri"/>
                <a:cs typeface="Calibri"/>
              </a:rPr>
              <a:pPr marL="0" indent="0" algn="ctr"/>
              <a:t>May-2023</a:t>
            </a:fld>
            <a:endParaRPr lang="en-US" sz="1200" b="1" i="0" u="none" strike="noStrike">
              <a:solidFill>
                <a:srgbClr val="7030A0"/>
              </a:solidFill>
              <a:latin typeface="Calibri"/>
              <a:ea typeface="Calibri"/>
              <a:cs typeface="Calibri"/>
            </a:endParaRPr>
          </a:p>
        </xdr:txBody>
      </xdr:sp>
      <xdr:sp macro="" textlink="$M$45">
        <xdr:nvSpPr>
          <xdr:cNvPr id="59" name="TextBox 58">
            <a:extLst>
              <a:ext uri="{FF2B5EF4-FFF2-40B4-BE49-F238E27FC236}">
                <a16:creationId xmlns:a16="http://schemas.microsoft.com/office/drawing/2014/main" id="{2A625667-77D9-C28C-A8BE-CA4FE29343E9}"/>
              </a:ext>
            </a:extLst>
          </xdr:cNvPr>
          <xdr:cNvSpPr txBox="1"/>
        </xdr:nvSpPr>
        <xdr:spPr>
          <a:xfrm>
            <a:off x="9747297" y="2301240"/>
            <a:ext cx="1037000" cy="5105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19833DDD-2B18-49BE-B357-2FA8876292E1}" type="TxLink">
              <a:rPr lang="en-US" sz="2000" b="1" i="0" u="none" strike="noStrike">
                <a:solidFill>
                  <a:srgbClr val="7030A0"/>
                </a:solidFill>
                <a:latin typeface="Calibri"/>
                <a:ea typeface="Calibri"/>
                <a:cs typeface="Calibri"/>
              </a:rPr>
              <a:pPr marL="0" indent="0" algn="ctr"/>
              <a:t>0.72%</a:t>
            </a:fld>
            <a:endParaRPr lang="en-IN" sz="2000" b="1" i="0" u="none" strike="noStrike">
              <a:solidFill>
                <a:srgbClr val="7030A0"/>
              </a:solidFill>
              <a:latin typeface="Calibri"/>
              <a:ea typeface="Calibri"/>
              <a:cs typeface="Calibri"/>
            </a:endParaRPr>
          </a:p>
        </xdr:txBody>
      </xdr:sp>
    </xdr:grpSp>
    <xdr:clientData/>
  </xdr:twoCellAnchor>
  <xdr:twoCellAnchor>
    <xdr:from>
      <xdr:col>13</xdr:col>
      <xdr:colOff>836565</xdr:colOff>
      <xdr:row>10</xdr:row>
      <xdr:rowOff>30480</xdr:rowOff>
    </xdr:from>
    <xdr:to>
      <xdr:col>15</xdr:col>
      <xdr:colOff>426536</xdr:colOff>
      <xdr:row>17</xdr:row>
      <xdr:rowOff>118320</xdr:rowOff>
    </xdr:to>
    <xdr:grpSp>
      <xdr:nvGrpSpPr>
        <xdr:cNvPr id="106" name="Group 105">
          <a:extLst>
            <a:ext uri="{FF2B5EF4-FFF2-40B4-BE49-F238E27FC236}">
              <a16:creationId xmlns:a16="http://schemas.microsoft.com/office/drawing/2014/main" id="{A0043A66-AB81-80D5-C9E5-9B65D83C9D41}"/>
            </a:ext>
          </a:extLst>
        </xdr:cNvPr>
        <xdr:cNvGrpSpPr/>
      </xdr:nvGrpSpPr>
      <xdr:grpSpPr>
        <a:xfrm>
          <a:off x="11108325" y="1859280"/>
          <a:ext cx="1296851" cy="1368000"/>
          <a:chOff x="11054985" y="1859280"/>
          <a:chExt cx="1296851" cy="1368000"/>
        </a:xfrm>
      </xdr:grpSpPr>
      <xdr:sp macro="" textlink="">
        <xdr:nvSpPr>
          <xdr:cNvPr id="50" name="Rectangle: Rounded Corners 49">
            <a:extLst>
              <a:ext uri="{FF2B5EF4-FFF2-40B4-BE49-F238E27FC236}">
                <a16:creationId xmlns:a16="http://schemas.microsoft.com/office/drawing/2014/main" id="{BEAD021B-4935-F502-35AD-D5BC112928DD}"/>
              </a:ext>
            </a:extLst>
          </xdr:cNvPr>
          <xdr:cNvSpPr/>
        </xdr:nvSpPr>
        <xdr:spPr>
          <a:xfrm>
            <a:off x="11054985" y="1859280"/>
            <a:ext cx="1296851" cy="1368000"/>
          </a:xfrm>
          <a:prstGeom prst="roundRect">
            <a:avLst/>
          </a:prstGeom>
          <a:solidFill>
            <a:srgbClr val="FBE1FB"/>
          </a:solidFill>
          <a:ln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n-IN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471BAE03-5944-40E4-DC90-0588302FBCBE}"/>
              </a:ext>
            </a:extLst>
          </xdr:cNvPr>
          <xdr:cNvSpPr txBox="1"/>
        </xdr:nvSpPr>
        <xdr:spPr>
          <a:xfrm>
            <a:off x="11165848" y="1958340"/>
            <a:ext cx="1052250" cy="3200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r>
              <a:rPr lang="en-IN" sz="1300" b="1">
                <a:solidFill>
                  <a:srgbClr val="7030A0"/>
                </a:solidFill>
                <a:latin typeface="+mn-lt"/>
                <a:ea typeface="+mn-ea"/>
                <a:cs typeface="+mn-cs"/>
              </a:rPr>
              <a:t>Urban</a:t>
            </a:r>
          </a:p>
        </xdr:txBody>
      </xdr:sp>
      <xdr:sp macro="" textlink="$K$45">
        <xdr:nvSpPr>
          <xdr:cNvPr id="57" name="TextBox 56">
            <a:extLst>
              <a:ext uri="{FF2B5EF4-FFF2-40B4-BE49-F238E27FC236}">
                <a16:creationId xmlns:a16="http://schemas.microsoft.com/office/drawing/2014/main" id="{957F46F8-7CD3-331D-3D34-A9E9B43C9201}"/>
              </a:ext>
            </a:extLst>
          </xdr:cNvPr>
          <xdr:cNvSpPr txBox="1"/>
        </xdr:nvSpPr>
        <xdr:spPr>
          <a:xfrm>
            <a:off x="11135348" y="2834640"/>
            <a:ext cx="1052250" cy="3200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31DCC99B-8206-4D59-A886-C88E54A39632}" type="TxLink">
              <a:rPr lang="en-US" sz="1200" b="1" i="0" u="none" strike="noStrike">
                <a:solidFill>
                  <a:srgbClr val="7030A0"/>
                </a:solidFill>
                <a:latin typeface="Calibri"/>
                <a:ea typeface="Calibri"/>
                <a:cs typeface="Calibri"/>
              </a:rPr>
              <a:pPr marL="0" indent="0" algn="ctr"/>
              <a:t>May-2023</a:t>
            </a:fld>
            <a:endParaRPr lang="en-IN" sz="1200" b="1" i="0" u="none" strike="noStrike">
              <a:solidFill>
                <a:srgbClr val="7030A0"/>
              </a:solidFill>
              <a:latin typeface="Calibri"/>
              <a:ea typeface="Calibri"/>
              <a:cs typeface="Calibri"/>
            </a:endParaRPr>
          </a:p>
        </xdr:txBody>
      </xdr:sp>
      <xdr:sp macro="" textlink="$O$45">
        <xdr:nvSpPr>
          <xdr:cNvPr id="60" name="TextBox 59">
            <a:extLst>
              <a:ext uri="{FF2B5EF4-FFF2-40B4-BE49-F238E27FC236}">
                <a16:creationId xmlns:a16="http://schemas.microsoft.com/office/drawing/2014/main" id="{20E95C11-3BF0-EC7B-EF04-96219D9CA099}"/>
              </a:ext>
            </a:extLst>
          </xdr:cNvPr>
          <xdr:cNvSpPr txBox="1"/>
        </xdr:nvSpPr>
        <xdr:spPr>
          <a:xfrm>
            <a:off x="11188423" y="2301240"/>
            <a:ext cx="1037000" cy="5105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6772A05E-E40F-4CB9-8406-2C35051AE267}" type="TxLink">
              <a:rPr lang="en-US" sz="2000" b="1" i="0" u="none" strike="noStrike">
                <a:solidFill>
                  <a:srgbClr val="7030A0"/>
                </a:solidFill>
                <a:latin typeface="Calibri"/>
                <a:ea typeface="Calibri"/>
                <a:cs typeface="Calibri"/>
              </a:rPr>
              <a:pPr marL="0" indent="0" algn="ctr"/>
              <a:t>0.77%</a:t>
            </a:fld>
            <a:endParaRPr lang="en-IN" sz="2000" b="1" i="0" u="none" strike="noStrike">
              <a:solidFill>
                <a:srgbClr val="7030A0"/>
              </a:solidFill>
              <a:latin typeface="Calibri"/>
              <a:ea typeface="Calibri"/>
              <a:cs typeface="Calibri"/>
            </a:endParaRPr>
          </a:p>
        </xdr:txBody>
      </xdr:sp>
    </xdr:grpSp>
    <xdr:clientData/>
  </xdr:twoCellAnchor>
  <xdr:twoCellAnchor>
    <xdr:from>
      <xdr:col>15</xdr:col>
      <xdr:colOff>582233</xdr:colOff>
      <xdr:row>10</xdr:row>
      <xdr:rowOff>30480</xdr:rowOff>
    </xdr:from>
    <xdr:to>
      <xdr:col>16</xdr:col>
      <xdr:colOff>934204</xdr:colOff>
      <xdr:row>17</xdr:row>
      <xdr:rowOff>118320</xdr:rowOff>
    </xdr:to>
    <xdr:grpSp>
      <xdr:nvGrpSpPr>
        <xdr:cNvPr id="105" name="Group 104">
          <a:extLst>
            <a:ext uri="{FF2B5EF4-FFF2-40B4-BE49-F238E27FC236}">
              <a16:creationId xmlns:a16="http://schemas.microsoft.com/office/drawing/2014/main" id="{D879F0E8-8ACF-B880-5389-D0F4B9DD3FF7}"/>
            </a:ext>
          </a:extLst>
        </xdr:cNvPr>
        <xdr:cNvGrpSpPr/>
      </xdr:nvGrpSpPr>
      <xdr:grpSpPr>
        <a:xfrm>
          <a:off x="12560873" y="1859280"/>
          <a:ext cx="1296851" cy="1368000"/>
          <a:chOff x="12484673" y="1859280"/>
          <a:chExt cx="1296851" cy="1368000"/>
        </a:xfrm>
      </xdr:grpSpPr>
      <xdr:sp macro="" textlink="">
        <xdr:nvSpPr>
          <xdr:cNvPr id="51" name="Rectangle: Rounded Corners 50">
            <a:extLst>
              <a:ext uri="{FF2B5EF4-FFF2-40B4-BE49-F238E27FC236}">
                <a16:creationId xmlns:a16="http://schemas.microsoft.com/office/drawing/2014/main" id="{3C1C5D2F-C702-AAB6-26A4-552A7B5DF8CD}"/>
              </a:ext>
            </a:extLst>
          </xdr:cNvPr>
          <xdr:cNvSpPr/>
        </xdr:nvSpPr>
        <xdr:spPr>
          <a:xfrm>
            <a:off x="12484673" y="1859280"/>
            <a:ext cx="1296851" cy="1368000"/>
          </a:xfrm>
          <a:prstGeom prst="roundRect">
            <a:avLst/>
          </a:prstGeom>
          <a:solidFill>
            <a:srgbClr val="FBE1FB"/>
          </a:solidFill>
          <a:ln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n-IN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55" name="TextBox 54">
            <a:extLst>
              <a:ext uri="{FF2B5EF4-FFF2-40B4-BE49-F238E27FC236}">
                <a16:creationId xmlns:a16="http://schemas.microsoft.com/office/drawing/2014/main" id="{C3F66CAB-0520-4316-AD1B-F065170A472E}"/>
              </a:ext>
            </a:extLst>
          </xdr:cNvPr>
          <xdr:cNvSpPr txBox="1"/>
        </xdr:nvSpPr>
        <xdr:spPr>
          <a:xfrm>
            <a:off x="12584098" y="1958340"/>
            <a:ext cx="1080709" cy="3200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r>
              <a:rPr lang="en-IN" sz="1300" b="1">
                <a:solidFill>
                  <a:srgbClr val="7030A0"/>
                </a:solidFill>
                <a:latin typeface="+mn-lt"/>
                <a:ea typeface="+mn-ea"/>
                <a:cs typeface="+mn-cs"/>
              </a:rPr>
              <a:t>Rural+Urban</a:t>
            </a:r>
          </a:p>
        </xdr:txBody>
      </xdr:sp>
      <xdr:sp macro="" textlink="$K$45">
        <xdr:nvSpPr>
          <xdr:cNvPr id="58" name="TextBox 57">
            <a:extLst>
              <a:ext uri="{FF2B5EF4-FFF2-40B4-BE49-F238E27FC236}">
                <a16:creationId xmlns:a16="http://schemas.microsoft.com/office/drawing/2014/main" id="{0EF52BF4-285E-32DF-DF47-F5FB0615B005}"/>
              </a:ext>
            </a:extLst>
          </xdr:cNvPr>
          <xdr:cNvSpPr txBox="1"/>
        </xdr:nvSpPr>
        <xdr:spPr>
          <a:xfrm>
            <a:off x="12553598" y="2834640"/>
            <a:ext cx="1052250" cy="3200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DF969A42-2DAA-47A2-A6E1-52B336F5E59E}" type="TxLink">
              <a:rPr lang="en-US" sz="1200" b="1" i="0" u="none" strike="noStrike">
                <a:solidFill>
                  <a:srgbClr val="7030A0"/>
                </a:solidFill>
                <a:latin typeface="Calibri"/>
                <a:ea typeface="Calibri"/>
                <a:cs typeface="Calibri"/>
              </a:rPr>
              <a:pPr marL="0" indent="0" algn="ctr"/>
              <a:t>May-2023</a:t>
            </a:fld>
            <a:endParaRPr lang="en-IN" sz="1200" b="1" i="0" u="none" strike="noStrike">
              <a:solidFill>
                <a:srgbClr val="7030A0"/>
              </a:solidFill>
              <a:latin typeface="Calibri"/>
              <a:ea typeface="Calibri"/>
              <a:cs typeface="Calibri"/>
            </a:endParaRPr>
          </a:p>
        </xdr:txBody>
      </xdr:sp>
      <xdr:sp macro="" textlink="$Q$45">
        <xdr:nvSpPr>
          <xdr:cNvPr id="61" name="TextBox 60">
            <a:extLst>
              <a:ext uri="{FF2B5EF4-FFF2-40B4-BE49-F238E27FC236}">
                <a16:creationId xmlns:a16="http://schemas.microsoft.com/office/drawing/2014/main" id="{5D3F12A3-7A6D-7C13-7605-C72A1CC3A74F}"/>
              </a:ext>
            </a:extLst>
          </xdr:cNvPr>
          <xdr:cNvSpPr txBox="1"/>
        </xdr:nvSpPr>
        <xdr:spPr>
          <a:xfrm>
            <a:off x="12629548" y="2301240"/>
            <a:ext cx="1037000" cy="5105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0222BA64-5918-4A1C-A62E-FFBC37B1C6A3}" type="TxLink">
              <a:rPr lang="en-US" sz="2000" b="1" i="0" u="none" strike="noStrike">
                <a:solidFill>
                  <a:srgbClr val="7030A0"/>
                </a:solidFill>
                <a:latin typeface="Calibri"/>
                <a:ea typeface="Calibri"/>
                <a:cs typeface="Calibri"/>
              </a:rPr>
              <a:pPr marL="0" indent="0" algn="ctr"/>
              <a:t>0.76%</a:t>
            </a:fld>
            <a:endParaRPr lang="en-IN" sz="2000" b="1" i="0" u="none" strike="noStrike">
              <a:solidFill>
                <a:srgbClr val="7030A0"/>
              </a:solidFill>
              <a:latin typeface="Calibri"/>
              <a:ea typeface="Calibri"/>
              <a:cs typeface="Calibri"/>
            </a:endParaRPr>
          </a:p>
        </xdr:txBody>
      </xdr:sp>
    </xdr:grpSp>
    <xdr:clientData/>
  </xdr:twoCellAnchor>
  <xdr:twoCellAnchor editAs="absolute">
    <xdr:from>
      <xdr:col>0</xdr:col>
      <xdr:colOff>182880</xdr:colOff>
      <xdr:row>21</xdr:row>
      <xdr:rowOff>22860</xdr:rowOff>
    </xdr:from>
    <xdr:to>
      <xdr:col>8</xdr:col>
      <xdr:colOff>90780</xdr:colOff>
      <xdr:row>29</xdr:row>
      <xdr:rowOff>992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5EF31E92-EFA3-412F-BDBF-25AE33DFC5B7}"/>
            </a:ext>
          </a:extLst>
        </xdr:cNvPr>
        <xdr:cNvSpPr/>
      </xdr:nvSpPr>
      <xdr:spPr>
        <a:xfrm>
          <a:off x="182880" y="3863340"/>
          <a:ext cx="6804000" cy="1441172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IN" sz="1200" b="1">
              <a:solidFill>
                <a:schemeClr val="tx1"/>
              </a:solidFill>
              <a:effectLst/>
            </a:rPr>
            <a:t>Analyze the broader Food bucket category for the 12 months ending May 2023 to:</a:t>
          </a:r>
        </a:p>
        <a:p>
          <a:pPr marL="0" indent="0" algn="l"/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en-IN" sz="1200">
              <a:solidFill>
                <a:schemeClr val="tx1"/>
              </a:solidFill>
              <a:effectLst/>
            </a:rPr>
            <a:t>Investigate month-on-month (MoM) food inflation trends</a:t>
          </a:r>
        </a:p>
        <a:p>
          <a:pPr marL="0" indent="0" algn="l"/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en-IN" sz="1200">
              <a:solidFill>
                <a:schemeClr val="tx1"/>
              </a:solidFill>
              <a:effectLst/>
            </a:rPr>
            <a:t>Highlight the month with highest and lowest food inflation</a:t>
          </a:r>
        </a:p>
        <a:p>
          <a:pPr marL="0" indent="0" algn="l"/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en-IN" sz="1200">
              <a:solidFill>
                <a:schemeClr val="tx1"/>
              </a:solidFill>
              <a:effectLst/>
            </a:rPr>
            <a:t>Identify absolute change in food inflation over the period</a:t>
          </a:r>
        </a:p>
        <a:p>
          <a:pPr marL="0" indent="0" algn="l"/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en-IN" sz="1200">
              <a:solidFill>
                <a:schemeClr val="tx1"/>
              </a:solidFill>
              <a:effectLst/>
            </a:rPr>
            <a:t>Identify the biggest individual food sub-category contributor</a:t>
          </a:r>
        </a:p>
      </xdr:txBody>
    </xdr:sp>
    <xdr:clientData/>
  </xdr:twoCellAnchor>
  <xdr:twoCellAnchor editAs="absolute">
    <xdr:from>
      <xdr:col>0</xdr:col>
      <xdr:colOff>182880</xdr:colOff>
      <xdr:row>19</xdr:row>
      <xdr:rowOff>137160</xdr:rowOff>
    </xdr:from>
    <xdr:to>
      <xdr:col>8</xdr:col>
      <xdr:colOff>90780</xdr:colOff>
      <xdr:row>21</xdr:row>
      <xdr:rowOff>15240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AEAF3FD7-BCB9-4BEA-BDD9-99820CDEEFFC}"/>
            </a:ext>
          </a:extLst>
        </xdr:cNvPr>
        <xdr:cNvSpPr txBox="1"/>
      </xdr:nvSpPr>
      <xdr:spPr>
        <a:xfrm>
          <a:off x="182880" y="3611880"/>
          <a:ext cx="6804000" cy="243840"/>
        </a:xfrm>
        <a:prstGeom prst="rect">
          <a:avLst/>
        </a:prstGeom>
        <a:solidFill>
          <a:schemeClr val="accent2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200" b="1">
              <a:solidFill>
                <a:schemeClr val="bg1"/>
              </a:solidFill>
            </a:rPr>
            <a:t>1. OBJECTIVE</a:t>
          </a:r>
          <a:endParaRPr lang="en-IN" sz="1200" b="1" cap="all" baseline="0">
            <a:solidFill>
              <a:schemeClr val="bg1"/>
            </a:solidFill>
            <a:effectLst/>
          </a:endParaRPr>
        </a:p>
      </xdr:txBody>
    </xdr:sp>
    <xdr:clientData/>
  </xdr:twoCellAnchor>
  <xdr:twoCellAnchor editAs="absolute">
    <xdr:from>
      <xdr:col>8</xdr:col>
      <xdr:colOff>304800</xdr:colOff>
      <xdr:row>21</xdr:row>
      <xdr:rowOff>24936</xdr:rowOff>
    </xdr:from>
    <xdr:to>
      <xdr:col>16</xdr:col>
      <xdr:colOff>1085483</xdr:colOff>
      <xdr:row>29</xdr:row>
      <xdr:rowOff>1896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A5A4BE47-A0F4-CBC7-A39C-27F91F37BC80}"/>
            </a:ext>
          </a:extLst>
        </xdr:cNvPr>
        <xdr:cNvSpPr/>
      </xdr:nvSpPr>
      <xdr:spPr>
        <a:xfrm>
          <a:off x="7200900" y="3865416"/>
          <a:ext cx="6804000" cy="1440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b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en-IN" sz="12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Food inflation is calculated as the average CPI index of 12 food sub-categories within the broader Food category.</a:t>
          </a:r>
        </a:p>
        <a:p>
          <a:pPr marL="0" indent="0" algn="l"/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en-IN" sz="12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MoM Inflation (%) = [(This Month Index - Previous Month Index) / Previous Month Index) x 100</a:t>
          </a:r>
        </a:p>
        <a:p>
          <a:pPr marL="0" indent="0" algn="l"/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en-IN" sz="12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Formula Used:</a:t>
          </a:r>
        </a:p>
        <a:p>
          <a:pPr marL="0" indent="0" algn="l"/>
          <a:r>
            <a:rPr lang="en-IN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	=AVERAGE(SUMIFS(each Food sub-category index for selected sector &amp; date))</a:t>
          </a:r>
        </a:p>
        <a:p>
          <a:pPr marL="0" indent="0" algn="l"/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en-IN" sz="12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Period of Analysis: Jun 2022 to May 2023 (12 months)</a:t>
          </a:r>
        </a:p>
        <a:p>
          <a:pPr marL="0" indent="0" algn="l"/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en-IN" sz="12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Sectors: Rural, Urban, Rural+Urban</a:t>
          </a:r>
        </a:p>
      </xdr:txBody>
    </xdr:sp>
    <xdr:clientData/>
  </xdr:twoCellAnchor>
  <xdr:twoCellAnchor editAs="absolute">
    <xdr:from>
      <xdr:col>8</xdr:col>
      <xdr:colOff>304800</xdr:colOff>
      <xdr:row>19</xdr:row>
      <xdr:rowOff>139236</xdr:rowOff>
    </xdr:from>
    <xdr:to>
      <xdr:col>16</xdr:col>
      <xdr:colOff>1085483</xdr:colOff>
      <xdr:row>21</xdr:row>
      <xdr:rowOff>17316</xdr:rowOff>
    </xdr:to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9B2FCAAC-72CC-63B9-D668-9ADE757C4D99}"/>
            </a:ext>
          </a:extLst>
        </xdr:cNvPr>
        <xdr:cNvSpPr txBox="1"/>
      </xdr:nvSpPr>
      <xdr:spPr>
        <a:xfrm>
          <a:off x="7202978" y="3627118"/>
          <a:ext cx="6803307" cy="245225"/>
        </a:xfrm>
        <a:prstGeom prst="rect">
          <a:avLst/>
        </a:prstGeom>
        <a:solidFill>
          <a:schemeClr val="accent2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200" b="1">
              <a:solidFill>
                <a:schemeClr val="bg1"/>
              </a:solidFill>
            </a:rPr>
            <a:t>2. METHODOLOGY</a:t>
          </a:r>
          <a:endParaRPr lang="en-IN" sz="1200" b="1" cap="all" baseline="0">
            <a:solidFill>
              <a:schemeClr val="bg1"/>
            </a:solidFill>
            <a:effectLst/>
          </a:endParaRPr>
        </a:p>
      </xdr:txBody>
    </xdr:sp>
    <xdr:clientData/>
  </xdr:twoCellAnchor>
  <xdr:twoCellAnchor editAs="absolute">
    <xdr:from>
      <xdr:col>0</xdr:col>
      <xdr:colOff>190499</xdr:colOff>
      <xdr:row>30</xdr:row>
      <xdr:rowOff>7620</xdr:rowOff>
    </xdr:from>
    <xdr:to>
      <xdr:col>9</xdr:col>
      <xdr:colOff>69539</xdr:colOff>
      <xdr:row>31</xdr:row>
      <xdr:rowOff>4103</xdr:rowOff>
    </xdr:to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F764B7AE-D3E5-83C3-BED3-69C450D78B2B}"/>
            </a:ext>
          </a:extLst>
        </xdr:cNvPr>
        <xdr:cNvSpPr txBox="1"/>
      </xdr:nvSpPr>
      <xdr:spPr>
        <a:xfrm>
          <a:off x="190499" y="5524500"/>
          <a:ext cx="7560000" cy="240323"/>
        </a:xfrm>
        <a:prstGeom prst="rect">
          <a:avLst/>
        </a:prstGeom>
        <a:solidFill>
          <a:schemeClr val="accent2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200" b="1">
              <a:solidFill>
                <a:schemeClr val="bg1"/>
              </a:solidFill>
            </a:rPr>
            <a:t>3.</a:t>
          </a:r>
          <a:r>
            <a:rPr lang="en-IN" sz="1200" b="1" baseline="0">
              <a:solidFill>
                <a:schemeClr val="bg1"/>
              </a:solidFill>
            </a:rPr>
            <a:t> MONTH-ON-MONTH FOOD INFLATION TREND ( RURAL | URBAN | RURAL+URBAN )</a:t>
          </a:r>
          <a:endParaRPr lang="en-IN" sz="1200" b="1" cap="all" baseline="0">
            <a:solidFill>
              <a:schemeClr val="bg1"/>
            </a:solidFill>
            <a:effectLst/>
          </a:endParaRPr>
        </a:p>
      </xdr:txBody>
    </xdr:sp>
    <xdr:clientData/>
  </xdr:twoCellAnchor>
  <xdr:twoCellAnchor editAs="absolute">
    <xdr:from>
      <xdr:col>9</xdr:col>
      <xdr:colOff>259080</xdr:colOff>
      <xdr:row>30</xdr:row>
      <xdr:rowOff>10633</xdr:rowOff>
    </xdr:from>
    <xdr:to>
      <xdr:col>17</xdr:col>
      <xdr:colOff>9443</xdr:colOff>
      <xdr:row>31</xdr:row>
      <xdr:rowOff>5390</xdr:rowOff>
    </xdr:to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5DCCBACF-CC93-2D0F-A02F-5B1BA72CACAF}"/>
            </a:ext>
          </a:extLst>
        </xdr:cNvPr>
        <xdr:cNvSpPr txBox="1"/>
      </xdr:nvSpPr>
      <xdr:spPr>
        <a:xfrm>
          <a:off x="7940040" y="5527513"/>
          <a:ext cx="6082583" cy="238597"/>
        </a:xfrm>
        <a:prstGeom prst="rect">
          <a:avLst/>
        </a:prstGeom>
        <a:solidFill>
          <a:schemeClr val="accent2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200" b="1">
              <a:solidFill>
                <a:schemeClr val="bg1"/>
              </a:solidFill>
            </a:rPr>
            <a:t>4.</a:t>
          </a:r>
          <a:r>
            <a:rPr lang="en-IN" sz="1200" b="1" baseline="0">
              <a:solidFill>
                <a:schemeClr val="bg1"/>
              </a:solidFill>
            </a:rPr>
            <a:t> MONTH-ON-MONTH FOOD INFLATION TREND ( RURAL | URBAN | RURAL+URBAN )</a:t>
          </a:r>
          <a:endParaRPr lang="en-IN" sz="1200" b="1" cap="all" baseline="0">
            <a:solidFill>
              <a:schemeClr val="bg1"/>
            </a:solidFill>
            <a:effectLst/>
          </a:endParaRPr>
        </a:p>
      </xdr:txBody>
    </xdr:sp>
    <xdr:clientData/>
  </xdr:twoCellAnchor>
  <xdr:twoCellAnchor editAs="absolute">
    <xdr:from>
      <xdr:col>0</xdr:col>
      <xdr:colOff>190498</xdr:colOff>
      <xdr:row>46</xdr:row>
      <xdr:rowOff>24384</xdr:rowOff>
    </xdr:from>
    <xdr:to>
      <xdr:col>12</xdr:col>
      <xdr:colOff>730618</xdr:colOff>
      <xdr:row>47</xdr:row>
      <xdr:rowOff>81827</xdr:rowOff>
    </xdr:to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476118F0-3A92-35A1-024F-64E28EB3877B}"/>
            </a:ext>
          </a:extLst>
        </xdr:cNvPr>
        <xdr:cNvSpPr txBox="1"/>
      </xdr:nvSpPr>
      <xdr:spPr>
        <a:xfrm>
          <a:off x="190498" y="8528304"/>
          <a:ext cx="9943200" cy="240323"/>
        </a:xfrm>
        <a:prstGeom prst="rect">
          <a:avLst/>
        </a:prstGeom>
        <a:solidFill>
          <a:schemeClr val="accent2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200" b="1" cap="all" baseline="0">
              <a:solidFill>
                <a:schemeClr val="bg1"/>
              </a:solidFill>
              <a:latin typeface="+mn-lt"/>
              <a:ea typeface="+mn-ea"/>
              <a:cs typeface="+mn-cs"/>
            </a:rPr>
            <a:t>5. Absolute Change in Food Sub-Categories (Jun 2022 – May 2023)  RURAL | URBAN | RURAL+URBAN</a:t>
          </a:r>
        </a:p>
      </xdr:txBody>
    </xdr:sp>
    <xdr:clientData/>
  </xdr:twoCellAnchor>
  <xdr:twoCellAnchor editAs="absolute">
    <xdr:from>
      <xdr:col>13</xdr:col>
      <xdr:colOff>86164</xdr:colOff>
      <xdr:row>47</xdr:row>
      <xdr:rowOff>93516</xdr:rowOff>
    </xdr:from>
    <xdr:to>
      <xdr:col>17</xdr:col>
      <xdr:colOff>33923</xdr:colOff>
      <xdr:row>68</xdr:row>
      <xdr:rowOff>44823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8C6D91D2-19D1-0764-985C-89AB8BC8EBE7}"/>
            </a:ext>
          </a:extLst>
        </xdr:cNvPr>
        <xdr:cNvSpPr/>
      </xdr:nvSpPr>
      <xdr:spPr>
        <a:xfrm>
          <a:off x="10357924" y="8780316"/>
          <a:ext cx="3689179" cy="3791787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b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endParaRPr lang="en-IN" sz="1200" b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13</xdr:col>
      <xdr:colOff>80304</xdr:colOff>
      <xdr:row>46</xdr:row>
      <xdr:rowOff>24936</xdr:rowOff>
    </xdr:from>
    <xdr:to>
      <xdr:col>17</xdr:col>
      <xdr:colOff>33924</xdr:colOff>
      <xdr:row>47</xdr:row>
      <xdr:rowOff>85896</xdr:rowOff>
    </xdr:to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51303991-30CD-68EA-BF69-07DE66F55047}"/>
            </a:ext>
          </a:extLst>
        </xdr:cNvPr>
        <xdr:cNvSpPr txBox="1"/>
      </xdr:nvSpPr>
      <xdr:spPr>
        <a:xfrm>
          <a:off x="10351478" y="8477274"/>
          <a:ext cx="3695626" cy="242668"/>
        </a:xfrm>
        <a:prstGeom prst="rect">
          <a:avLst/>
        </a:prstGeom>
        <a:solidFill>
          <a:schemeClr val="accent2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200" b="1">
              <a:solidFill>
                <a:schemeClr val="bg1"/>
              </a:solidFill>
            </a:rPr>
            <a:t>6. BIGGEST</a:t>
          </a:r>
          <a:r>
            <a:rPr lang="en-IN" sz="1200" b="1" baseline="0">
              <a:solidFill>
                <a:schemeClr val="bg1"/>
              </a:solidFill>
            </a:rPr>
            <a:t> INDIVIDUAL FOOD CATEGORY</a:t>
          </a:r>
          <a:endParaRPr lang="en-IN" sz="1200" b="1" cap="all" baseline="0">
            <a:solidFill>
              <a:schemeClr val="bg1"/>
            </a:solidFill>
            <a:effectLst/>
          </a:endParaRPr>
        </a:p>
      </xdr:txBody>
    </xdr:sp>
    <xdr:clientData/>
  </xdr:twoCellAnchor>
  <xdr:twoCellAnchor>
    <xdr:from>
      <xdr:col>14</xdr:col>
      <xdr:colOff>632460</xdr:colOff>
      <xdr:row>47</xdr:row>
      <xdr:rowOff>175260</xdr:rowOff>
    </xdr:from>
    <xdr:to>
      <xdr:col>16</xdr:col>
      <xdr:colOff>609600</xdr:colOff>
      <xdr:row>50</xdr:row>
      <xdr:rowOff>114300</xdr:rowOff>
    </xdr:to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11799F3A-D5B5-58BD-FA22-4608BF018042}"/>
            </a:ext>
          </a:extLst>
        </xdr:cNvPr>
        <xdr:cNvSpPr txBox="1"/>
      </xdr:nvSpPr>
      <xdr:spPr>
        <a:xfrm>
          <a:off x="11818620" y="8862060"/>
          <a:ext cx="1706880" cy="4876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400" b="1">
              <a:solidFill>
                <a:schemeClr val="accent2">
                  <a:lumMod val="75000"/>
                </a:schemeClr>
              </a:solidFill>
            </a:rPr>
            <a:t>Spices</a:t>
          </a:r>
          <a:endParaRPr lang="en-IN" sz="1100" b="1">
            <a:solidFill>
              <a:schemeClr val="accent2">
                <a:lumMod val="75000"/>
              </a:schemeClr>
            </a:solidFill>
          </a:endParaRPr>
        </a:p>
      </xdr:txBody>
    </xdr:sp>
    <xdr:clientData/>
  </xdr:twoCellAnchor>
  <xdr:twoCellAnchor>
    <xdr:from>
      <xdr:col>14</xdr:col>
      <xdr:colOff>365760</xdr:colOff>
      <xdr:row>50</xdr:row>
      <xdr:rowOff>83820</xdr:rowOff>
    </xdr:from>
    <xdr:to>
      <xdr:col>16</xdr:col>
      <xdr:colOff>960120</xdr:colOff>
      <xdr:row>54</xdr:row>
      <xdr:rowOff>22860</xdr:rowOff>
    </xdr:to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56E89D70-896B-E8E4-88F3-DFB418C655DB}"/>
            </a:ext>
          </a:extLst>
        </xdr:cNvPr>
        <xdr:cNvSpPr txBox="1"/>
      </xdr:nvSpPr>
      <xdr:spPr>
        <a:xfrm>
          <a:off x="11559540" y="9319260"/>
          <a:ext cx="2324100" cy="670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2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Spices recorded the largest absolute CPI index increase over the period. </a:t>
          </a:r>
          <a:r>
            <a:rPr lang="en-IN" sz="1200" b="1" baseline="0"/>
            <a:t>(Jun 2022 - May 2023)</a:t>
          </a:r>
          <a:endParaRPr lang="en-IN" sz="1200" b="1"/>
        </a:p>
      </xdr:txBody>
    </xdr:sp>
    <xdr:clientData/>
  </xdr:twoCellAnchor>
  <xdr:twoCellAnchor editAs="absolute">
    <xdr:from>
      <xdr:col>13</xdr:col>
      <xdr:colOff>275556</xdr:colOff>
      <xdr:row>59</xdr:row>
      <xdr:rowOff>87630</xdr:rowOff>
    </xdr:from>
    <xdr:to>
      <xdr:col>14</xdr:col>
      <xdr:colOff>361536</xdr:colOff>
      <xdr:row>66</xdr:row>
      <xdr:rowOff>117870</xdr:rowOff>
    </xdr:to>
    <xdr:sp macro="" textlink="">
      <xdr:nvSpPr>
        <xdr:cNvPr id="76" name="Rectangle: Rounded Corners 75">
          <a:extLst>
            <a:ext uri="{FF2B5EF4-FFF2-40B4-BE49-F238E27FC236}">
              <a16:creationId xmlns:a16="http://schemas.microsoft.com/office/drawing/2014/main" id="{605F77D5-E659-901C-986C-01761DBD132B}"/>
            </a:ext>
          </a:extLst>
        </xdr:cNvPr>
        <xdr:cNvSpPr/>
      </xdr:nvSpPr>
      <xdr:spPr>
        <a:xfrm>
          <a:off x="10547316" y="10968990"/>
          <a:ext cx="1008000" cy="1310400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absolute">
    <xdr:from>
      <xdr:col>14</xdr:col>
      <xdr:colOff>515586</xdr:colOff>
      <xdr:row>59</xdr:row>
      <xdr:rowOff>87630</xdr:rowOff>
    </xdr:from>
    <xdr:to>
      <xdr:col>15</xdr:col>
      <xdr:colOff>738726</xdr:colOff>
      <xdr:row>66</xdr:row>
      <xdr:rowOff>117870</xdr:rowOff>
    </xdr:to>
    <xdr:sp macro="" textlink="">
      <xdr:nvSpPr>
        <xdr:cNvPr id="77" name="Rectangle: Rounded Corners 76">
          <a:extLst>
            <a:ext uri="{FF2B5EF4-FFF2-40B4-BE49-F238E27FC236}">
              <a16:creationId xmlns:a16="http://schemas.microsoft.com/office/drawing/2014/main" id="{18480009-AB19-3A2C-4FCD-3B3B65484103}"/>
            </a:ext>
          </a:extLst>
        </xdr:cNvPr>
        <xdr:cNvSpPr/>
      </xdr:nvSpPr>
      <xdr:spPr>
        <a:xfrm>
          <a:off x="11709366" y="10968990"/>
          <a:ext cx="1008000" cy="1310400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15</xdr:col>
      <xdr:colOff>892776</xdr:colOff>
      <xdr:row>59</xdr:row>
      <xdr:rowOff>87630</xdr:rowOff>
    </xdr:from>
    <xdr:to>
      <xdr:col>16</xdr:col>
      <xdr:colOff>955896</xdr:colOff>
      <xdr:row>66</xdr:row>
      <xdr:rowOff>117870</xdr:rowOff>
    </xdr:to>
    <xdr:sp macro="" textlink="">
      <xdr:nvSpPr>
        <xdr:cNvPr id="78" name="Rectangle: Rounded Corners 77">
          <a:extLst>
            <a:ext uri="{FF2B5EF4-FFF2-40B4-BE49-F238E27FC236}">
              <a16:creationId xmlns:a16="http://schemas.microsoft.com/office/drawing/2014/main" id="{FC9FDDC7-5D40-F0DA-1FAE-8058AE7EA6F9}"/>
            </a:ext>
          </a:extLst>
        </xdr:cNvPr>
        <xdr:cNvSpPr/>
      </xdr:nvSpPr>
      <xdr:spPr>
        <a:xfrm>
          <a:off x="12871416" y="10968990"/>
          <a:ext cx="1008000" cy="1310400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320040</xdr:colOff>
      <xdr:row>55</xdr:row>
      <xdr:rowOff>53340</xdr:rowOff>
    </xdr:from>
    <xdr:to>
      <xdr:col>16</xdr:col>
      <xdr:colOff>922020</xdr:colOff>
      <xdr:row>55</xdr:row>
      <xdr:rowOff>53340</xdr:rowOff>
    </xdr:to>
    <xdr:cxnSp macro="">
      <xdr:nvCxnSpPr>
        <xdr:cNvPr id="80" name="Straight Connector 79">
          <a:extLst>
            <a:ext uri="{FF2B5EF4-FFF2-40B4-BE49-F238E27FC236}">
              <a16:creationId xmlns:a16="http://schemas.microsoft.com/office/drawing/2014/main" id="{4CA33C95-5AB9-6C49-17DF-D04C9AE45DC1}"/>
            </a:ext>
          </a:extLst>
        </xdr:cNvPr>
        <xdr:cNvCxnSpPr/>
      </xdr:nvCxnSpPr>
      <xdr:spPr>
        <a:xfrm>
          <a:off x="10584180" y="10203180"/>
          <a:ext cx="3253740" cy="0"/>
        </a:xfrm>
        <a:prstGeom prst="line">
          <a:avLst/>
        </a:prstGeom>
        <a:ln>
          <a:noFill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327660</xdr:colOff>
      <xdr:row>55</xdr:row>
      <xdr:rowOff>76200</xdr:rowOff>
    </xdr:from>
    <xdr:to>
      <xdr:col>16</xdr:col>
      <xdr:colOff>914400</xdr:colOff>
      <xdr:row>58</xdr:row>
      <xdr:rowOff>15240</xdr:rowOff>
    </xdr:to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6C7C32F0-5D76-6342-6668-AFDA1037C0D5}"/>
            </a:ext>
          </a:extLst>
        </xdr:cNvPr>
        <xdr:cNvSpPr txBox="1"/>
      </xdr:nvSpPr>
      <xdr:spPr>
        <a:xfrm>
          <a:off x="10591800" y="10226040"/>
          <a:ext cx="3238500" cy="4876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800" b="1">
              <a:solidFill>
                <a:schemeClr val="accent2">
                  <a:lumMod val="75000"/>
                </a:schemeClr>
              </a:solidFill>
            </a:rPr>
            <a:t>Contribution</a:t>
          </a:r>
          <a:r>
            <a:rPr lang="en-IN" sz="1800" b="1" baseline="0">
              <a:solidFill>
                <a:schemeClr val="accent2">
                  <a:lumMod val="75000"/>
                </a:schemeClr>
              </a:solidFill>
            </a:rPr>
            <a:t> (Absolute Change)</a:t>
          </a:r>
          <a:endParaRPr lang="en-IN" sz="1000" b="1">
            <a:solidFill>
              <a:schemeClr val="accent2">
                <a:lumMod val="75000"/>
              </a:schemeClr>
            </a:solidFill>
          </a:endParaRPr>
        </a:p>
      </xdr:txBody>
    </xdr:sp>
    <xdr:clientData/>
  </xdr:twoCellAnchor>
  <xdr:twoCellAnchor>
    <xdr:from>
      <xdr:col>13</xdr:col>
      <xdr:colOff>304800</xdr:colOff>
      <xdr:row>59</xdr:row>
      <xdr:rowOff>175260</xdr:rowOff>
    </xdr:from>
    <xdr:to>
      <xdr:col>14</xdr:col>
      <xdr:colOff>335280</xdr:colOff>
      <xdr:row>61</xdr:row>
      <xdr:rowOff>152400</xdr:rowOff>
    </xdr:to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34370C10-7AC3-0A8F-5940-9028DBE9E862}"/>
            </a:ext>
          </a:extLst>
        </xdr:cNvPr>
        <xdr:cNvSpPr txBox="1"/>
      </xdr:nvSpPr>
      <xdr:spPr>
        <a:xfrm>
          <a:off x="10568940" y="11056620"/>
          <a:ext cx="952500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 b="1">
              <a:solidFill>
                <a:schemeClr val="tx1"/>
              </a:solidFill>
            </a:rPr>
            <a:t>Rural</a:t>
          </a:r>
        </a:p>
      </xdr:txBody>
    </xdr:sp>
    <xdr:clientData/>
  </xdr:twoCellAnchor>
  <xdr:twoCellAnchor>
    <xdr:from>
      <xdr:col>14</xdr:col>
      <xdr:colOff>548640</xdr:colOff>
      <xdr:row>59</xdr:row>
      <xdr:rowOff>175260</xdr:rowOff>
    </xdr:from>
    <xdr:to>
      <xdr:col>15</xdr:col>
      <xdr:colOff>716280</xdr:colOff>
      <xdr:row>61</xdr:row>
      <xdr:rowOff>152400</xdr:rowOff>
    </xdr:to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03530F00-11F0-4ABE-8668-7A1FF35F93EF}"/>
            </a:ext>
          </a:extLst>
        </xdr:cNvPr>
        <xdr:cNvSpPr txBox="1"/>
      </xdr:nvSpPr>
      <xdr:spPr>
        <a:xfrm>
          <a:off x="11734800" y="11056620"/>
          <a:ext cx="952500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 b="1">
              <a:solidFill>
                <a:schemeClr val="tx1"/>
              </a:solidFill>
            </a:rPr>
            <a:t>Urban</a:t>
          </a:r>
        </a:p>
      </xdr:txBody>
    </xdr:sp>
    <xdr:clientData/>
  </xdr:twoCellAnchor>
  <xdr:twoCellAnchor>
    <xdr:from>
      <xdr:col>15</xdr:col>
      <xdr:colOff>914400</xdr:colOff>
      <xdr:row>59</xdr:row>
      <xdr:rowOff>175260</xdr:rowOff>
    </xdr:from>
    <xdr:to>
      <xdr:col>16</xdr:col>
      <xdr:colOff>922020</xdr:colOff>
      <xdr:row>61</xdr:row>
      <xdr:rowOff>152400</xdr:rowOff>
    </xdr:to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7161D2A3-94CC-976B-5F9A-18120273345D}"/>
            </a:ext>
          </a:extLst>
        </xdr:cNvPr>
        <xdr:cNvSpPr txBox="1"/>
      </xdr:nvSpPr>
      <xdr:spPr>
        <a:xfrm>
          <a:off x="12885420" y="11056620"/>
          <a:ext cx="952500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n-IN" sz="1200" b="1">
              <a:solidFill>
                <a:schemeClr val="tx1"/>
              </a:solidFill>
            </a:rPr>
            <a:t>Rural+Urban</a:t>
          </a:r>
        </a:p>
      </xdr:txBody>
    </xdr:sp>
    <xdr:clientData/>
  </xdr:twoCellAnchor>
  <xdr:twoCellAnchor>
    <xdr:from>
      <xdr:col>13</xdr:col>
      <xdr:colOff>289560</xdr:colOff>
      <xdr:row>62</xdr:row>
      <xdr:rowOff>83820</xdr:rowOff>
    </xdr:from>
    <xdr:to>
      <xdr:col>14</xdr:col>
      <xdr:colOff>365760</xdr:colOff>
      <xdr:row>65</xdr:row>
      <xdr:rowOff>22860</xdr:rowOff>
    </xdr:to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402EA15F-25E5-B274-F7A0-AD85B81FA6FE}"/>
            </a:ext>
          </a:extLst>
        </xdr:cNvPr>
        <xdr:cNvSpPr txBox="1"/>
      </xdr:nvSpPr>
      <xdr:spPr>
        <a:xfrm>
          <a:off x="10553700" y="11513820"/>
          <a:ext cx="998220" cy="4876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400" b="1">
              <a:solidFill>
                <a:schemeClr val="tx1"/>
              </a:solidFill>
            </a:rPr>
            <a:t>32.1</a:t>
          </a:r>
          <a:endParaRPr lang="en-IN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548640</xdr:colOff>
      <xdr:row>62</xdr:row>
      <xdr:rowOff>106680</xdr:rowOff>
    </xdr:from>
    <xdr:to>
      <xdr:col>15</xdr:col>
      <xdr:colOff>762000</xdr:colOff>
      <xdr:row>65</xdr:row>
      <xdr:rowOff>45720</xdr:rowOff>
    </xdr:to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455E347A-C288-4268-766D-704DA84A1D89}"/>
            </a:ext>
          </a:extLst>
        </xdr:cNvPr>
        <xdr:cNvSpPr txBox="1"/>
      </xdr:nvSpPr>
      <xdr:spPr>
        <a:xfrm>
          <a:off x="11734800" y="11536680"/>
          <a:ext cx="998220" cy="4876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400" b="1">
              <a:solidFill>
                <a:schemeClr val="tx1"/>
              </a:solidFill>
              <a:latin typeface="+mn-lt"/>
              <a:ea typeface="+mn-ea"/>
              <a:cs typeface="+mn-cs"/>
            </a:rPr>
            <a:t>28.4</a:t>
          </a:r>
          <a:endParaRPr lang="en-IN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16</xdr:col>
      <xdr:colOff>0</xdr:colOff>
      <xdr:row>62</xdr:row>
      <xdr:rowOff>129540</xdr:rowOff>
    </xdr:from>
    <xdr:to>
      <xdr:col>16</xdr:col>
      <xdr:colOff>998220</xdr:colOff>
      <xdr:row>65</xdr:row>
      <xdr:rowOff>68580</xdr:rowOff>
    </xdr:to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9052050A-2349-E2F9-D3F6-A722A1456569}"/>
            </a:ext>
          </a:extLst>
        </xdr:cNvPr>
        <xdr:cNvSpPr txBox="1"/>
      </xdr:nvSpPr>
      <xdr:spPr>
        <a:xfrm>
          <a:off x="12915900" y="11559540"/>
          <a:ext cx="998220" cy="4876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400" b="1">
              <a:solidFill>
                <a:schemeClr val="tx1"/>
              </a:solidFill>
            </a:rPr>
            <a:t>30.9</a:t>
          </a:r>
          <a:endParaRPr lang="en-IN" sz="1100" b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0</xdr:colOff>
      <xdr:row>70</xdr:row>
      <xdr:rowOff>152400</xdr:rowOff>
    </xdr:from>
    <xdr:to>
      <xdr:col>8</xdr:col>
      <xdr:colOff>113640</xdr:colOff>
      <xdr:row>77</xdr:row>
      <xdr:rowOff>45720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328DBF12-9C25-B2E2-18D2-F3355D329FC2}"/>
            </a:ext>
          </a:extLst>
        </xdr:cNvPr>
        <xdr:cNvSpPr/>
      </xdr:nvSpPr>
      <xdr:spPr>
        <a:xfrm>
          <a:off x="205740" y="13045440"/>
          <a:ext cx="6804000" cy="117348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IN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en-IN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Food inflation peaked in Jun-2022 (1.04%) and hit the lowest in Feb-2023 (-0.66%)</a:t>
          </a:r>
          <a:r>
            <a:rPr lang="en-IN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(Rural+Urban)</a:t>
          </a:r>
          <a:endParaRPr lang="en-IN" sz="12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indent="0" algn="l"/>
          <a:r>
            <a:rPr lang="en-IN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en-IN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Overall, Rural + Urban food inflation showed a slight net decline of 0.28 percentage points from Jun-2022 to May-2023.</a:t>
          </a:r>
        </a:p>
        <a:p>
          <a:pPr marL="0" indent="0" algn="l"/>
          <a:r>
            <a:rPr lang="en-IN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en-IN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Spices, Cereals &amp; Milk &amp; products drove the inflation up the most, while Vegetables and Oils &amp; Fats saw the sharpest decline.</a:t>
          </a:r>
        </a:p>
      </xdr:txBody>
    </xdr:sp>
    <xdr:clientData/>
  </xdr:twoCellAnchor>
  <xdr:twoCellAnchor editAs="absolute">
    <xdr:from>
      <xdr:col>1</xdr:col>
      <xdr:colOff>0</xdr:colOff>
      <xdr:row>69</xdr:row>
      <xdr:rowOff>83820</xdr:rowOff>
    </xdr:from>
    <xdr:to>
      <xdr:col>8</xdr:col>
      <xdr:colOff>113640</xdr:colOff>
      <xdr:row>70</xdr:row>
      <xdr:rowOff>144780</xdr:rowOff>
    </xdr:to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5CE63565-A8E7-4D19-C131-D432FFC2DC30}"/>
            </a:ext>
          </a:extLst>
        </xdr:cNvPr>
        <xdr:cNvSpPr txBox="1"/>
      </xdr:nvSpPr>
      <xdr:spPr>
        <a:xfrm>
          <a:off x="205740" y="12793980"/>
          <a:ext cx="6804000" cy="243840"/>
        </a:xfrm>
        <a:prstGeom prst="rect">
          <a:avLst/>
        </a:prstGeom>
        <a:solidFill>
          <a:schemeClr val="accent2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200" b="1">
              <a:solidFill>
                <a:schemeClr val="bg1"/>
              </a:solidFill>
            </a:rPr>
            <a:t>7. KEY INSIGHTS</a:t>
          </a:r>
          <a:endParaRPr lang="en-IN" sz="1200" b="1" cap="all" baseline="0">
            <a:solidFill>
              <a:schemeClr val="bg1"/>
            </a:solidFill>
            <a:effectLst/>
          </a:endParaRPr>
        </a:p>
      </xdr:txBody>
    </xdr:sp>
    <xdr:clientData/>
  </xdr:twoCellAnchor>
  <xdr:twoCellAnchor editAs="absolute">
    <xdr:from>
      <xdr:col>8</xdr:col>
      <xdr:colOff>327660</xdr:colOff>
      <xdr:row>70</xdr:row>
      <xdr:rowOff>154476</xdr:rowOff>
    </xdr:from>
    <xdr:to>
      <xdr:col>17</xdr:col>
      <xdr:colOff>18683</xdr:colOff>
      <xdr:row>77</xdr:row>
      <xdr:rowOff>45720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DBC08752-2EEF-23E3-7FD2-2F1B49739112}"/>
            </a:ext>
          </a:extLst>
        </xdr:cNvPr>
        <xdr:cNvSpPr/>
      </xdr:nvSpPr>
      <xdr:spPr>
        <a:xfrm>
          <a:off x="7223760" y="13047516"/>
          <a:ext cx="6808103" cy="1171404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b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IN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en-IN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MoM Inflation (%) = [(CPI Index (This Month) - CPI Index (Previous Month)) / CPI Index (Previous Month)] × 100</a:t>
          </a:r>
        </a:p>
        <a:p>
          <a:pPr marL="0" indent="0" algn="l"/>
          <a:r>
            <a:rPr lang="en-IN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en-IN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Food Categories include: Cereals &amp; products, Meat &amp; fish, Egg, Milk &amp; products, Oils &amp; fats, Fruits, Vegetables, Pulses &amp; products, Sugar &amp; Confectionery, Spices, Non-alcoholic beverages, Prepared meals, snacks, sweets etc.</a:t>
          </a:r>
        </a:p>
      </xdr:txBody>
    </xdr:sp>
    <xdr:clientData/>
  </xdr:twoCellAnchor>
  <xdr:twoCellAnchor editAs="absolute">
    <xdr:from>
      <xdr:col>8</xdr:col>
      <xdr:colOff>327660</xdr:colOff>
      <xdr:row>69</xdr:row>
      <xdr:rowOff>85896</xdr:rowOff>
    </xdr:from>
    <xdr:to>
      <xdr:col>17</xdr:col>
      <xdr:colOff>18683</xdr:colOff>
      <xdr:row>70</xdr:row>
      <xdr:rowOff>146856</xdr:rowOff>
    </xdr:to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68CA58D6-111D-8072-94E6-902C23E07490}"/>
            </a:ext>
          </a:extLst>
        </xdr:cNvPr>
        <xdr:cNvSpPr txBox="1"/>
      </xdr:nvSpPr>
      <xdr:spPr>
        <a:xfrm>
          <a:off x="7223760" y="12796056"/>
          <a:ext cx="6808103" cy="243840"/>
        </a:xfrm>
        <a:prstGeom prst="rect">
          <a:avLst/>
        </a:prstGeom>
        <a:solidFill>
          <a:schemeClr val="accent2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200" b="1">
              <a:solidFill>
                <a:schemeClr val="bg1"/>
              </a:solidFill>
            </a:rPr>
            <a:t>8. NOTES &amp; DEFINITIONS</a:t>
          </a:r>
          <a:endParaRPr lang="en-IN" sz="1200" b="1" cap="all" baseline="0">
            <a:solidFill>
              <a:schemeClr val="bg1"/>
            </a:solidFill>
            <a:effectLst/>
          </a:endParaRPr>
        </a:p>
      </xdr:txBody>
    </xdr:sp>
    <xdr:clientData/>
  </xdr:twoCellAnchor>
  <xdr:twoCellAnchor editAs="absolute">
    <xdr:from>
      <xdr:col>1</xdr:col>
      <xdr:colOff>0</xdr:colOff>
      <xdr:row>78</xdr:row>
      <xdr:rowOff>76200</xdr:rowOff>
    </xdr:from>
    <xdr:to>
      <xdr:col>14</xdr:col>
      <xdr:colOff>6626</xdr:colOff>
      <xdr:row>80</xdr:row>
      <xdr:rowOff>7620</xdr:rowOff>
    </xdr:to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AD29A435-4D5E-68D7-BB7B-E92EED708374}"/>
            </a:ext>
          </a:extLst>
        </xdr:cNvPr>
        <xdr:cNvSpPr txBox="1"/>
      </xdr:nvSpPr>
      <xdr:spPr>
        <a:xfrm>
          <a:off x="205409" y="14633713"/>
          <a:ext cx="10992678" cy="249472"/>
        </a:xfrm>
        <a:prstGeom prst="rect">
          <a:avLst/>
        </a:prstGeom>
        <a:solidFill>
          <a:schemeClr val="accent2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N" sz="1200" b="1">
              <a:solidFill>
                <a:schemeClr val="bg1"/>
              </a:solidFill>
              <a:latin typeface="+mn-lt"/>
              <a:ea typeface="+mn-ea"/>
              <a:cs typeface="+mn-cs"/>
            </a:rPr>
            <a:t>9. Supporting Calculation Data for Q3 Analysis (Sources from Cleaned_data)</a:t>
          </a:r>
        </a:p>
      </xdr:txBody>
    </xdr:sp>
    <xdr:clientData/>
  </xdr:twoCellAnchor>
  <xdr:twoCellAnchor editAs="oneCell">
    <xdr:from>
      <xdr:col>1</xdr:col>
      <xdr:colOff>716280</xdr:colOff>
      <xdr:row>6</xdr:row>
      <xdr:rowOff>144780</xdr:rowOff>
    </xdr:from>
    <xdr:to>
      <xdr:col>1</xdr:col>
      <xdr:colOff>1148280</xdr:colOff>
      <xdr:row>9</xdr:row>
      <xdr:rowOff>28140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1D39A27E-223A-5C31-8339-82FD51F49F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duotone>
            <a:schemeClr val="accent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2020" y="1242060"/>
          <a:ext cx="432000" cy="4320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5</xdr:col>
      <xdr:colOff>822960</xdr:colOff>
      <xdr:row>7</xdr:row>
      <xdr:rowOff>15240</xdr:rowOff>
    </xdr:from>
    <xdr:to>
      <xdr:col>6</xdr:col>
      <xdr:colOff>58620</xdr:colOff>
      <xdr:row>9</xdr:row>
      <xdr:rowOff>81480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C126C95B-269E-6AC7-5961-C3A279669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duotone>
            <a:schemeClr val="accent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62600" y="1295400"/>
          <a:ext cx="432000" cy="4320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845820</xdr:colOff>
      <xdr:row>6</xdr:row>
      <xdr:rowOff>175260</xdr:rowOff>
    </xdr:from>
    <xdr:to>
      <xdr:col>13</xdr:col>
      <xdr:colOff>409140</xdr:colOff>
      <xdr:row>9</xdr:row>
      <xdr:rowOff>58620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872214B9-6AFE-BA9D-15AA-873C31A2EB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duotone>
            <a:schemeClr val="accent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48900" y="1272540"/>
          <a:ext cx="432000" cy="4320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13</xdr:col>
      <xdr:colOff>388620</xdr:colOff>
      <xdr:row>49</xdr:row>
      <xdr:rowOff>53340</xdr:rowOff>
    </xdr:from>
    <xdr:to>
      <xdr:col>14</xdr:col>
      <xdr:colOff>294600</xdr:colOff>
      <xdr:row>53</xdr:row>
      <xdr:rowOff>149820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AB794630-0BEC-BE83-F375-CA15D519E1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duotone>
            <a:schemeClr val="accent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0380" y="9105900"/>
          <a:ext cx="828000" cy="82800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7620</xdr:colOff>
      <xdr:row>33</xdr:row>
      <xdr:rowOff>106680</xdr:rowOff>
    </xdr:from>
    <xdr:to>
      <xdr:col>7</xdr:col>
      <xdr:colOff>24840</xdr:colOff>
      <xdr:row>57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1A8FA9-5DA7-0097-0559-E768AF0D1C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114300</xdr:colOff>
      <xdr:row>1</xdr:row>
      <xdr:rowOff>171226</xdr:rowOff>
    </xdr:from>
    <xdr:to>
      <xdr:col>4</xdr:col>
      <xdr:colOff>1432560</xdr:colOff>
      <xdr:row>4</xdr:row>
      <xdr:rowOff>21309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7DEBEB8E-CF8B-4E17-A86A-23A73C083C4C}"/>
            </a:ext>
          </a:extLst>
        </xdr:cNvPr>
        <xdr:cNvSpPr/>
      </xdr:nvSpPr>
      <xdr:spPr>
        <a:xfrm>
          <a:off x="114300" y="354106"/>
          <a:ext cx="4754880" cy="39872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IN" sz="1200" b="1" i="1">
              <a:solidFill>
                <a:schemeClr val="accent2"/>
              </a:solidFill>
            </a:rPr>
            <a:t>YoY Comparison</a:t>
          </a:r>
          <a:r>
            <a:rPr lang="en-IN" sz="1200" b="1" i="1" baseline="0">
              <a:solidFill>
                <a:schemeClr val="accent2"/>
              </a:solidFill>
            </a:rPr>
            <a:t> (Rural | Urban | Rural+Urban) Mar 2017 - Mar 2023</a:t>
          </a:r>
          <a:endParaRPr lang="en-IN" sz="1200" b="1" i="1">
            <a:solidFill>
              <a:schemeClr val="accent2"/>
            </a:solidFill>
          </a:endParaRPr>
        </a:p>
      </xdr:txBody>
    </xdr:sp>
    <xdr:clientData/>
  </xdr:twoCellAnchor>
  <xdr:twoCellAnchor editAs="absolute">
    <xdr:from>
      <xdr:col>0</xdr:col>
      <xdr:colOff>114300</xdr:colOff>
      <xdr:row>0</xdr:row>
      <xdr:rowOff>99060</xdr:rowOff>
    </xdr:from>
    <xdr:to>
      <xdr:col>4</xdr:col>
      <xdr:colOff>1287780</xdr:colOff>
      <xdr:row>2</xdr:row>
      <xdr:rowOff>132023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18CBFB81-58EF-4FE4-97A3-7A754AF32CF2}"/>
            </a:ext>
          </a:extLst>
        </xdr:cNvPr>
        <xdr:cNvSpPr/>
      </xdr:nvSpPr>
      <xdr:spPr>
        <a:xfrm>
          <a:off x="114300" y="99060"/>
          <a:ext cx="4610100" cy="39872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IN" sz="2400" b="1">
              <a:solidFill>
                <a:schemeClr val="accent2"/>
              </a:solidFill>
            </a:rPr>
            <a:t>Q4 -</a:t>
          </a:r>
          <a:r>
            <a:rPr lang="en-IN" sz="2400" b="1" baseline="0">
              <a:solidFill>
                <a:schemeClr val="accent2"/>
              </a:solidFill>
            </a:rPr>
            <a:t> COVID-19 Impact on Inflation</a:t>
          </a:r>
          <a:endParaRPr lang="en-IN" sz="2400" b="1">
            <a:solidFill>
              <a:schemeClr val="accent2"/>
            </a:solidFill>
          </a:endParaRPr>
        </a:p>
      </xdr:txBody>
    </xdr:sp>
    <xdr:clientData/>
  </xdr:twoCellAnchor>
  <xdr:twoCellAnchor editAs="absolute">
    <xdr:from>
      <xdr:col>7</xdr:col>
      <xdr:colOff>930191</xdr:colOff>
      <xdr:row>1</xdr:row>
      <xdr:rowOff>38100</xdr:rowOff>
    </xdr:from>
    <xdr:to>
      <xdr:col>10</xdr:col>
      <xdr:colOff>286491</xdr:colOff>
      <xdr:row>4</xdr:row>
      <xdr:rowOff>105784</xdr:rowOff>
    </xdr:to>
    <xdr:sp macro="" textlink="">
      <xdr:nvSpPr>
        <xdr:cNvPr id="12" name="Rectangle: Rounded Corners 1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FF2EFFE-E2ED-4EDA-8E1B-F27B979BBC5C}"/>
            </a:ext>
          </a:extLst>
        </xdr:cNvPr>
        <xdr:cNvSpPr/>
      </xdr:nvSpPr>
      <xdr:spPr>
        <a:xfrm>
          <a:off x="10409471" y="220980"/>
          <a:ext cx="3577780" cy="616324"/>
        </a:xfrm>
        <a:prstGeom prst="roundRect">
          <a:avLst/>
        </a:prstGeom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400" b="1">
              <a:solidFill>
                <a:schemeClr val="accent2"/>
              </a:solidFill>
            </a:rPr>
            <a:t>← Back to Dashboard</a:t>
          </a:r>
        </a:p>
      </xdr:txBody>
    </xdr:sp>
    <xdr:clientData/>
  </xdr:twoCellAnchor>
  <xdr:twoCellAnchor editAs="absolute">
    <xdr:from>
      <xdr:col>1</xdr:col>
      <xdr:colOff>7620</xdr:colOff>
      <xdr:row>5</xdr:row>
      <xdr:rowOff>144780</xdr:rowOff>
    </xdr:from>
    <xdr:to>
      <xdr:col>5</xdr:col>
      <xdr:colOff>1881480</xdr:colOff>
      <xdr:row>18</xdr:row>
      <xdr:rowOff>30480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58F3E563-A603-4BF1-9EF8-A41F76AEDF8C}"/>
            </a:ext>
          </a:extLst>
        </xdr:cNvPr>
        <xdr:cNvSpPr/>
      </xdr:nvSpPr>
      <xdr:spPr>
        <a:xfrm>
          <a:off x="198120" y="1059180"/>
          <a:ext cx="6804000" cy="226314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endParaRPr lang="en-IN" sz="1400">
            <a:solidFill>
              <a:schemeClr val="accent2">
                <a:lumMod val="75000"/>
              </a:schemeClr>
            </a:solidFill>
            <a:effectLst/>
          </a:endParaRPr>
        </a:p>
      </xdr:txBody>
    </xdr:sp>
    <xdr:clientData/>
  </xdr:twoCellAnchor>
  <xdr:twoCellAnchor editAs="absolute">
    <xdr:from>
      <xdr:col>1</xdr:col>
      <xdr:colOff>60960</xdr:colOff>
      <xdr:row>5</xdr:row>
      <xdr:rowOff>152400</xdr:rowOff>
    </xdr:from>
    <xdr:to>
      <xdr:col>5</xdr:col>
      <xdr:colOff>1813560</xdr:colOff>
      <xdr:row>8</xdr:row>
      <xdr:rowOff>114300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F6330E90-C036-4C24-9CAF-B1AE3F2B7511}"/>
            </a:ext>
          </a:extLst>
        </xdr:cNvPr>
        <xdr:cNvSpPr txBox="1"/>
      </xdr:nvSpPr>
      <xdr:spPr>
        <a:xfrm>
          <a:off x="251460" y="1066800"/>
          <a:ext cx="6682740" cy="5105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200" b="1">
              <a:solidFill>
                <a:srgbClr val="00B050"/>
              </a:solidFill>
            </a:rPr>
            <a:t>Average YoY</a:t>
          </a:r>
          <a:r>
            <a:rPr lang="en-IN" sz="1200" b="1" baseline="0">
              <a:solidFill>
                <a:srgbClr val="00B050"/>
              </a:solidFill>
            </a:rPr>
            <a:t> Inflation Before Covid-19(March 2017 to March 2019)</a:t>
          </a:r>
        </a:p>
        <a:p>
          <a:pPr algn="ctr"/>
          <a:r>
            <a:rPr lang="en-IN" sz="1200" b="1" baseline="0">
              <a:solidFill>
                <a:srgbClr val="00B050"/>
              </a:solidFill>
            </a:rPr>
            <a:t>GENERAL INDEX</a:t>
          </a:r>
          <a:endParaRPr lang="en-IN" sz="1200" b="1">
            <a:solidFill>
              <a:srgbClr val="00B050"/>
            </a:solidFill>
          </a:endParaRPr>
        </a:p>
      </xdr:txBody>
    </xdr:sp>
    <xdr:clientData/>
  </xdr:twoCellAnchor>
  <xdr:twoCellAnchor editAs="absolute">
    <xdr:from>
      <xdr:col>5</xdr:col>
      <xdr:colOff>2076450</xdr:colOff>
      <xdr:row>5</xdr:row>
      <xdr:rowOff>152400</xdr:rowOff>
    </xdr:from>
    <xdr:to>
      <xdr:col>10</xdr:col>
      <xdr:colOff>300330</xdr:colOff>
      <xdr:row>18</xdr:row>
      <xdr:rowOff>38100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2C1BA677-47EA-4F65-9A77-6AF9B7D99F3E}"/>
            </a:ext>
          </a:extLst>
        </xdr:cNvPr>
        <xdr:cNvSpPr/>
      </xdr:nvSpPr>
      <xdr:spPr>
        <a:xfrm>
          <a:off x="7197090" y="1066800"/>
          <a:ext cx="6804000" cy="226314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endParaRPr lang="en-IN" sz="1400">
            <a:solidFill>
              <a:schemeClr val="accent2">
                <a:lumMod val="75000"/>
              </a:schemeClr>
            </a:solidFill>
            <a:effectLst/>
          </a:endParaRPr>
        </a:p>
      </xdr:txBody>
    </xdr:sp>
    <xdr:clientData/>
  </xdr:twoCellAnchor>
  <xdr:twoCellAnchor editAs="absolute">
    <xdr:from>
      <xdr:col>1</xdr:col>
      <xdr:colOff>297180</xdr:colOff>
      <xdr:row>9</xdr:row>
      <xdr:rowOff>106680</xdr:rowOff>
    </xdr:from>
    <xdr:to>
      <xdr:col>3</xdr:col>
      <xdr:colOff>127020</xdr:colOff>
      <xdr:row>17</xdr:row>
      <xdr:rowOff>11640</xdr:rowOff>
    </xdr:to>
    <xdr:sp macro="" textlink="">
      <xdr:nvSpPr>
        <xdr:cNvPr id="29" name="Rectangle: Rounded Corners 28">
          <a:extLst>
            <a:ext uri="{FF2B5EF4-FFF2-40B4-BE49-F238E27FC236}">
              <a16:creationId xmlns:a16="http://schemas.microsoft.com/office/drawing/2014/main" id="{093B762D-BC37-439E-975D-91D8A6D36E5F}"/>
            </a:ext>
          </a:extLst>
        </xdr:cNvPr>
        <xdr:cNvSpPr/>
      </xdr:nvSpPr>
      <xdr:spPr>
        <a:xfrm>
          <a:off x="487680" y="1752600"/>
          <a:ext cx="1872000" cy="136800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absolute">
    <xdr:from>
      <xdr:col>3</xdr:col>
      <xdr:colOff>429789</xdr:colOff>
      <xdr:row>9</xdr:row>
      <xdr:rowOff>106680</xdr:rowOff>
    </xdr:from>
    <xdr:to>
      <xdr:col>4</xdr:col>
      <xdr:colOff>1097829</xdr:colOff>
      <xdr:row>17</xdr:row>
      <xdr:rowOff>11640</xdr:rowOff>
    </xdr:to>
    <xdr:sp macro="" textlink="">
      <xdr:nvSpPr>
        <xdr:cNvPr id="30" name="Rectangle: Rounded Corners 29">
          <a:extLst>
            <a:ext uri="{FF2B5EF4-FFF2-40B4-BE49-F238E27FC236}">
              <a16:creationId xmlns:a16="http://schemas.microsoft.com/office/drawing/2014/main" id="{A7165486-46CC-420A-90CA-B8D096732AB7}"/>
            </a:ext>
          </a:extLst>
        </xdr:cNvPr>
        <xdr:cNvSpPr/>
      </xdr:nvSpPr>
      <xdr:spPr>
        <a:xfrm>
          <a:off x="2662449" y="1752600"/>
          <a:ext cx="1872000" cy="136800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4</xdr:col>
      <xdr:colOff>1400598</xdr:colOff>
      <xdr:row>9</xdr:row>
      <xdr:rowOff>106680</xdr:rowOff>
    </xdr:from>
    <xdr:to>
      <xdr:col>5</xdr:col>
      <xdr:colOff>1588578</xdr:colOff>
      <xdr:row>17</xdr:row>
      <xdr:rowOff>11640</xdr:rowOff>
    </xdr:to>
    <xdr:sp macro="" textlink="">
      <xdr:nvSpPr>
        <xdr:cNvPr id="31" name="Rectangle: Rounded Corners 30">
          <a:extLst>
            <a:ext uri="{FF2B5EF4-FFF2-40B4-BE49-F238E27FC236}">
              <a16:creationId xmlns:a16="http://schemas.microsoft.com/office/drawing/2014/main" id="{68D872F1-FB95-4729-AA3F-A42CC6F86869}"/>
            </a:ext>
          </a:extLst>
        </xdr:cNvPr>
        <xdr:cNvSpPr/>
      </xdr:nvSpPr>
      <xdr:spPr>
        <a:xfrm>
          <a:off x="4837218" y="1752600"/>
          <a:ext cx="1872000" cy="136800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1</xdr:col>
      <xdr:colOff>377664</xdr:colOff>
      <xdr:row>10</xdr:row>
      <xdr:rowOff>114300</xdr:rowOff>
    </xdr:from>
    <xdr:to>
      <xdr:col>3</xdr:col>
      <xdr:colOff>41904</xdr:colOff>
      <xdr:row>12</xdr:row>
      <xdr:rowOff>68580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2878B07C-8EB8-4EC3-B3D6-6BDD00BAA262}"/>
            </a:ext>
          </a:extLst>
        </xdr:cNvPr>
        <xdr:cNvSpPr txBox="1"/>
      </xdr:nvSpPr>
      <xdr:spPr>
        <a:xfrm>
          <a:off x="568164" y="1943100"/>
          <a:ext cx="1706400" cy="320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 b="1">
              <a:solidFill>
                <a:srgbClr val="00B050"/>
              </a:solidFill>
            </a:rPr>
            <a:t>Rural</a:t>
          </a:r>
          <a:endParaRPr lang="en-IN" sz="1300" b="1">
            <a:solidFill>
              <a:srgbClr val="00B050"/>
            </a:solidFill>
          </a:endParaRPr>
        </a:p>
      </xdr:txBody>
    </xdr:sp>
    <xdr:clientData/>
  </xdr:twoCellAnchor>
  <xdr:twoCellAnchor editAs="absolute">
    <xdr:from>
      <xdr:col>3</xdr:col>
      <xdr:colOff>500701</xdr:colOff>
      <xdr:row>10</xdr:row>
      <xdr:rowOff>114300</xdr:rowOff>
    </xdr:from>
    <xdr:to>
      <xdr:col>4</xdr:col>
      <xdr:colOff>1003141</xdr:colOff>
      <xdr:row>12</xdr:row>
      <xdr:rowOff>68580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7289BB7F-FBCB-4ACF-ADE4-096DA2552AC8}"/>
            </a:ext>
          </a:extLst>
        </xdr:cNvPr>
        <xdr:cNvSpPr txBox="1"/>
      </xdr:nvSpPr>
      <xdr:spPr>
        <a:xfrm>
          <a:off x="2733361" y="1943100"/>
          <a:ext cx="1706400" cy="320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IN" sz="1600" b="1">
              <a:solidFill>
                <a:srgbClr val="00B050"/>
              </a:solidFill>
              <a:latin typeface="+mn-lt"/>
              <a:ea typeface="+mn-ea"/>
              <a:cs typeface="+mn-cs"/>
            </a:rPr>
            <a:t>Urban</a:t>
          </a:r>
        </a:p>
      </xdr:txBody>
    </xdr:sp>
    <xdr:clientData/>
  </xdr:twoCellAnchor>
  <xdr:twoCellAnchor editAs="absolute">
    <xdr:from>
      <xdr:col>4</xdr:col>
      <xdr:colOff>1478281</xdr:colOff>
      <xdr:row>10</xdr:row>
      <xdr:rowOff>114300</xdr:rowOff>
    </xdr:from>
    <xdr:to>
      <xdr:col>5</xdr:col>
      <xdr:colOff>1501140</xdr:colOff>
      <xdr:row>12</xdr:row>
      <xdr:rowOff>68580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30AAED47-DDAD-46C7-8F76-8C8591CC672D}"/>
            </a:ext>
          </a:extLst>
        </xdr:cNvPr>
        <xdr:cNvSpPr txBox="1"/>
      </xdr:nvSpPr>
      <xdr:spPr>
        <a:xfrm>
          <a:off x="4914901" y="1943100"/>
          <a:ext cx="1706879" cy="320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IN" sz="1600" b="1">
              <a:solidFill>
                <a:srgbClr val="00B050"/>
              </a:solidFill>
              <a:latin typeface="+mn-lt"/>
              <a:ea typeface="+mn-ea"/>
              <a:cs typeface="+mn-cs"/>
            </a:rPr>
            <a:t>Rural+Urban</a:t>
          </a:r>
        </a:p>
      </xdr:txBody>
    </xdr:sp>
    <xdr:clientData/>
  </xdr:twoCellAnchor>
  <xdr:twoCellAnchor editAs="absolute">
    <xdr:from>
      <xdr:col>1</xdr:col>
      <xdr:colOff>682164</xdr:colOff>
      <xdr:row>13</xdr:row>
      <xdr:rowOff>22860</xdr:rowOff>
    </xdr:from>
    <xdr:to>
      <xdr:col>2</xdr:col>
      <xdr:colOff>964920</xdr:colOff>
      <xdr:row>15</xdr:row>
      <xdr:rowOff>167640</xdr:rowOff>
    </xdr:to>
    <xdr:sp macro="" textlink="Dashboard_Calculations!F25">
      <xdr:nvSpPr>
        <xdr:cNvPr id="38" name="TextBox 37">
          <a:extLst>
            <a:ext uri="{FF2B5EF4-FFF2-40B4-BE49-F238E27FC236}">
              <a16:creationId xmlns:a16="http://schemas.microsoft.com/office/drawing/2014/main" id="{EDCE68C9-8E1D-459D-A1D9-9A09DD6B2D39}"/>
            </a:ext>
          </a:extLst>
        </xdr:cNvPr>
        <xdr:cNvSpPr txBox="1"/>
      </xdr:nvSpPr>
      <xdr:spPr>
        <a:xfrm>
          <a:off x="872664" y="2400300"/>
          <a:ext cx="1037136" cy="5105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9007D1F5-BFB1-4558-9C45-4CA055AD3BB2}" type="TxLink">
            <a:rPr lang="en-US" sz="2800" b="1" i="0" u="none" strike="noStrike">
              <a:solidFill>
                <a:srgbClr val="00B050"/>
              </a:solidFill>
              <a:latin typeface="Calibri"/>
              <a:ea typeface="Calibri"/>
              <a:cs typeface="Calibri"/>
            </a:rPr>
            <a:pPr marL="0" indent="0" algn="ctr"/>
            <a:t>3.33%</a:t>
          </a:fld>
          <a:endParaRPr lang="en-IN" sz="4800" b="1" i="0" u="none" strike="noStrike">
            <a:solidFill>
              <a:srgbClr val="00B05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 editAs="absolute">
    <xdr:from>
      <xdr:col>3</xdr:col>
      <xdr:colOff>828078</xdr:colOff>
      <xdr:row>13</xdr:row>
      <xdr:rowOff>60960</xdr:rowOff>
    </xdr:from>
    <xdr:to>
      <xdr:col>4</xdr:col>
      <xdr:colOff>661254</xdr:colOff>
      <xdr:row>16</xdr:row>
      <xdr:rowOff>22860</xdr:rowOff>
    </xdr:to>
    <xdr:sp macro="" textlink="Dashboard_Calculations!F26">
      <xdr:nvSpPr>
        <xdr:cNvPr id="39" name="TextBox 38">
          <a:extLst>
            <a:ext uri="{FF2B5EF4-FFF2-40B4-BE49-F238E27FC236}">
              <a16:creationId xmlns:a16="http://schemas.microsoft.com/office/drawing/2014/main" id="{7B0094B1-D02F-432E-93F2-2A95DA6D71E9}"/>
            </a:ext>
          </a:extLst>
        </xdr:cNvPr>
        <xdr:cNvSpPr txBox="1"/>
      </xdr:nvSpPr>
      <xdr:spPr>
        <a:xfrm>
          <a:off x="3060738" y="2438400"/>
          <a:ext cx="1037136" cy="5105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80C92CDB-C1E6-4134-9118-BF444AE629BD}" type="TxLink">
            <a:rPr lang="en-US" sz="2800" b="1" i="0" u="none" strike="noStrike">
              <a:solidFill>
                <a:srgbClr val="00B050"/>
              </a:solidFill>
              <a:latin typeface="Calibri"/>
              <a:ea typeface="Calibri"/>
              <a:cs typeface="Calibri"/>
            </a:rPr>
            <a:pPr marL="0" indent="0" algn="ctr"/>
            <a:t>4.06%</a:t>
          </a:fld>
          <a:endParaRPr lang="en-IN" sz="2800" b="1" i="0" u="none" strike="noStrike">
            <a:solidFill>
              <a:srgbClr val="00B05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 editAs="absolute">
    <xdr:from>
      <xdr:col>5</xdr:col>
      <xdr:colOff>204373</xdr:colOff>
      <xdr:row>13</xdr:row>
      <xdr:rowOff>76200</xdr:rowOff>
    </xdr:from>
    <xdr:to>
      <xdr:col>5</xdr:col>
      <xdr:colOff>1241509</xdr:colOff>
      <xdr:row>16</xdr:row>
      <xdr:rowOff>38100</xdr:rowOff>
    </xdr:to>
    <xdr:sp macro="" textlink="Dashboard_Calculations!F27">
      <xdr:nvSpPr>
        <xdr:cNvPr id="40" name="TextBox 39">
          <a:extLst>
            <a:ext uri="{FF2B5EF4-FFF2-40B4-BE49-F238E27FC236}">
              <a16:creationId xmlns:a16="http://schemas.microsoft.com/office/drawing/2014/main" id="{F324A583-3C5D-42A3-818E-A964967CB070}"/>
            </a:ext>
          </a:extLst>
        </xdr:cNvPr>
        <xdr:cNvSpPr txBox="1"/>
      </xdr:nvSpPr>
      <xdr:spPr>
        <a:xfrm>
          <a:off x="5325013" y="2453640"/>
          <a:ext cx="1037136" cy="5105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3BAC5C85-1F21-420C-B1B6-F1F1E3C5B4A9}" type="TxLink">
            <a:rPr lang="en-US" sz="2800" b="1" i="0" u="none" strike="noStrike">
              <a:solidFill>
                <a:srgbClr val="00B050"/>
              </a:solidFill>
              <a:latin typeface="Calibri"/>
              <a:ea typeface="Calibri"/>
              <a:cs typeface="Calibri"/>
            </a:rPr>
            <a:pPr marL="0" indent="0" algn="ctr"/>
            <a:t>3.67%</a:t>
          </a:fld>
          <a:endParaRPr lang="en-IN" sz="2800" b="1" i="0" u="none" strike="noStrike">
            <a:solidFill>
              <a:srgbClr val="00B05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 editAs="absolute">
    <xdr:from>
      <xdr:col>5</xdr:col>
      <xdr:colOff>2133600</xdr:colOff>
      <xdr:row>5</xdr:row>
      <xdr:rowOff>160020</xdr:rowOff>
    </xdr:from>
    <xdr:to>
      <xdr:col>10</xdr:col>
      <xdr:colOff>235080</xdr:colOff>
      <xdr:row>8</xdr:row>
      <xdr:rowOff>121920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38B8CFA0-8490-CBC3-68DD-7C653A1F7686}"/>
            </a:ext>
          </a:extLst>
        </xdr:cNvPr>
        <xdr:cNvSpPr txBox="1"/>
      </xdr:nvSpPr>
      <xdr:spPr>
        <a:xfrm>
          <a:off x="7254240" y="1074420"/>
          <a:ext cx="6681600" cy="5105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200" b="1">
              <a:solidFill>
                <a:srgbClr val="FF0000"/>
              </a:solidFill>
            </a:rPr>
            <a:t>Average YoY</a:t>
          </a:r>
          <a:r>
            <a:rPr lang="en-IN" sz="1200" b="1" baseline="0">
              <a:solidFill>
                <a:srgbClr val="FF0000"/>
              </a:solidFill>
            </a:rPr>
            <a:t> Inflation From Covid-19 (March 2020 to March 2023)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2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GENERAL INDEX</a:t>
          </a:r>
          <a:endParaRPr lang="en-IN" sz="1400">
            <a:solidFill>
              <a:srgbClr val="FF0000"/>
            </a:solidFill>
            <a:effectLst/>
          </a:endParaRPr>
        </a:p>
      </xdr:txBody>
    </xdr:sp>
    <xdr:clientData/>
  </xdr:twoCellAnchor>
  <xdr:twoCellAnchor editAs="absolute">
    <xdr:from>
      <xdr:col>5</xdr:col>
      <xdr:colOff>2354580</xdr:colOff>
      <xdr:row>9</xdr:row>
      <xdr:rowOff>106680</xdr:rowOff>
    </xdr:from>
    <xdr:to>
      <xdr:col>6</xdr:col>
      <xdr:colOff>1567200</xdr:colOff>
      <xdr:row>17</xdr:row>
      <xdr:rowOff>11640</xdr:rowOff>
    </xdr:to>
    <xdr:sp macro="" textlink="">
      <xdr:nvSpPr>
        <xdr:cNvPr id="70" name="Rectangle: Rounded Corners 69">
          <a:extLst>
            <a:ext uri="{FF2B5EF4-FFF2-40B4-BE49-F238E27FC236}">
              <a16:creationId xmlns:a16="http://schemas.microsoft.com/office/drawing/2014/main" id="{A88AD7FB-83FF-25F6-E6A0-34393C8D20F3}"/>
            </a:ext>
          </a:extLst>
        </xdr:cNvPr>
        <xdr:cNvSpPr/>
      </xdr:nvSpPr>
      <xdr:spPr>
        <a:xfrm>
          <a:off x="7475220" y="1752600"/>
          <a:ext cx="1872000" cy="1368000"/>
        </a:xfrm>
        <a:prstGeom prst="roundRect">
          <a:avLst/>
        </a:prstGeom>
        <a:solidFill>
          <a:srgbClr val="FFE1E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absolute">
    <xdr:from>
      <xdr:col>7</xdr:col>
      <xdr:colOff>170709</xdr:colOff>
      <xdr:row>9</xdr:row>
      <xdr:rowOff>106680</xdr:rowOff>
    </xdr:from>
    <xdr:to>
      <xdr:col>8</xdr:col>
      <xdr:colOff>739689</xdr:colOff>
      <xdr:row>17</xdr:row>
      <xdr:rowOff>11640</xdr:rowOff>
    </xdr:to>
    <xdr:sp macro="" textlink="">
      <xdr:nvSpPr>
        <xdr:cNvPr id="71" name="Rectangle: Rounded Corners 70">
          <a:extLst>
            <a:ext uri="{FF2B5EF4-FFF2-40B4-BE49-F238E27FC236}">
              <a16:creationId xmlns:a16="http://schemas.microsoft.com/office/drawing/2014/main" id="{3D3DE5B6-12A5-C96C-DA08-C50C6AC9A922}"/>
            </a:ext>
          </a:extLst>
        </xdr:cNvPr>
        <xdr:cNvSpPr/>
      </xdr:nvSpPr>
      <xdr:spPr>
        <a:xfrm>
          <a:off x="9649989" y="1752600"/>
          <a:ext cx="1872000" cy="1368000"/>
        </a:xfrm>
        <a:prstGeom prst="roundRect">
          <a:avLst/>
        </a:prstGeom>
        <a:solidFill>
          <a:srgbClr val="FFE1E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8</xdr:col>
      <xdr:colOff>1042458</xdr:colOff>
      <xdr:row>9</xdr:row>
      <xdr:rowOff>106680</xdr:rowOff>
    </xdr:from>
    <xdr:to>
      <xdr:col>9</xdr:col>
      <xdr:colOff>1695258</xdr:colOff>
      <xdr:row>17</xdr:row>
      <xdr:rowOff>11640</xdr:rowOff>
    </xdr:to>
    <xdr:sp macro="" textlink="">
      <xdr:nvSpPr>
        <xdr:cNvPr id="72" name="Rectangle: Rounded Corners 71">
          <a:extLst>
            <a:ext uri="{FF2B5EF4-FFF2-40B4-BE49-F238E27FC236}">
              <a16:creationId xmlns:a16="http://schemas.microsoft.com/office/drawing/2014/main" id="{2A81B62D-F6C0-C354-19F7-F7D416C9E916}"/>
            </a:ext>
          </a:extLst>
        </xdr:cNvPr>
        <xdr:cNvSpPr/>
      </xdr:nvSpPr>
      <xdr:spPr>
        <a:xfrm>
          <a:off x="11824758" y="1752600"/>
          <a:ext cx="1872000" cy="1368000"/>
        </a:xfrm>
        <a:prstGeom prst="roundRect">
          <a:avLst/>
        </a:prstGeom>
        <a:solidFill>
          <a:srgbClr val="FFE1E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5</xdr:col>
      <xdr:colOff>2435064</xdr:colOff>
      <xdr:row>10</xdr:row>
      <xdr:rowOff>114300</xdr:rowOff>
    </xdr:from>
    <xdr:to>
      <xdr:col>6</xdr:col>
      <xdr:colOff>1482084</xdr:colOff>
      <xdr:row>12</xdr:row>
      <xdr:rowOff>68580</xdr:rowOff>
    </xdr:to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0276527C-7BF3-7B55-6555-4EF4F880A235}"/>
            </a:ext>
          </a:extLst>
        </xdr:cNvPr>
        <xdr:cNvSpPr txBox="1"/>
      </xdr:nvSpPr>
      <xdr:spPr>
        <a:xfrm>
          <a:off x="7555704" y="1943100"/>
          <a:ext cx="1706400" cy="320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 b="1">
              <a:solidFill>
                <a:srgbClr val="FF0000"/>
              </a:solidFill>
            </a:rPr>
            <a:t>Rural</a:t>
          </a:r>
          <a:endParaRPr lang="en-IN" sz="1300" b="1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7</xdr:col>
      <xdr:colOff>241621</xdr:colOff>
      <xdr:row>10</xdr:row>
      <xdr:rowOff>114300</xdr:rowOff>
    </xdr:from>
    <xdr:to>
      <xdr:col>8</xdr:col>
      <xdr:colOff>645001</xdr:colOff>
      <xdr:row>12</xdr:row>
      <xdr:rowOff>68580</xdr:rowOff>
    </xdr:to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58EBDCDE-25F2-A0DD-D5D0-E4EF330E4DE3}"/>
            </a:ext>
          </a:extLst>
        </xdr:cNvPr>
        <xdr:cNvSpPr txBox="1"/>
      </xdr:nvSpPr>
      <xdr:spPr>
        <a:xfrm>
          <a:off x="9720901" y="1943100"/>
          <a:ext cx="1706400" cy="320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IN" sz="1600" b="1">
              <a:solidFill>
                <a:srgbClr val="FF0000"/>
              </a:solidFill>
              <a:latin typeface="+mn-lt"/>
              <a:ea typeface="+mn-ea"/>
              <a:cs typeface="+mn-cs"/>
            </a:rPr>
            <a:t>Urban</a:t>
          </a:r>
          <a:endParaRPr lang="en-IN" sz="1300" b="1">
            <a:solidFill>
              <a:srgbClr val="FF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8</xdr:col>
      <xdr:colOff>1126656</xdr:colOff>
      <xdr:row>10</xdr:row>
      <xdr:rowOff>114300</xdr:rowOff>
    </xdr:from>
    <xdr:to>
      <xdr:col>9</xdr:col>
      <xdr:colOff>1613856</xdr:colOff>
      <xdr:row>12</xdr:row>
      <xdr:rowOff>68580</xdr:rowOff>
    </xdr:to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CD3792CE-64E5-72B0-744D-6A93142BA347}"/>
            </a:ext>
          </a:extLst>
        </xdr:cNvPr>
        <xdr:cNvSpPr txBox="1"/>
      </xdr:nvSpPr>
      <xdr:spPr>
        <a:xfrm>
          <a:off x="11908956" y="1943100"/>
          <a:ext cx="1706400" cy="320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IN" sz="1600" b="1">
              <a:solidFill>
                <a:srgbClr val="FF0000"/>
              </a:solidFill>
              <a:latin typeface="+mn-lt"/>
              <a:ea typeface="+mn-ea"/>
              <a:cs typeface="+mn-cs"/>
            </a:rPr>
            <a:t>Rural+Urban</a:t>
          </a:r>
        </a:p>
      </xdr:txBody>
    </xdr:sp>
    <xdr:clientData/>
  </xdr:twoCellAnchor>
  <xdr:twoCellAnchor editAs="absolute">
    <xdr:from>
      <xdr:col>6</xdr:col>
      <xdr:colOff>118284</xdr:colOff>
      <xdr:row>13</xdr:row>
      <xdr:rowOff>38100</xdr:rowOff>
    </xdr:from>
    <xdr:to>
      <xdr:col>6</xdr:col>
      <xdr:colOff>1155420</xdr:colOff>
      <xdr:row>16</xdr:row>
      <xdr:rowOff>0</xdr:rowOff>
    </xdr:to>
    <xdr:sp macro="" textlink="Dashboard_Calculations!F29">
      <xdr:nvSpPr>
        <xdr:cNvPr id="81" name="TextBox 80">
          <a:extLst>
            <a:ext uri="{FF2B5EF4-FFF2-40B4-BE49-F238E27FC236}">
              <a16:creationId xmlns:a16="http://schemas.microsoft.com/office/drawing/2014/main" id="{994E9B03-E3F4-2AAA-7302-37D1412DEB64}"/>
            </a:ext>
          </a:extLst>
        </xdr:cNvPr>
        <xdr:cNvSpPr txBox="1"/>
      </xdr:nvSpPr>
      <xdr:spPr>
        <a:xfrm>
          <a:off x="7898304" y="2415540"/>
          <a:ext cx="1037136" cy="5105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405FE6BE-5C64-4C8F-AA7E-8E646BD4EEF0}" type="TxLink">
            <a:rPr lang="en-US" sz="2800" b="1" i="0" u="none" strike="noStrike">
              <a:solidFill>
                <a:srgbClr val="FF0000"/>
              </a:solidFill>
              <a:latin typeface="Calibri"/>
              <a:ea typeface="Calibri"/>
              <a:cs typeface="Calibri"/>
            </a:rPr>
            <a:pPr marL="0" indent="0" algn="ctr"/>
            <a:t>5.97%</a:t>
          </a:fld>
          <a:endParaRPr lang="en-IN" sz="2800" b="1" i="0" u="none" strike="noStrike">
            <a:solidFill>
              <a:srgbClr val="FF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 editAs="absolute">
    <xdr:from>
      <xdr:col>7</xdr:col>
      <xdr:colOff>599478</xdr:colOff>
      <xdr:row>13</xdr:row>
      <xdr:rowOff>76200</xdr:rowOff>
    </xdr:from>
    <xdr:to>
      <xdr:col>8</xdr:col>
      <xdr:colOff>333594</xdr:colOff>
      <xdr:row>16</xdr:row>
      <xdr:rowOff>38100</xdr:rowOff>
    </xdr:to>
    <xdr:sp macro="" textlink="Dashboard_Calculations!F30">
      <xdr:nvSpPr>
        <xdr:cNvPr id="82" name="TextBox 81">
          <a:extLst>
            <a:ext uri="{FF2B5EF4-FFF2-40B4-BE49-F238E27FC236}">
              <a16:creationId xmlns:a16="http://schemas.microsoft.com/office/drawing/2014/main" id="{B171822F-1E4C-45B6-8ACF-8F0D1B24C14C}"/>
            </a:ext>
          </a:extLst>
        </xdr:cNvPr>
        <xdr:cNvSpPr txBox="1"/>
      </xdr:nvSpPr>
      <xdr:spPr>
        <a:xfrm>
          <a:off x="10078758" y="2453640"/>
          <a:ext cx="1037136" cy="5105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B3E2D9EC-2FD4-4957-8FB8-7A8D94847998}" type="TxLink">
            <a:rPr lang="en-US" sz="2800" b="1" i="0" u="none" strike="noStrike">
              <a:solidFill>
                <a:srgbClr val="FF0000"/>
              </a:solidFill>
              <a:latin typeface="Calibri"/>
              <a:ea typeface="Calibri"/>
              <a:cs typeface="Calibri"/>
            </a:rPr>
            <a:pPr marL="0" indent="0" algn="ctr"/>
            <a:t>6.03%</a:t>
          </a:fld>
          <a:endParaRPr lang="en-IN" sz="2800" b="1" i="0" u="none" strike="noStrike">
            <a:solidFill>
              <a:srgbClr val="FF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 editAs="absolute">
    <xdr:from>
      <xdr:col>9</xdr:col>
      <xdr:colOff>257713</xdr:colOff>
      <xdr:row>13</xdr:row>
      <xdr:rowOff>91440</xdr:rowOff>
    </xdr:from>
    <xdr:to>
      <xdr:col>9</xdr:col>
      <xdr:colOff>1294849</xdr:colOff>
      <xdr:row>16</xdr:row>
      <xdr:rowOff>53340</xdr:rowOff>
    </xdr:to>
    <xdr:sp macro="" textlink="Dashboard_Calculations!F31">
      <xdr:nvSpPr>
        <xdr:cNvPr id="83" name="TextBox 82">
          <a:extLst>
            <a:ext uri="{FF2B5EF4-FFF2-40B4-BE49-F238E27FC236}">
              <a16:creationId xmlns:a16="http://schemas.microsoft.com/office/drawing/2014/main" id="{F35139D3-3ACB-A9FF-D6AD-B16A96148743}"/>
            </a:ext>
          </a:extLst>
        </xdr:cNvPr>
        <xdr:cNvSpPr txBox="1"/>
      </xdr:nvSpPr>
      <xdr:spPr>
        <a:xfrm>
          <a:off x="12259213" y="2468880"/>
          <a:ext cx="1037136" cy="5105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31D54D27-C4F2-4B44-834D-1F2FDFB755AC}" type="TxLink">
            <a:rPr lang="en-US" sz="2800" b="1" i="0" u="none" strike="noStrike">
              <a:solidFill>
                <a:srgbClr val="FF0000"/>
              </a:solidFill>
              <a:latin typeface="Calibri"/>
              <a:ea typeface="Calibri"/>
              <a:cs typeface="Calibri"/>
            </a:rPr>
            <a:pPr marL="0" indent="0" algn="ctr"/>
            <a:t>5.99%</a:t>
          </a:fld>
          <a:endParaRPr lang="en-IN" sz="2800" b="1" i="0" u="none" strike="noStrike">
            <a:solidFill>
              <a:srgbClr val="FF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 editAs="absolute">
    <xdr:from>
      <xdr:col>1</xdr:col>
      <xdr:colOff>7620</xdr:colOff>
      <xdr:row>20</xdr:row>
      <xdr:rowOff>129540</xdr:rowOff>
    </xdr:from>
    <xdr:to>
      <xdr:col>5</xdr:col>
      <xdr:colOff>1881480</xdr:colOff>
      <xdr:row>31</xdr:row>
      <xdr:rowOff>22860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125807A1-7469-480A-8FA6-EF19D0B2F91F}"/>
            </a:ext>
          </a:extLst>
        </xdr:cNvPr>
        <xdr:cNvSpPr/>
      </xdr:nvSpPr>
      <xdr:spPr>
        <a:xfrm>
          <a:off x="198120" y="3787140"/>
          <a:ext cx="6804000" cy="1905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IN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en-IN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Investigate how the onset and progression of the COVID-19 pandemic affected inflation rates in India.</a:t>
          </a:r>
        </a:p>
        <a:p>
          <a:pPr marL="0" indent="0" algn="l"/>
          <a:r>
            <a:rPr lang="en-IN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en-IN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Analyze the impact of key pandemic milestones, particularly the first lockdown, on CPI inflation %, with specific focus on categories such as:</a:t>
          </a:r>
          <a:endParaRPr lang="en-IN" sz="1400">
            <a:solidFill>
              <a:schemeClr val="tx1"/>
            </a:solidFill>
            <a:effectLst/>
          </a:endParaRPr>
        </a:p>
      </xdr:txBody>
    </xdr:sp>
    <xdr:clientData/>
  </xdr:twoCellAnchor>
  <xdr:twoCellAnchor editAs="absolute">
    <xdr:from>
      <xdr:col>1</xdr:col>
      <xdr:colOff>7620</xdr:colOff>
      <xdr:row>19</xdr:row>
      <xdr:rowOff>60960</xdr:rowOff>
    </xdr:from>
    <xdr:to>
      <xdr:col>5</xdr:col>
      <xdr:colOff>1881480</xdr:colOff>
      <xdr:row>20</xdr:row>
      <xdr:rowOff>121920</xdr:rowOff>
    </xdr:to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D429905B-FE92-4AEC-820A-6B60E14B175E}"/>
            </a:ext>
          </a:extLst>
        </xdr:cNvPr>
        <xdr:cNvSpPr txBox="1"/>
      </xdr:nvSpPr>
      <xdr:spPr>
        <a:xfrm>
          <a:off x="198120" y="3535680"/>
          <a:ext cx="6804000" cy="243840"/>
        </a:xfrm>
        <a:prstGeom prst="rect">
          <a:avLst/>
        </a:prstGeom>
        <a:solidFill>
          <a:schemeClr val="accent2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200" b="1">
              <a:solidFill>
                <a:schemeClr val="bg1"/>
              </a:solidFill>
            </a:rPr>
            <a:t>1. OBJECTIVE</a:t>
          </a:r>
          <a:endParaRPr lang="en-IN" sz="1200" b="1" cap="all" baseline="0">
            <a:solidFill>
              <a:schemeClr val="bg1"/>
            </a:solidFill>
            <a:effectLst/>
          </a:endParaRPr>
        </a:p>
      </xdr:txBody>
    </xdr:sp>
    <xdr:clientData/>
  </xdr:twoCellAnchor>
  <xdr:twoCellAnchor editAs="absolute">
    <xdr:from>
      <xdr:col>5</xdr:col>
      <xdr:colOff>2072640</xdr:colOff>
      <xdr:row>20</xdr:row>
      <xdr:rowOff>129540</xdr:rowOff>
    </xdr:from>
    <xdr:to>
      <xdr:col>10</xdr:col>
      <xdr:colOff>296520</xdr:colOff>
      <xdr:row>26</xdr:row>
      <xdr:rowOff>53340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6CEDA281-0758-E234-B74C-69A313F2545A}"/>
            </a:ext>
          </a:extLst>
        </xdr:cNvPr>
        <xdr:cNvSpPr/>
      </xdr:nvSpPr>
      <xdr:spPr>
        <a:xfrm>
          <a:off x="7193280" y="3787140"/>
          <a:ext cx="6804000" cy="102108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IN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•</a:t>
          </a:r>
          <a:r>
            <a:rPr lang="en-IN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YoY Inflation (%) [(Current Year</a:t>
          </a:r>
          <a:r>
            <a:rPr lang="en-IN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Mar Index </a:t>
          </a:r>
          <a:r>
            <a:rPr lang="en-IN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Previous Year Mar Index)/Previous Year Mar Index] </a:t>
          </a:r>
        </a:p>
        <a:p>
          <a:pPr marL="0" indent="0" algn="l"/>
          <a:r>
            <a:rPr lang="en-IN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en-IN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Categories considered: General Index, Health, Food, Fuel &amp; Light, Transport &amp; Communication</a:t>
          </a:r>
          <a:endParaRPr lang="en-IN" sz="1200">
            <a:solidFill>
              <a:schemeClr val="tx1"/>
            </a:solidFill>
            <a:effectLst/>
          </a:endParaRPr>
        </a:p>
        <a:p>
          <a:pPr marL="0" indent="0" algn="l"/>
          <a:r>
            <a:rPr lang="en-IN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en-IN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Scope: Rural, Urban and Rural+Urban</a:t>
          </a:r>
          <a:endParaRPr lang="en-IN" sz="1200">
            <a:solidFill>
              <a:schemeClr val="tx1"/>
            </a:solidFill>
            <a:effectLst/>
          </a:endParaRPr>
        </a:p>
        <a:p>
          <a:pPr marL="0" indent="0" algn="l"/>
          <a:r>
            <a:rPr lang="en-IN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en-IN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Period: Mar 2017 to Mar 2023</a:t>
          </a:r>
          <a:endParaRPr lang="en-IN" sz="1200">
            <a:solidFill>
              <a:schemeClr val="tx1"/>
            </a:solidFill>
            <a:effectLst/>
          </a:endParaRPr>
        </a:p>
      </xdr:txBody>
    </xdr:sp>
    <xdr:clientData/>
  </xdr:twoCellAnchor>
  <xdr:twoCellAnchor editAs="absolute">
    <xdr:from>
      <xdr:col>5</xdr:col>
      <xdr:colOff>2072640</xdr:colOff>
      <xdr:row>19</xdr:row>
      <xdr:rowOff>60960</xdr:rowOff>
    </xdr:from>
    <xdr:to>
      <xdr:col>10</xdr:col>
      <xdr:colOff>296520</xdr:colOff>
      <xdr:row>20</xdr:row>
      <xdr:rowOff>121920</xdr:rowOff>
    </xdr:to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AC025A3E-193B-97C5-A5BB-287A7B31147F}"/>
            </a:ext>
          </a:extLst>
        </xdr:cNvPr>
        <xdr:cNvSpPr txBox="1"/>
      </xdr:nvSpPr>
      <xdr:spPr>
        <a:xfrm>
          <a:off x="7193280" y="3535680"/>
          <a:ext cx="6804000" cy="243840"/>
        </a:xfrm>
        <a:prstGeom prst="rect">
          <a:avLst/>
        </a:prstGeom>
        <a:solidFill>
          <a:schemeClr val="accent2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200" b="1">
              <a:solidFill>
                <a:schemeClr val="bg1"/>
              </a:solidFill>
            </a:rPr>
            <a:t>2. </a:t>
          </a:r>
          <a:r>
            <a:rPr lang="en-IN" sz="1200" b="1" baseline="0">
              <a:solidFill>
                <a:schemeClr val="bg1"/>
              </a:solidFill>
              <a:latin typeface="+mn-lt"/>
              <a:ea typeface="+mn-ea"/>
              <a:cs typeface="+mn-cs"/>
            </a:rPr>
            <a:t>METHODOLOGY</a:t>
          </a:r>
        </a:p>
      </xdr:txBody>
    </xdr:sp>
    <xdr:clientData/>
  </xdr:twoCellAnchor>
  <xdr:twoCellAnchor editAs="absolute">
    <xdr:from>
      <xdr:col>5</xdr:col>
      <xdr:colOff>2072640</xdr:colOff>
      <xdr:row>27</xdr:row>
      <xdr:rowOff>53340</xdr:rowOff>
    </xdr:from>
    <xdr:to>
      <xdr:col>10</xdr:col>
      <xdr:colOff>296520</xdr:colOff>
      <xdr:row>31</xdr:row>
      <xdr:rowOff>38100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158E9FE1-F4BE-E72D-B3FF-3DA484DC3A8D}"/>
            </a:ext>
          </a:extLst>
        </xdr:cNvPr>
        <xdr:cNvSpPr/>
      </xdr:nvSpPr>
      <xdr:spPr>
        <a:xfrm>
          <a:off x="7193280" y="4991100"/>
          <a:ext cx="6804000" cy="71628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000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endParaRPr lang="en-IN" sz="1200">
            <a:solidFill>
              <a:schemeClr val="tx1"/>
            </a:solidFill>
            <a:effectLst/>
          </a:endParaRPr>
        </a:p>
      </xdr:txBody>
    </xdr:sp>
    <xdr:clientData/>
  </xdr:twoCellAnchor>
  <xdr:twoCellAnchor editAs="absolute">
    <xdr:from>
      <xdr:col>3</xdr:col>
      <xdr:colOff>640080</xdr:colOff>
      <xdr:row>23</xdr:row>
      <xdr:rowOff>110490</xdr:rowOff>
    </xdr:from>
    <xdr:to>
      <xdr:col>3</xdr:col>
      <xdr:colOff>1108080</xdr:colOff>
      <xdr:row>26</xdr:row>
      <xdr:rowOff>29850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6B5D44C9-462C-367F-2885-1B5E94BB61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duotone>
            <a:schemeClr val="accent6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72740" y="4316730"/>
          <a:ext cx="468000" cy="46800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4</xdr:col>
      <xdr:colOff>304800</xdr:colOff>
      <xdr:row>23</xdr:row>
      <xdr:rowOff>110490</xdr:rowOff>
    </xdr:from>
    <xdr:to>
      <xdr:col>4</xdr:col>
      <xdr:colOff>772800</xdr:colOff>
      <xdr:row>26</xdr:row>
      <xdr:rowOff>29850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60F5F075-2DB4-7B4E-612C-7EA529FCE4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duotone>
            <a:schemeClr val="accent4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41420" y="4316730"/>
          <a:ext cx="468000" cy="46800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4</xdr:col>
      <xdr:colOff>1325880</xdr:colOff>
      <xdr:row>23</xdr:row>
      <xdr:rowOff>110490</xdr:rowOff>
    </xdr:from>
    <xdr:to>
      <xdr:col>5</xdr:col>
      <xdr:colOff>109860</xdr:colOff>
      <xdr:row>26</xdr:row>
      <xdr:rowOff>29850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7C0A86F3-E00C-82A7-8C7E-A8156B69DC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duotone>
            <a:schemeClr val="accent1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0" y="4316730"/>
          <a:ext cx="468000" cy="46800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3</xdr:col>
      <xdr:colOff>335280</xdr:colOff>
      <xdr:row>25</xdr:row>
      <xdr:rowOff>152400</xdr:rowOff>
    </xdr:from>
    <xdr:to>
      <xdr:col>4</xdr:col>
      <xdr:colOff>99060</xdr:colOff>
      <xdr:row>27</xdr:row>
      <xdr:rowOff>137160</xdr:rowOff>
    </xdr:to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617CE81C-1F56-D8B1-DD71-7514D2134423}"/>
            </a:ext>
          </a:extLst>
        </xdr:cNvPr>
        <xdr:cNvSpPr txBox="1"/>
      </xdr:nvSpPr>
      <xdr:spPr>
        <a:xfrm>
          <a:off x="2567940" y="4724400"/>
          <a:ext cx="967740" cy="3505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200" b="1" i="0">
              <a:solidFill>
                <a:schemeClr val="accent6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Healthcare</a:t>
          </a:r>
          <a:endParaRPr lang="en-IN" sz="1400" b="1">
            <a:solidFill>
              <a:schemeClr val="accent6">
                <a:lumMod val="75000"/>
              </a:schemeClr>
            </a:solidFill>
          </a:endParaRPr>
        </a:p>
      </xdr:txBody>
    </xdr:sp>
    <xdr:clientData/>
  </xdr:twoCellAnchor>
  <xdr:twoCellAnchor editAs="absolute">
    <xdr:from>
      <xdr:col>4</xdr:col>
      <xdr:colOff>41910</xdr:colOff>
      <xdr:row>25</xdr:row>
      <xdr:rowOff>152400</xdr:rowOff>
    </xdr:from>
    <xdr:to>
      <xdr:col>4</xdr:col>
      <xdr:colOff>1009650</xdr:colOff>
      <xdr:row>27</xdr:row>
      <xdr:rowOff>137160</xdr:rowOff>
    </xdr:to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57C48842-3083-D89E-CAC5-BCBBED8F40B5}"/>
            </a:ext>
          </a:extLst>
        </xdr:cNvPr>
        <xdr:cNvSpPr txBox="1"/>
      </xdr:nvSpPr>
      <xdr:spPr>
        <a:xfrm>
          <a:off x="3478530" y="4724400"/>
          <a:ext cx="967740" cy="3505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200" b="1" i="0">
              <a:solidFill>
                <a:schemeClr val="accent4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Food</a:t>
          </a:r>
          <a:endParaRPr lang="en-IN" sz="1400" b="1">
            <a:solidFill>
              <a:schemeClr val="accent4">
                <a:lumMod val="75000"/>
              </a:schemeClr>
            </a:solidFill>
          </a:endParaRPr>
        </a:p>
      </xdr:txBody>
    </xdr:sp>
    <xdr:clientData/>
  </xdr:twoCellAnchor>
  <xdr:twoCellAnchor editAs="absolute">
    <xdr:from>
      <xdr:col>4</xdr:col>
      <xdr:colOff>830580</xdr:colOff>
      <xdr:row>25</xdr:row>
      <xdr:rowOff>152400</xdr:rowOff>
    </xdr:from>
    <xdr:to>
      <xdr:col>5</xdr:col>
      <xdr:colOff>510540</xdr:colOff>
      <xdr:row>27</xdr:row>
      <xdr:rowOff>137160</xdr:rowOff>
    </xdr:to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072F751C-4AD5-6321-1452-3FDB41442D3D}"/>
            </a:ext>
          </a:extLst>
        </xdr:cNvPr>
        <xdr:cNvSpPr txBox="1"/>
      </xdr:nvSpPr>
      <xdr:spPr>
        <a:xfrm>
          <a:off x="4267200" y="4724400"/>
          <a:ext cx="1363980" cy="3505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200" b="1" i="0">
              <a:solidFill>
                <a:schemeClr val="accent1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Essential</a:t>
          </a:r>
          <a:r>
            <a:rPr lang="en-IN" sz="1200" b="1" i="0" baseline="0">
              <a:solidFill>
                <a:schemeClr val="accent1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 Services</a:t>
          </a:r>
          <a:endParaRPr lang="en-IN" sz="1400" b="1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twoCellAnchor editAs="absolute">
    <xdr:from>
      <xdr:col>1</xdr:col>
      <xdr:colOff>209220</xdr:colOff>
      <xdr:row>27</xdr:row>
      <xdr:rowOff>175260</xdr:rowOff>
    </xdr:from>
    <xdr:to>
      <xdr:col>5</xdr:col>
      <xdr:colOff>1679880</xdr:colOff>
      <xdr:row>30</xdr:row>
      <xdr:rowOff>98220</xdr:rowOff>
    </xdr:to>
    <xdr:sp macro="" textlink="">
      <xdr:nvSpPr>
        <xdr:cNvPr id="102" name="Rectangle: Rounded Corners 101">
          <a:extLst>
            <a:ext uri="{FF2B5EF4-FFF2-40B4-BE49-F238E27FC236}">
              <a16:creationId xmlns:a16="http://schemas.microsoft.com/office/drawing/2014/main" id="{546AF0FB-3D92-7CDA-B6AD-4CE595D4DEAA}"/>
            </a:ext>
          </a:extLst>
        </xdr:cNvPr>
        <xdr:cNvSpPr/>
      </xdr:nvSpPr>
      <xdr:spPr>
        <a:xfrm>
          <a:off x="399720" y="5113020"/>
          <a:ext cx="6400800" cy="47160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40000" tIns="0" bIns="0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Note: Consider March 2020 as the onset of COVID-19 and compare inflation trends before and after March 2020.</a:t>
          </a:r>
          <a:endParaRPr lang="en-IN">
            <a:solidFill>
              <a:schemeClr val="tx1"/>
            </a:solidFill>
            <a:effectLst/>
          </a:endParaRPr>
        </a:p>
      </xdr:txBody>
    </xdr:sp>
    <xdr:clientData/>
  </xdr:twoCellAnchor>
  <xdr:twoCellAnchor editAs="absolute">
    <xdr:from>
      <xdr:col>1</xdr:col>
      <xdr:colOff>325754</xdr:colOff>
      <xdr:row>28</xdr:row>
      <xdr:rowOff>77152</xdr:rowOff>
    </xdr:from>
    <xdr:to>
      <xdr:col>1</xdr:col>
      <xdr:colOff>649754</xdr:colOff>
      <xdr:row>30</xdr:row>
      <xdr:rowOff>34916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102DC51B-96DC-2DBF-6406-1E04AB399B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duotone>
            <a:schemeClr val="accent1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6254" y="5144452"/>
          <a:ext cx="324000" cy="319714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6</xdr:col>
      <xdr:colOff>152400</xdr:colOff>
      <xdr:row>27</xdr:row>
      <xdr:rowOff>164250</xdr:rowOff>
    </xdr:from>
    <xdr:to>
      <xdr:col>10</xdr:col>
      <xdr:colOff>201600</xdr:colOff>
      <xdr:row>30</xdr:row>
      <xdr:rowOff>110070</xdr:rowOff>
    </xdr:to>
    <xdr:sp macro="" textlink="">
      <xdr:nvSpPr>
        <xdr:cNvPr id="105" name="Rectangle: Rounded Corners 104">
          <a:extLst>
            <a:ext uri="{FF2B5EF4-FFF2-40B4-BE49-F238E27FC236}">
              <a16:creationId xmlns:a16="http://schemas.microsoft.com/office/drawing/2014/main" id="{47CD89A0-778E-3C73-8E56-1F56924559B3}"/>
            </a:ext>
          </a:extLst>
        </xdr:cNvPr>
        <xdr:cNvSpPr/>
      </xdr:nvSpPr>
      <xdr:spPr>
        <a:xfrm>
          <a:off x="7932420" y="5102010"/>
          <a:ext cx="5969940" cy="49446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0000" tIns="0" bIns="0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4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COVID-19</a:t>
          </a:r>
          <a:r>
            <a:rPr lang="en-IN" sz="1400" b="1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onset (March-2020) marked a sharp shift in inflation dynamics across key categories and sectors</a:t>
          </a:r>
          <a:endParaRPr lang="en-IN" sz="1400">
            <a:solidFill>
              <a:schemeClr val="tx1"/>
            </a:solidFill>
            <a:effectLst/>
          </a:endParaRPr>
        </a:p>
      </xdr:txBody>
    </xdr:sp>
    <xdr:clientData/>
  </xdr:twoCellAnchor>
  <xdr:twoCellAnchor editAs="absolute">
    <xdr:from>
      <xdr:col>5</xdr:col>
      <xdr:colOff>2209800</xdr:colOff>
      <xdr:row>27</xdr:row>
      <xdr:rowOff>152400</xdr:rowOff>
    </xdr:from>
    <xdr:to>
      <xdr:col>6</xdr:col>
      <xdr:colOff>90420</xdr:colOff>
      <xdr:row>30</xdr:row>
      <xdr:rowOff>143760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380C962E-B72B-2A0E-1E56-34AA3668E9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duotone>
            <a:schemeClr val="accent6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0440" y="5090160"/>
          <a:ext cx="540000" cy="54000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1</xdr:col>
      <xdr:colOff>7620</xdr:colOff>
      <xdr:row>32</xdr:row>
      <xdr:rowOff>53340</xdr:rowOff>
    </xdr:from>
    <xdr:to>
      <xdr:col>7</xdr:col>
      <xdr:colOff>33131</xdr:colOff>
      <xdr:row>33</xdr:row>
      <xdr:rowOff>114300</xdr:rowOff>
    </xdr:to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AC69E9B4-2FAC-4F8E-4F7C-1BFE020E3CF0}"/>
            </a:ext>
          </a:extLst>
        </xdr:cNvPr>
        <xdr:cNvSpPr txBox="1"/>
      </xdr:nvSpPr>
      <xdr:spPr>
        <a:xfrm>
          <a:off x="199777" y="5990314"/>
          <a:ext cx="9308658" cy="246490"/>
        </a:xfrm>
        <a:prstGeom prst="rect">
          <a:avLst/>
        </a:prstGeom>
        <a:solidFill>
          <a:schemeClr val="accent2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200" b="1" cap="all">
              <a:solidFill>
                <a:schemeClr val="bg1"/>
              </a:solidFill>
            </a:rPr>
            <a:t>3</a:t>
          </a:r>
          <a:r>
            <a:rPr lang="en-IN" sz="1200" b="1" cap="all" baseline="0">
              <a:solidFill>
                <a:schemeClr val="bg1"/>
              </a:solidFill>
              <a:latin typeface="+mn-lt"/>
              <a:ea typeface="+mn-ea"/>
              <a:cs typeface="+mn-cs"/>
            </a:rPr>
            <a:t>. Impact of COVID-19 on CPI Inflation — YoY Comparison (Rural+Urban, March 2017–2023)</a:t>
          </a:r>
        </a:p>
      </xdr:txBody>
    </xdr:sp>
    <xdr:clientData/>
  </xdr:twoCellAnchor>
  <xdr:twoCellAnchor editAs="absolute">
    <xdr:from>
      <xdr:col>0</xdr:col>
      <xdr:colOff>178905</xdr:colOff>
      <xdr:row>59</xdr:row>
      <xdr:rowOff>172940</xdr:rowOff>
    </xdr:from>
    <xdr:to>
      <xdr:col>7</xdr:col>
      <xdr:colOff>17228</xdr:colOff>
      <xdr:row>83</xdr:row>
      <xdr:rowOff>104361</xdr:rowOff>
    </xdr:to>
    <xdr:graphicFrame macro="">
      <xdr:nvGraphicFramePr>
        <xdr:cNvPr id="113" name="Chart 112">
          <a:extLst>
            <a:ext uri="{FF2B5EF4-FFF2-40B4-BE49-F238E27FC236}">
              <a16:creationId xmlns:a16="http://schemas.microsoft.com/office/drawing/2014/main" id="{CD0A5B56-1182-9500-7BBB-84F7211947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absolute">
    <xdr:from>
      <xdr:col>0</xdr:col>
      <xdr:colOff>186525</xdr:colOff>
      <xdr:row>58</xdr:row>
      <xdr:rowOff>119601</xdr:rowOff>
    </xdr:from>
    <xdr:to>
      <xdr:col>7</xdr:col>
      <xdr:colOff>19879</xdr:colOff>
      <xdr:row>59</xdr:row>
      <xdr:rowOff>180560</xdr:rowOff>
    </xdr:to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7B6AC0E5-7B55-E748-A4ED-295AC944AB2B}"/>
            </a:ext>
          </a:extLst>
        </xdr:cNvPr>
        <xdr:cNvSpPr txBox="1"/>
      </xdr:nvSpPr>
      <xdr:spPr>
        <a:xfrm>
          <a:off x="186525" y="10880366"/>
          <a:ext cx="9308658" cy="246490"/>
        </a:xfrm>
        <a:prstGeom prst="rect">
          <a:avLst/>
        </a:prstGeom>
        <a:solidFill>
          <a:schemeClr val="accent2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200" b="1" cap="all">
              <a:solidFill>
                <a:schemeClr val="bg1"/>
              </a:solidFill>
            </a:rPr>
            <a:t>5</a:t>
          </a:r>
          <a:r>
            <a:rPr lang="en-IN" sz="1200" b="1" cap="all" baseline="0">
              <a:solidFill>
                <a:schemeClr val="bg1"/>
              </a:solidFill>
              <a:latin typeface="+mn-lt"/>
              <a:ea typeface="+mn-ea"/>
              <a:cs typeface="+mn-cs"/>
            </a:rPr>
            <a:t>. Impact of COVID-19 on CPI Inflation — YoY Comparison (Urban, March 2017–2023)</a:t>
          </a:r>
        </a:p>
      </xdr:txBody>
    </xdr:sp>
    <xdr:clientData/>
  </xdr:twoCellAnchor>
  <xdr:twoCellAnchor editAs="absolute">
    <xdr:from>
      <xdr:col>0</xdr:col>
      <xdr:colOff>173273</xdr:colOff>
      <xdr:row>86</xdr:row>
      <xdr:rowOff>53671</xdr:rowOff>
    </xdr:from>
    <xdr:to>
      <xdr:col>6</xdr:col>
      <xdr:colOff>1699253</xdr:colOff>
      <xdr:row>109</xdr:row>
      <xdr:rowOff>170622</xdr:rowOff>
    </xdr:to>
    <xdr:graphicFrame macro="">
      <xdr:nvGraphicFramePr>
        <xdr:cNvPr id="115" name="Chart 114">
          <a:extLst>
            <a:ext uri="{FF2B5EF4-FFF2-40B4-BE49-F238E27FC236}">
              <a16:creationId xmlns:a16="http://schemas.microsoft.com/office/drawing/2014/main" id="{8CE257B5-A0EB-1585-FE70-CD712BFC00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absolute">
    <xdr:from>
      <xdr:col>0</xdr:col>
      <xdr:colOff>173273</xdr:colOff>
      <xdr:row>85</xdr:row>
      <xdr:rowOff>331</xdr:rowOff>
    </xdr:from>
    <xdr:to>
      <xdr:col>7</xdr:col>
      <xdr:colOff>6627</xdr:colOff>
      <xdr:row>86</xdr:row>
      <xdr:rowOff>61291</xdr:rowOff>
    </xdr:to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D4BFDCC4-78FB-EC19-5DE7-0BDC85F2B4D4}"/>
            </a:ext>
          </a:extLst>
        </xdr:cNvPr>
        <xdr:cNvSpPr txBox="1"/>
      </xdr:nvSpPr>
      <xdr:spPr>
        <a:xfrm>
          <a:off x="173273" y="15770418"/>
          <a:ext cx="9308658" cy="246490"/>
        </a:xfrm>
        <a:prstGeom prst="rect">
          <a:avLst/>
        </a:prstGeom>
        <a:solidFill>
          <a:schemeClr val="accent2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200" b="1" cap="all" baseline="0">
              <a:solidFill>
                <a:schemeClr val="bg1"/>
              </a:solidFill>
              <a:latin typeface="+mn-lt"/>
              <a:ea typeface="+mn-ea"/>
              <a:cs typeface="+mn-cs"/>
            </a:rPr>
            <a:t>7. Impact of COVID-19 on CPI Inflation — YoY Comparison (Rural, March 2017–2023)</a:t>
          </a:r>
        </a:p>
      </xdr:txBody>
    </xdr:sp>
    <xdr:clientData/>
  </xdr:twoCellAnchor>
  <xdr:twoCellAnchor editAs="absolute">
    <xdr:from>
      <xdr:col>4</xdr:col>
      <xdr:colOff>1036320</xdr:colOff>
      <xdr:row>36</xdr:row>
      <xdr:rowOff>45720</xdr:rowOff>
    </xdr:from>
    <xdr:to>
      <xdr:col>5</xdr:col>
      <xdr:colOff>563880</xdr:colOff>
      <xdr:row>39</xdr:row>
      <xdr:rowOff>99060</xdr:rowOff>
    </xdr:to>
    <xdr:sp macro="" textlink="">
      <xdr:nvSpPr>
        <xdr:cNvPr id="124" name="Rectangle: Rounded Corners 123">
          <a:extLst>
            <a:ext uri="{FF2B5EF4-FFF2-40B4-BE49-F238E27FC236}">
              <a16:creationId xmlns:a16="http://schemas.microsoft.com/office/drawing/2014/main" id="{B415D1E9-C775-FA70-5422-B1C6B73038D8}"/>
            </a:ext>
          </a:extLst>
        </xdr:cNvPr>
        <xdr:cNvSpPr/>
      </xdr:nvSpPr>
      <xdr:spPr>
        <a:xfrm>
          <a:off x="4472940" y="6629400"/>
          <a:ext cx="1211580" cy="601980"/>
        </a:xfrm>
        <a:prstGeom prst="roundRect">
          <a:avLst>
            <a:gd name="adj" fmla="val 6540"/>
          </a:avLst>
        </a:prstGeom>
        <a:solidFill>
          <a:schemeClr val="bg1"/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0" rIns="36000" bIns="0" rtlCol="0" anchor="ctr"/>
        <a:lstStyle/>
        <a:p>
          <a:pPr algn="ctr"/>
          <a:r>
            <a:rPr lang="en-IN" sz="1100" b="1">
              <a:solidFill>
                <a:schemeClr val="tx1"/>
              </a:solidFill>
            </a:rPr>
            <a:t>Mar - 2020 Onset of COVID-19</a:t>
          </a:r>
          <a:r>
            <a:rPr lang="en-IN" sz="1100" b="1" baseline="0">
              <a:solidFill>
                <a:schemeClr val="tx1"/>
              </a:solidFill>
            </a:rPr>
            <a:t> &amp; First Lockdown</a:t>
          </a:r>
          <a:endParaRPr lang="en-IN" sz="1100" b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7</xdr:col>
      <xdr:colOff>246185</xdr:colOff>
      <xdr:row>32</xdr:row>
      <xdr:rowOff>51333</xdr:rowOff>
    </xdr:from>
    <xdr:to>
      <xdr:col>10</xdr:col>
      <xdr:colOff>336885</xdr:colOff>
      <xdr:row>33</xdr:row>
      <xdr:rowOff>112293</xdr:rowOff>
    </xdr:to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8D008B81-FED5-4BBC-0C08-A9C81C8783F0}"/>
            </a:ext>
          </a:extLst>
        </xdr:cNvPr>
        <xdr:cNvSpPr txBox="1"/>
      </xdr:nvSpPr>
      <xdr:spPr>
        <a:xfrm>
          <a:off x="9725465" y="5903493"/>
          <a:ext cx="4312180" cy="243840"/>
        </a:xfrm>
        <a:prstGeom prst="rect">
          <a:avLst/>
        </a:prstGeom>
        <a:solidFill>
          <a:schemeClr val="accent2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200" b="1">
              <a:solidFill>
                <a:schemeClr val="bg1"/>
              </a:solidFill>
            </a:rPr>
            <a:t>4. TOP 3 OBSERVATIONS</a:t>
          </a:r>
          <a:endParaRPr lang="en-IN" sz="1200" b="1" cap="all" baseline="0">
            <a:solidFill>
              <a:schemeClr val="bg1"/>
            </a:solidFill>
            <a:effectLst/>
          </a:endParaRPr>
        </a:p>
      </xdr:txBody>
    </xdr:sp>
    <xdr:clientData/>
  </xdr:twoCellAnchor>
  <xdr:twoCellAnchor editAs="absolute">
    <xdr:from>
      <xdr:col>7</xdr:col>
      <xdr:colOff>243017</xdr:colOff>
      <xdr:row>33</xdr:row>
      <xdr:rowOff>117401</xdr:rowOff>
    </xdr:from>
    <xdr:to>
      <xdr:col>10</xdr:col>
      <xdr:colOff>332314</xdr:colOff>
      <xdr:row>57</xdr:row>
      <xdr:rowOff>48281</xdr:rowOff>
    </xdr:to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F859C036-2344-7244-3EB4-3F9C91BB7114}"/>
            </a:ext>
          </a:extLst>
        </xdr:cNvPr>
        <xdr:cNvSpPr/>
      </xdr:nvSpPr>
      <xdr:spPr>
        <a:xfrm>
          <a:off x="9722297" y="6152441"/>
          <a:ext cx="4310777" cy="4320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endParaRPr lang="en-IN" sz="1400">
            <a:solidFill>
              <a:schemeClr val="accent2">
                <a:lumMod val="75000"/>
              </a:schemeClr>
            </a:solidFill>
            <a:effectLst/>
          </a:endParaRPr>
        </a:p>
      </xdr:txBody>
    </xdr:sp>
    <xdr:clientData/>
  </xdr:twoCellAnchor>
  <xdr:twoCellAnchor editAs="absolute">
    <xdr:from>
      <xdr:col>7</xdr:col>
      <xdr:colOff>373380</xdr:colOff>
      <xdr:row>41</xdr:row>
      <xdr:rowOff>45720</xdr:rowOff>
    </xdr:from>
    <xdr:to>
      <xdr:col>10</xdr:col>
      <xdr:colOff>205740</xdr:colOff>
      <xdr:row>41</xdr:row>
      <xdr:rowOff>45720</xdr:rowOff>
    </xdr:to>
    <xdr:cxnSp macro="">
      <xdr:nvCxnSpPr>
        <xdr:cNvPr id="129" name="Straight Connector 128">
          <a:extLst>
            <a:ext uri="{FF2B5EF4-FFF2-40B4-BE49-F238E27FC236}">
              <a16:creationId xmlns:a16="http://schemas.microsoft.com/office/drawing/2014/main" id="{0AD23CD3-73D9-0065-FAFE-709F6B07AC76}"/>
            </a:ext>
          </a:extLst>
        </xdr:cNvPr>
        <xdr:cNvCxnSpPr/>
      </xdr:nvCxnSpPr>
      <xdr:spPr>
        <a:xfrm>
          <a:off x="9852660" y="7543800"/>
          <a:ext cx="4053840" cy="0"/>
        </a:xfrm>
        <a:prstGeom prst="line">
          <a:avLst/>
        </a:prstGeom>
        <a:ln>
          <a:noFill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absolute">
    <xdr:from>
      <xdr:col>7</xdr:col>
      <xdr:colOff>373380</xdr:colOff>
      <xdr:row>48</xdr:row>
      <xdr:rowOff>99060</xdr:rowOff>
    </xdr:from>
    <xdr:to>
      <xdr:col>10</xdr:col>
      <xdr:colOff>205740</xdr:colOff>
      <xdr:row>48</xdr:row>
      <xdr:rowOff>99060</xdr:rowOff>
    </xdr:to>
    <xdr:cxnSp macro="">
      <xdr:nvCxnSpPr>
        <xdr:cNvPr id="130" name="Straight Connector 129">
          <a:extLst>
            <a:ext uri="{FF2B5EF4-FFF2-40B4-BE49-F238E27FC236}">
              <a16:creationId xmlns:a16="http://schemas.microsoft.com/office/drawing/2014/main" id="{08CA3843-EA49-1C6D-0FFE-E99087DD5BF0}"/>
            </a:ext>
          </a:extLst>
        </xdr:cNvPr>
        <xdr:cNvCxnSpPr/>
      </xdr:nvCxnSpPr>
      <xdr:spPr>
        <a:xfrm>
          <a:off x="9852660" y="8877300"/>
          <a:ext cx="4053840" cy="0"/>
        </a:xfrm>
        <a:prstGeom prst="line">
          <a:avLst/>
        </a:prstGeom>
        <a:ln>
          <a:noFill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absolute">
    <xdr:from>
      <xdr:col>7</xdr:col>
      <xdr:colOff>537210</xdr:colOff>
      <xdr:row>35</xdr:row>
      <xdr:rowOff>0</xdr:rowOff>
    </xdr:from>
    <xdr:to>
      <xdr:col>10</xdr:col>
      <xdr:colOff>361950</xdr:colOff>
      <xdr:row>40</xdr:row>
      <xdr:rowOff>83820</xdr:rowOff>
    </xdr:to>
    <xdr:sp macro="" textlink="">
      <xdr:nvSpPr>
        <xdr:cNvPr id="125" name="Rectangle: Rounded Corners 124">
          <a:extLst>
            <a:ext uri="{FF2B5EF4-FFF2-40B4-BE49-F238E27FC236}">
              <a16:creationId xmlns:a16="http://schemas.microsoft.com/office/drawing/2014/main" id="{11B4F1E3-91E8-EC9D-A93F-E3CDDA4F887C}"/>
            </a:ext>
          </a:extLst>
        </xdr:cNvPr>
        <xdr:cNvSpPr/>
      </xdr:nvSpPr>
      <xdr:spPr>
        <a:xfrm>
          <a:off x="10016490" y="6400800"/>
          <a:ext cx="4046220" cy="99822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40000" tIns="0" bIns="0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4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Transport &amp; Communication peaked at 12.55% in Mar-2021, the highest category inflation observed.</a:t>
          </a:r>
          <a:endParaRPr lang="en-IN" sz="14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 editAs="absolute">
    <xdr:from>
      <xdr:col>7</xdr:col>
      <xdr:colOff>426720</xdr:colOff>
      <xdr:row>36</xdr:row>
      <xdr:rowOff>7620</xdr:rowOff>
    </xdr:from>
    <xdr:to>
      <xdr:col>7</xdr:col>
      <xdr:colOff>1002720</xdr:colOff>
      <xdr:row>39</xdr:row>
      <xdr:rowOff>34980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BFB78353-6F05-D50E-AFE9-50E934A402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duotone>
            <a:schemeClr val="accent1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11">
                  <a14:imgEffect>
                    <a14:colorTemperature colorTemp="11500"/>
                  </a14:imgEffect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00" y="6591300"/>
          <a:ext cx="576000" cy="5760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absolute">
    <xdr:from>
      <xdr:col>7</xdr:col>
      <xdr:colOff>537210</xdr:colOff>
      <xdr:row>42</xdr:row>
      <xdr:rowOff>38100</xdr:rowOff>
    </xdr:from>
    <xdr:to>
      <xdr:col>10</xdr:col>
      <xdr:colOff>361950</xdr:colOff>
      <xdr:row>47</xdr:row>
      <xdr:rowOff>121920</xdr:rowOff>
    </xdr:to>
    <xdr:sp macro="" textlink="">
      <xdr:nvSpPr>
        <xdr:cNvPr id="126" name="Rectangle: Rounded Corners 125">
          <a:extLst>
            <a:ext uri="{FF2B5EF4-FFF2-40B4-BE49-F238E27FC236}">
              <a16:creationId xmlns:a16="http://schemas.microsoft.com/office/drawing/2014/main" id="{EE85951A-5203-0448-17D4-746D7885F66C}"/>
            </a:ext>
          </a:extLst>
        </xdr:cNvPr>
        <xdr:cNvSpPr/>
      </xdr:nvSpPr>
      <xdr:spPr>
        <a:xfrm>
          <a:off x="10016490" y="7719060"/>
          <a:ext cx="4046220" cy="99822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40000" tIns="0" bIns="0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4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Health inflation reached 8.86% in Mar-2019, its highest level in the period.</a:t>
          </a:r>
        </a:p>
      </xdr:txBody>
    </xdr:sp>
    <xdr:clientData/>
  </xdr:twoCellAnchor>
  <xdr:twoCellAnchor editAs="absolute">
    <xdr:from>
      <xdr:col>7</xdr:col>
      <xdr:colOff>426720</xdr:colOff>
      <xdr:row>43</xdr:row>
      <xdr:rowOff>45720</xdr:rowOff>
    </xdr:from>
    <xdr:to>
      <xdr:col>7</xdr:col>
      <xdr:colOff>1002720</xdr:colOff>
      <xdr:row>46</xdr:row>
      <xdr:rowOff>73080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97D5F583-54BB-8288-8568-299ADFF68C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duotone>
            <a:schemeClr val="accent6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00" y="7909560"/>
          <a:ext cx="576000" cy="57600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7</xdr:col>
      <xdr:colOff>537210</xdr:colOff>
      <xdr:row>49</xdr:row>
      <xdr:rowOff>76200</xdr:rowOff>
    </xdr:from>
    <xdr:to>
      <xdr:col>10</xdr:col>
      <xdr:colOff>361950</xdr:colOff>
      <xdr:row>54</xdr:row>
      <xdr:rowOff>160020</xdr:rowOff>
    </xdr:to>
    <xdr:sp macro="" textlink="">
      <xdr:nvSpPr>
        <xdr:cNvPr id="127" name="Rectangle: Rounded Corners 126">
          <a:extLst>
            <a:ext uri="{FF2B5EF4-FFF2-40B4-BE49-F238E27FC236}">
              <a16:creationId xmlns:a16="http://schemas.microsoft.com/office/drawing/2014/main" id="{A0596E60-C494-1D22-81B9-12C526392E7F}"/>
            </a:ext>
          </a:extLst>
        </xdr:cNvPr>
        <xdr:cNvSpPr/>
      </xdr:nvSpPr>
      <xdr:spPr>
        <a:xfrm>
          <a:off x="10016490" y="9037320"/>
          <a:ext cx="4046220" cy="99822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40000" tIns="0" bIns="0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4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Fuel &amp; Light climbed to 8.79% in Mar-2023, remaining elevated even as General Index inflation moderated.</a:t>
          </a:r>
        </a:p>
      </xdr:txBody>
    </xdr:sp>
    <xdr:clientData/>
  </xdr:twoCellAnchor>
  <xdr:twoCellAnchor editAs="absolute">
    <xdr:from>
      <xdr:col>7</xdr:col>
      <xdr:colOff>426720</xdr:colOff>
      <xdr:row>50</xdr:row>
      <xdr:rowOff>91440</xdr:rowOff>
    </xdr:from>
    <xdr:to>
      <xdr:col>7</xdr:col>
      <xdr:colOff>1002720</xdr:colOff>
      <xdr:row>53</xdr:row>
      <xdr:rowOff>118800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FBBBA4FB-FD84-3197-3499-9CA01CF812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duotone>
            <a:schemeClr val="accent5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00" y="9235440"/>
          <a:ext cx="576000" cy="57600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7</xdr:col>
      <xdr:colOff>230945</xdr:colOff>
      <xdr:row>58</xdr:row>
      <xdr:rowOff>119913</xdr:rowOff>
    </xdr:from>
    <xdr:to>
      <xdr:col>10</xdr:col>
      <xdr:colOff>321645</xdr:colOff>
      <xdr:row>59</xdr:row>
      <xdr:rowOff>180873</xdr:rowOff>
    </xdr:to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363546DD-50F8-86A6-F2A5-33DE9B29E7EE}"/>
            </a:ext>
          </a:extLst>
        </xdr:cNvPr>
        <xdr:cNvSpPr txBox="1"/>
      </xdr:nvSpPr>
      <xdr:spPr>
        <a:xfrm>
          <a:off x="9710225" y="10726953"/>
          <a:ext cx="4312180" cy="243840"/>
        </a:xfrm>
        <a:prstGeom prst="rect">
          <a:avLst/>
        </a:prstGeom>
        <a:solidFill>
          <a:schemeClr val="accent2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rtl="0" eaLnBrk="1" fontAlgn="auto" latinLnBrk="0" hangingPunct="1"/>
          <a:r>
            <a:rPr lang="en-IN" sz="1200" b="1" baseline="0">
              <a:solidFill>
                <a:schemeClr val="bg1"/>
              </a:solidFill>
              <a:latin typeface="+mn-lt"/>
              <a:ea typeface="+mn-ea"/>
              <a:cs typeface="+mn-cs"/>
            </a:rPr>
            <a:t>6. TOP 3 OBSERVATIONS</a:t>
          </a:r>
        </a:p>
      </xdr:txBody>
    </xdr:sp>
    <xdr:clientData/>
  </xdr:twoCellAnchor>
  <xdr:twoCellAnchor editAs="absolute">
    <xdr:from>
      <xdr:col>7</xdr:col>
      <xdr:colOff>227777</xdr:colOff>
      <xdr:row>60</xdr:row>
      <xdr:rowOff>3101</xdr:rowOff>
    </xdr:from>
    <xdr:to>
      <xdr:col>10</xdr:col>
      <xdr:colOff>317074</xdr:colOff>
      <xdr:row>83</xdr:row>
      <xdr:rowOff>116861</xdr:rowOff>
    </xdr:to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E77414E9-33F8-DD7D-7C3F-AB52AEB0B6C2}"/>
            </a:ext>
          </a:extLst>
        </xdr:cNvPr>
        <xdr:cNvSpPr/>
      </xdr:nvSpPr>
      <xdr:spPr>
        <a:xfrm>
          <a:off x="9707057" y="10975901"/>
          <a:ext cx="4310777" cy="4320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endParaRPr lang="en-IN" sz="1400">
            <a:solidFill>
              <a:schemeClr val="accent2">
                <a:lumMod val="75000"/>
              </a:schemeClr>
            </a:solidFill>
            <a:effectLst/>
          </a:endParaRPr>
        </a:p>
      </xdr:txBody>
    </xdr:sp>
    <xdr:clientData/>
  </xdr:twoCellAnchor>
  <xdr:twoCellAnchor editAs="absolute">
    <xdr:from>
      <xdr:col>7</xdr:col>
      <xdr:colOff>358140</xdr:colOff>
      <xdr:row>67</xdr:row>
      <xdr:rowOff>114300</xdr:rowOff>
    </xdr:from>
    <xdr:to>
      <xdr:col>10</xdr:col>
      <xdr:colOff>190500</xdr:colOff>
      <xdr:row>67</xdr:row>
      <xdr:rowOff>114300</xdr:rowOff>
    </xdr:to>
    <xdr:cxnSp macro="">
      <xdr:nvCxnSpPr>
        <xdr:cNvPr id="149" name="Straight Connector 148">
          <a:extLst>
            <a:ext uri="{FF2B5EF4-FFF2-40B4-BE49-F238E27FC236}">
              <a16:creationId xmlns:a16="http://schemas.microsoft.com/office/drawing/2014/main" id="{D7E30E0A-9245-7854-6AC6-7F757AEF9BC1}"/>
            </a:ext>
          </a:extLst>
        </xdr:cNvPr>
        <xdr:cNvCxnSpPr/>
      </xdr:nvCxnSpPr>
      <xdr:spPr>
        <a:xfrm>
          <a:off x="9837420" y="12367260"/>
          <a:ext cx="4053840" cy="0"/>
        </a:xfrm>
        <a:prstGeom prst="line">
          <a:avLst/>
        </a:prstGeom>
        <a:ln>
          <a:noFill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absolute">
    <xdr:from>
      <xdr:col>7</xdr:col>
      <xdr:colOff>358140</xdr:colOff>
      <xdr:row>74</xdr:row>
      <xdr:rowOff>167640</xdr:rowOff>
    </xdr:from>
    <xdr:to>
      <xdr:col>10</xdr:col>
      <xdr:colOff>190500</xdr:colOff>
      <xdr:row>74</xdr:row>
      <xdr:rowOff>167640</xdr:rowOff>
    </xdr:to>
    <xdr:cxnSp macro="">
      <xdr:nvCxnSpPr>
        <xdr:cNvPr id="150" name="Straight Connector 149">
          <a:extLst>
            <a:ext uri="{FF2B5EF4-FFF2-40B4-BE49-F238E27FC236}">
              <a16:creationId xmlns:a16="http://schemas.microsoft.com/office/drawing/2014/main" id="{AACBE269-FC9F-91B6-A21F-5841B15D0AF0}"/>
            </a:ext>
          </a:extLst>
        </xdr:cNvPr>
        <xdr:cNvCxnSpPr/>
      </xdr:nvCxnSpPr>
      <xdr:spPr>
        <a:xfrm>
          <a:off x="9837420" y="13700760"/>
          <a:ext cx="4053840" cy="0"/>
        </a:xfrm>
        <a:prstGeom prst="line">
          <a:avLst/>
        </a:prstGeom>
        <a:ln>
          <a:noFill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absolute">
    <xdr:from>
      <xdr:col>7</xdr:col>
      <xdr:colOff>521970</xdr:colOff>
      <xdr:row>61</xdr:row>
      <xdr:rowOff>68580</xdr:rowOff>
    </xdr:from>
    <xdr:to>
      <xdr:col>10</xdr:col>
      <xdr:colOff>346710</xdr:colOff>
      <xdr:row>66</xdr:row>
      <xdr:rowOff>152400</xdr:rowOff>
    </xdr:to>
    <xdr:sp macro="" textlink="">
      <xdr:nvSpPr>
        <xdr:cNvPr id="158" name="Rectangle: Rounded Corners 157">
          <a:extLst>
            <a:ext uri="{FF2B5EF4-FFF2-40B4-BE49-F238E27FC236}">
              <a16:creationId xmlns:a16="http://schemas.microsoft.com/office/drawing/2014/main" id="{FD73080A-2CB9-C8E4-A61F-2CA2D9F1A2B7}"/>
            </a:ext>
          </a:extLst>
        </xdr:cNvPr>
        <xdr:cNvSpPr/>
      </xdr:nvSpPr>
      <xdr:spPr>
        <a:xfrm>
          <a:off x="10001250" y="11224260"/>
          <a:ext cx="4046220" cy="99822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40000" tIns="0" bIns="0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4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Transport &amp; Communication peaked at 13.72% in Mar-2021, the highest Urban inflation observed.</a:t>
          </a:r>
        </a:p>
      </xdr:txBody>
    </xdr:sp>
    <xdr:clientData/>
  </xdr:twoCellAnchor>
  <xdr:twoCellAnchor editAs="absolute">
    <xdr:from>
      <xdr:col>7</xdr:col>
      <xdr:colOff>415290</xdr:colOff>
      <xdr:row>62</xdr:row>
      <xdr:rowOff>76200</xdr:rowOff>
    </xdr:from>
    <xdr:to>
      <xdr:col>7</xdr:col>
      <xdr:colOff>991290</xdr:colOff>
      <xdr:row>65</xdr:row>
      <xdr:rowOff>103560</xdr:rowOff>
    </xdr:to>
    <xdr:pic>
      <xdr:nvPicPr>
        <xdr:cNvPr id="159" name="Picture 158">
          <a:extLst>
            <a:ext uri="{FF2B5EF4-FFF2-40B4-BE49-F238E27FC236}">
              <a16:creationId xmlns:a16="http://schemas.microsoft.com/office/drawing/2014/main" id="{7079B187-C54D-3B16-B557-F26A76E1E0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duotone>
            <a:schemeClr val="accent1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11">
                  <a14:imgEffect>
                    <a14:colorTemperature colorTemp="11500"/>
                  </a14:imgEffect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94570" y="11414760"/>
          <a:ext cx="576000" cy="5760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absolute">
    <xdr:from>
      <xdr:col>7</xdr:col>
      <xdr:colOff>521970</xdr:colOff>
      <xdr:row>68</xdr:row>
      <xdr:rowOff>106680</xdr:rowOff>
    </xdr:from>
    <xdr:to>
      <xdr:col>10</xdr:col>
      <xdr:colOff>346710</xdr:colOff>
      <xdr:row>74</xdr:row>
      <xdr:rowOff>7620</xdr:rowOff>
    </xdr:to>
    <xdr:sp macro="" textlink="">
      <xdr:nvSpPr>
        <xdr:cNvPr id="156" name="Rectangle: Rounded Corners 155">
          <a:extLst>
            <a:ext uri="{FF2B5EF4-FFF2-40B4-BE49-F238E27FC236}">
              <a16:creationId xmlns:a16="http://schemas.microsoft.com/office/drawing/2014/main" id="{C5E09340-A8DF-35A8-79CF-E0143E6AEAC7}"/>
            </a:ext>
          </a:extLst>
        </xdr:cNvPr>
        <xdr:cNvSpPr/>
      </xdr:nvSpPr>
      <xdr:spPr>
        <a:xfrm>
          <a:off x="10001250" y="12542520"/>
          <a:ext cx="4046220" cy="99822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40000" tIns="0" bIns="0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4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Fuel &amp; Light reached 11.00% in Mar-2023, its highest point in the period.</a:t>
          </a:r>
        </a:p>
      </xdr:txBody>
    </xdr:sp>
    <xdr:clientData/>
  </xdr:twoCellAnchor>
  <xdr:twoCellAnchor editAs="absolute">
    <xdr:from>
      <xdr:col>7</xdr:col>
      <xdr:colOff>521970</xdr:colOff>
      <xdr:row>75</xdr:row>
      <xdr:rowOff>144780</xdr:rowOff>
    </xdr:from>
    <xdr:to>
      <xdr:col>10</xdr:col>
      <xdr:colOff>346710</xdr:colOff>
      <xdr:row>81</xdr:row>
      <xdr:rowOff>45720</xdr:rowOff>
    </xdr:to>
    <xdr:sp macro="" textlink="">
      <xdr:nvSpPr>
        <xdr:cNvPr id="154" name="Rectangle: Rounded Corners 153">
          <a:extLst>
            <a:ext uri="{FF2B5EF4-FFF2-40B4-BE49-F238E27FC236}">
              <a16:creationId xmlns:a16="http://schemas.microsoft.com/office/drawing/2014/main" id="{D0153581-DEEA-BF6E-0AEA-0D32D638BE9E}"/>
            </a:ext>
          </a:extLst>
        </xdr:cNvPr>
        <xdr:cNvSpPr/>
      </xdr:nvSpPr>
      <xdr:spPr>
        <a:xfrm>
          <a:off x="10001250" y="13860780"/>
          <a:ext cx="4046220" cy="99822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40000" tIns="0" bIns="0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4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Food inflation peaked at 8.91% in Mar-2021, alongside elevated Health inflation of 8.21%.</a:t>
          </a:r>
        </a:p>
      </xdr:txBody>
    </xdr:sp>
    <xdr:clientData/>
  </xdr:twoCellAnchor>
  <xdr:twoCellAnchor editAs="absolute">
    <xdr:from>
      <xdr:col>7</xdr:col>
      <xdr:colOff>415290</xdr:colOff>
      <xdr:row>69</xdr:row>
      <xdr:rowOff>137160</xdr:rowOff>
    </xdr:from>
    <xdr:to>
      <xdr:col>7</xdr:col>
      <xdr:colOff>991290</xdr:colOff>
      <xdr:row>72</xdr:row>
      <xdr:rowOff>164520</xdr:rowOff>
    </xdr:to>
    <xdr:pic>
      <xdr:nvPicPr>
        <xdr:cNvPr id="155" name="Picture 154">
          <a:extLst>
            <a:ext uri="{FF2B5EF4-FFF2-40B4-BE49-F238E27FC236}">
              <a16:creationId xmlns:a16="http://schemas.microsoft.com/office/drawing/2014/main" id="{F7014FD7-ACCC-8F2C-8EA7-5628F7DC14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duotone>
            <a:schemeClr val="accent5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94570" y="12755880"/>
          <a:ext cx="576000" cy="57600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7</xdr:col>
      <xdr:colOff>223325</xdr:colOff>
      <xdr:row>84</xdr:row>
      <xdr:rowOff>173253</xdr:rowOff>
    </xdr:from>
    <xdr:to>
      <xdr:col>10</xdr:col>
      <xdr:colOff>314025</xdr:colOff>
      <xdr:row>86</xdr:row>
      <xdr:rowOff>51333</xdr:rowOff>
    </xdr:to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B6D6AAD9-3299-6296-7417-601D0051A52D}"/>
            </a:ext>
          </a:extLst>
        </xdr:cNvPr>
        <xdr:cNvSpPr txBox="1"/>
      </xdr:nvSpPr>
      <xdr:spPr>
        <a:xfrm>
          <a:off x="9702605" y="15535173"/>
          <a:ext cx="4312180" cy="243840"/>
        </a:xfrm>
        <a:prstGeom prst="rect">
          <a:avLst/>
        </a:prstGeom>
        <a:solidFill>
          <a:schemeClr val="accent2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200" b="1" baseline="0">
              <a:solidFill>
                <a:schemeClr val="bg1"/>
              </a:solidFill>
              <a:latin typeface="+mn-lt"/>
              <a:ea typeface="+mn-ea"/>
              <a:cs typeface="+mn-cs"/>
            </a:rPr>
            <a:t>8. TOP 3 OBSERVATIONS</a:t>
          </a:r>
        </a:p>
      </xdr:txBody>
    </xdr:sp>
    <xdr:clientData/>
  </xdr:twoCellAnchor>
  <xdr:twoCellAnchor editAs="absolute">
    <xdr:from>
      <xdr:col>7</xdr:col>
      <xdr:colOff>220157</xdr:colOff>
      <xdr:row>86</xdr:row>
      <xdr:rowOff>56441</xdr:rowOff>
    </xdr:from>
    <xdr:to>
      <xdr:col>10</xdr:col>
      <xdr:colOff>309454</xdr:colOff>
      <xdr:row>109</xdr:row>
      <xdr:rowOff>170201</xdr:rowOff>
    </xdr:to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A105D489-AB8B-E33B-C245-FDE9A1837F4C}"/>
            </a:ext>
          </a:extLst>
        </xdr:cNvPr>
        <xdr:cNvSpPr/>
      </xdr:nvSpPr>
      <xdr:spPr>
        <a:xfrm>
          <a:off x="9699437" y="15784121"/>
          <a:ext cx="4310777" cy="4320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endParaRPr lang="en-IN" sz="1400">
            <a:solidFill>
              <a:schemeClr val="accent2">
                <a:lumMod val="75000"/>
              </a:schemeClr>
            </a:solidFill>
            <a:effectLst/>
          </a:endParaRPr>
        </a:p>
      </xdr:txBody>
    </xdr:sp>
    <xdr:clientData/>
  </xdr:twoCellAnchor>
  <xdr:twoCellAnchor editAs="absolute">
    <xdr:from>
      <xdr:col>7</xdr:col>
      <xdr:colOff>350520</xdr:colOff>
      <xdr:row>93</xdr:row>
      <xdr:rowOff>167640</xdr:rowOff>
    </xdr:from>
    <xdr:to>
      <xdr:col>10</xdr:col>
      <xdr:colOff>182880</xdr:colOff>
      <xdr:row>93</xdr:row>
      <xdr:rowOff>167640</xdr:rowOff>
    </xdr:to>
    <xdr:cxnSp macro="">
      <xdr:nvCxnSpPr>
        <xdr:cNvPr id="163" name="Straight Connector 162">
          <a:extLst>
            <a:ext uri="{FF2B5EF4-FFF2-40B4-BE49-F238E27FC236}">
              <a16:creationId xmlns:a16="http://schemas.microsoft.com/office/drawing/2014/main" id="{843810B5-CB9E-0E26-9730-E1BE100931A7}"/>
            </a:ext>
          </a:extLst>
        </xdr:cNvPr>
        <xdr:cNvCxnSpPr/>
      </xdr:nvCxnSpPr>
      <xdr:spPr>
        <a:xfrm>
          <a:off x="9829800" y="17175480"/>
          <a:ext cx="4053840" cy="0"/>
        </a:xfrm>
        <a:prstGeom prst="line">
          <a:avLst/>
        </a:prstGeom>
        <a:ln>
          <a:noFill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absolute">
    <xdr:from>
      <xdr:col>7</xdr:col>
      <xdr:colOff>350520</xdr:colOff>
      <xdr:row>101</xdr:row>
      <xdr:rowOff>38100</xdr:rowOff>
    </xdr:from>
    <xdr:to>
      <xdr:col>10</xdr:col>
      <xdr:colOff>182880</xdr:colOff>
      <xdr:row>101</xdr:row>
      <xdr:rowOff>38100</xdr:rowOff>
    </xdr:to>
    <xdr:cxnSp macro="">
      <xdr:nvCxnSpPr>
        <xdr:cNvPr id="164" name="Straight Connector 163">
          <a:extLst>
            <a:ext uri="{FF2B5EF4-FFF2-40B4-BE49-F238E27FC236}">
              <a16:creationId xmlns:a16="http://schemas.microsoft.com/office/drawing/2014/main" id="{80939180-BCCD-52AC-1752-BA6A331F6F29}"/>
            </a:ext>
          </a:extLst>
        </xdr:cNvPr>
        <xdr:cNvCxnSpPr/>
      </xdr:nvCxnSpPr>
      <xdr:spPr>
        <a:xfrm>
          <a:off x="9829800" y="18508980"/>
          <a:ext cx="4053840" cy="0"/>
        </a:xfrm>
        <a:prstGeom prst="line">
          <a:avLst/>
        </a:prstGeom>
        <a:ln>
          <a:noFill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absolute">
    <xdr:from>
      <xdr:col>7</xdr:col>
      <xdr:colOff>514350</xdr:colOff>
      <xdr:row>87</xdr:row>
      <xdr:rowOff>121920</xdr:rowOff>
    </xdr:from>
    <xdr:to>
      <xdr:col>10</xdr:col>
      <xdr:colOff>339090</xdr:colOff>
      <xdr:row>93</xdr:row>
      <xdr:rowOff>22860</xdr:rowOff>
    </xdr:to>
    <xdr:sp macro="" textlink="">
      <xdr:nvSpPr>
        <xdr:cNvPr id="172" name="Rectangle: Rounded Corners 171">
          <a:extLst>
            <a:ext uri="{FF2B5EF4-FFF2-40B4-BE49-F238E27FC236}">
              <a16:creationId xmlns:a16="http://schemas.microsoft.com/office/drawing/2014/main" id="{E833605E-8243-ABA0-B783-41065E54E13A}"/>
            </a:ext>
          </a:extLst>
        </xdr:cNvPr>
        <xdr:cNvSpPr/>
      </xdr:nvSpPr>
      <xdr:spPr>
        <a:xfrm>
          <a:off x="9993630" y="16032480"/>
          <a:ext cx="4046220" cy="99822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40000" tIns="0" bIns="0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4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Health inflation peaked at 10.02% in Mar-2019, the highest Rural category observation.</a:t>
          </a:r>
        </a:p>
      </xdr:txBody>
    </xdr:sp>
    <xdr:clientData/>
  </xdr:twoCellAnchor>
  <xdr:twoCellAnchor editAs="absolute">
    <xdr:from>
      <xdr:col>7</xdr:col>
      <xdr:colOff>392430</xdr:colOff>
      <xdr:row>95</xdr:row>
      <xdr:rowOff>167640</xdr:rowOff>
    </xdr:from>
    <xdr:to>
      <xdr:col>7</xdr:col>
      <xdr:colOff>968430</xdr:colOff>
      <xdr:row>99</xdr:row>
      <xdr:rowOff>12120</xdr:rowOff>
    </xdr:to>
    <xdr:pic>
      <xdr:nvPicPr>
        <xdr:cNvPr id="173" name="Picture 172">
          <a:extLst>
            <a:ext uri="{FF2B5EF4-FFF2-40B4-BE49-F238E27FC236}">
              <a16:creationId xmlns:a16="http://schemas.microsoft.com/office/drawing/2014/main" id="{94ABF1E5-1819-95A4-8B71-8876AFEF2A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duotone>
            <a:schemeClr val="accent1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11">
                  <a14:imgEffect>
                    <a14:colorTemperature colorTemp="11500"/>
                  </a14:imgEffect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71710" y="17541240"/>
          <a:ext cx="576000" cy="5760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absolute">
    <xdr:from>
      <xdr:col>7</xdr:col>
      <xdr:colOff>514350</xdr:colOff>
      <xdr:row>94</xdr:row>
      <xdr:rowOff>160020</xdr:rowOff>
    </xdr:from>
    <xdr:to>
      <xdr:col>10</xdr:col>
      <xdr:colOff>339090</xdr:colOff>
      <xdr:row>100</xdr:row>
      <xdr:rowOff>60960</xdr:rowOff>
    </xdr:to>
    <xdr:sp macro="" textlink="">
      <xdr:nvSpPr>
        <xdr:cNvPr id="170" name="Rectangle: Rounded Corners 169">
          <a:extLst>
            <a:ext uri="{FF2B5EF4-FFF2-40B4-BE49-F238E27FC236}">
              <a16:creationId xmlns:a16="http://schemas.microsoft.com/office/drawing/2014/main" id="{929F0B98-0F25-AFAE-B707-44DE316BF677}"/>
            </a:ext>
          </a:extLst>
        </xdr:cNvPr>
        <xdr:cNvSpPr/>
      </xdr:nvSpPr>
      <xdr:spPr>
        <a:xfrm>
          <a:off x="9993630" y="17350740"/>
          <a:ext cx="4046220" cy="99822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40000" tIns="0" bIns="0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4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Transport &amp; Communication reached 11.41% in Mar-2021, marking a sharp post-COVID spike.</a:t>
          </a:r>
        </a:p>
      </xdr:txBody>
    </xdr:sp>
    <xdr:clientData/>
  </xdr:twoCellAnchor>
  <xdr:twoCellAnchor editAs="absolute">
    <xdr:from>
      <xdr:col>7</xdr:col>
      <xdr:colOff>392430</xdr:colOff>
      <xdr:row>88</xdr:row>
      <xdr:rowOff>121920</xdr:rowOff>
    </xdr:from>
    <xdr:to>
      <xdr:col>7</xdr:col>
      <xdr:colOff>968430</xdr:colOff>
      <xdr:row>91</xdr:row>
      <xdr:rowOff>149280</xdr:rowOff>
    </xdr:to>
    <xdr:pic>
      <xdr:nvPicPr>
        <xdr:cNvPr id="171" name="Picture 170">
          <a:extLst>
            <a:ext uri="{FF2B5EF4-FFF2-40B4-BE49-F238E27FC236}">
              <a16:creationId xmlns:a16="http://schemas.microsoft.com/office/drawing/2014/main" id="{DFB5E64C-76D5-86EE-70B6-D2CFF87818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duotone>
            <a:schemeClr val="accent6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71710" y="16215360"/>
          <a:ext cx="576000" cy="57600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7</xdr:col>
      <xdr:colOff>514350</xdr:colOff>
      <xdr:row>102</xdr:row>
      <xdr:rowOff>15240</xdr:rowOff>
    </xdr:from>
    <xdr:to>
      <xdr:col>10</xdr:col>
      <xdr:colOff>339090</xdr:colOff>
      <xdr:row>107</xdr:row>
      <xdr:rowOff>99060</xdr:rowOff>
    </xdr:to>
    <xdr:sp macro="" textlink="">
      <xdr:nvSpPr>
        <xdr:cNvPr id="168" name="Rectangle: Rounded Corners 167">
          <a:extLst>
            <a:ext uri="{FF2B5EF4-FFF2-40B4-BE49-F238E27FC236}">
              <a16:creationId xmlns:a16="http://schemas.microsoft.com/office/drawing/2014/main" id="{061DBFB9-50F3-9864-0F93-06C83CA0F0ED}"/>
            </a:ext>
          </a:extLst>
        </xdr:cNvPr>
        <xdr:cNvSpPr/>
      </xdr:nvSpPr>
      <xdr:spPr>
        <a:xfrm>
          <a:off x="9993630" y="18669000"/>
          <a:ext cx="4046220" cy="99822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40000" tIns="0" bIns="0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4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General Index inflation peaked at 7.66% in Mar-2022, with Fuel &amp; Light also high at 8.27%.</a:t>
          </a:r>
        </a:p>
      </xdr:txBody>
    </xdr:sp>
    <xdr:clientData/>
  </xdr:twoCellAnchor>
  <xdr:twoCellAnchor editAs="absolute">
    <xdr:from>
      <xdr:col>7</xdr:col>
      <xdr:colOff>392430</xdr:colOff>
      <xdr:row>103</xdr:row>
      <xdr:rowOff>30480</xdr:rowOff>
    </xdr:from>
    <xdr:to>
      <xdr:col>7</xdr:col>
      <xdr:colOff>968430</xdr:colOff>
      <xdr:row>106</xdr:row>
      <xdr:rowOff>57840</xdr:rowOff>
    </xdr:to>
    <xdr:pic>
      <xdr:nvPicPr>
        <xdr:cNvPr id="169" name="Picture 168">
          <a:extLst>
            <a:ext uri="{FF2B5EF4-FFF2-40B4-BE49-F238E27FC236}">
              <a16:creationId xmlns:a16="http://schemas.microsoft.com/office/drawing/2014/main" id="{AA4F18DA-BDD5-4F01-2754-0F57CBBB46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duotone>
            <a:schemeClr val="accent5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71710" y="18867120"/>
          <a:ext cx="576000" cy="57600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7</xdr:col>
      <xdr:colOff>415290</xdr:colOff>
      <xdr:row>76</xdr:row>
      <xdr:rowOff>160020</xdr:rowOff>
    </xdr:from>
    <xdr:to>
      <xdr:col>7</xdr:col>
      <xdr:colOff>991290</xdr:colOff>
      <xdr:row>80</xdr:row>
      <xdr:rowOff>4500</xdr:rowOff>
    </xdr:to>
    <xdr:pic>
      <xdr:nvPicPr>
        <xdr:cNvPr id="175" name="Picture 174">
          <a:extLst>
            <a:ext uri="{FF2B5EF4-FFF2-40B4-BE49-F238E27FC236}">
              <a16:creationId xmlns:a16="http://schemas.microsoft.com/office/drawing/2014/main" id="{8548ABFF-F7BB-0FA2-6935-AD9A7DC827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duotone>
            <a:schemeClr val="accent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94570" y="14058900"/>
          <a:ext cx="576000" cy="57600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1</xdr:col>
      <xdr:colOff>0</xdr:colOff>
      <xdr:row>112</xdr:row>
      <xdr:rowOff>96739</xdr:rowOff>
    </xdr:from>
    <xdr:to>
      <xdr:col>5</xdr:col>
      <xdr:colOff>1874192</xdr:colOff>
      <xdr:row>123</xdr:row>
      <xdr:rowOff>1</xdr:rowOff>
    </xdr:to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184537A1-06C7-43D4-A1A9-69D1E2A6BAD6}"/>
            </a:ext>
          </a:extLst>
        </xdr:cNvPr>
        <xdr:cNvSpPr/>
      </xdr:nvSpPr>
      <xdr:spPr>
        <a:xfrm>
          <a:off x="190500" y="20579299"/>
          <a:ext cx="6804332" cy="1914942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endParaRPr lang="en-IN" sz="1400">
            <a:solidFill>
              <a:schemeClr val="accent2">
                <a:lumMod val="75000"/>
              </a:schemeClr>
            </a:solidFill>
            <a:effectLst/>
          </a:endParaRPr>
        </a:p>
      </xdr:txBody>
    </xdr:sp>
    <xdr:clientData/>
  </xdr:twoCellAnchor>
  <xdr:twoCellAnchor editAs="absolute">
    <xdr:from>
      <xdr:col>5</xdr:col>
      <xdr:colOff>2098979</xdr:colOff>
      <xdr:row>112</xdr:row>
      <xdr:rowOff>103363</xdr:rowOff>
    </xdr:from>
    <xdr:to>
      <xdr:col>10</xdr:col>
      <xdr:colOff>328822</xdr:colOff>
      <xdr:row>123</xdr:row>
      <xdr:rowOff>2650</xdr:rowOff>
    </xdr:to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5E97EA92-5F32-47AC-84A6-47C8AEC477D8}"/>
            </a:ext>
          </a:extLst>
        </xdr:cNvPr>
        <xdr:cNvSpPr/>
      </xdr:nvSpPr>
      <xdr:spPr>
        <a:xfrm>
          <a:off x="7219619" y="20585923"/>
          <a:ext cx="6809963" cy="1910967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b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IN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en-IN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COVID-19 significantly altered inflation dynamics across all major categories.</a:t>
          </a:r>
        </a:p>
        <a:p>
          <a:pPr marL="0" indent="0" algn="l"/>
          <a:endParaRPr lang="en-IN" sz="12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indent="0"/>
          <a:r>
            <a:rPr lang="en-IN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en-IN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General Index inflation increased from ~3.7% pre-COVID to ~6.0% from COVID onset onward.</a:t>
          </a:r>
        </a:p>
        <a:p>
          <a:pPr marL="0" indent="0"/>
          <a:endParaRPr lang="en-IN" sz="12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en-IN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Transport &amp; Communication recorded the sharpest and most prolonged spike.</a:t>
          </a:r>
        </a:p>
        <a:p>
          <a:pPr marL="0" indent="0" algn="l"/>
          <a:endParaRPr lang="en-IN" sz="12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indent="0" algn="l"/>
          <a:r>
            <a:rPr lang="en-IN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en-IN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Food inflation surged at onset due to supply disruptions and recovered thereafter.</a:t>
          </a:r>
        </a:p>
        <a:p>
          <a:pPr marL="0" indent="0" algn="l"/>
          <a:endParaRPr lang="en-IN" sz="12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indent="0" algn="l"/>
          <a:r>
            <a:rPr lang="en-IN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en-IN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Healthcare inflation remained relatively contained compared to other categories.</a:t>
          </a:r>
          <a:endParaRPr lang="en-IN" sz="1600">
            <a:solidFill>
              <a:schemeClr val="tx1"/>
            </a:solidFill>
            <a:effectLst/>
          </a:endParaRPr>
        </a:p>
      </xdr:txBody>
    </xdr:sp>
    <xdr:clientData/>
  </xdr:twoCellAnchor>
  <xdr:twoCellAnchor editAs="absolute">
    <xdr:from>
      <xdr:col>1</xdr:col>
      <xdr:colOff>3337</xdr:colOff>
      <xdr:row>111</xdr:row>
      <xdr:rowOff>28473</xdr:rowOff>
    </xdr:from>
    <xdr:to>
      <xdr:col>5</xdr:col>
      <xdr:colOff>1877529</xdr:colOff>
      <xdr:row>112</xdr:row>
      <xdr:rowOff>89433</xdr:rowOff>
    </xdr:to>
    <xdr:sp macro="" textlink="">
      <xdr:nvSpPr>
        <xdr:cNvPr id="179" name="TextBox 178">
          <a:extLst>
            <a:ext uri="{FF2B5EF4-FFF2-40B4-BE49-F238E27FC236}">
              <a16:creationId xmlns:a16="http://schemas.microsoft.com/office/drawing/2014/main" id="{108DBF6C-8416-4A37-EFFF-E4DCFEDCE860}"/>
            </a:ext>
          </a:extLst>
        </xdr:cNvPr>
        <xdr:cNvSpPr txBox="1"/>
      </xdr:nvSpPr>
      <xdr:spPr>
        <a:xfrm>
          <a:off x="195494" y="20622351"/>
          <a:ext cx="6804000" cy="246491"/>
        </a:xfrm>
        <a:prstGeom prst="rect">
          <a:avLst/>
        </a:prstGeom>
        <a:solidFill>
          <a:schemeClr val="accent2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200" b="1">
              <a:solidFill>
                <a:schemeClr val="bg1"/>
              </a:solidFill>
            </a:rPr>
            <a:t>9. PANDEMIC</a:t>
          </a:r>
          <a:r>
            <a:rPr lang="en-IN" sz="1200" b="1" baseline="0">
              <a:solidFill>
                <a:schemeClr val="bg1"/>
              </a:solidFill>
            </a:rPr>
            <a:t> TIMELINE &amp; IMPACT</a:t>
          </a:r>
          <a:endParaRPr lang="en-IN" sz="1200" b="1" cap="all" baseline="0">
            <a:solidFill>
              <a:schemeClr val="bg1"/>
            </a:solidFill>
            <a:effectLst/>
          </a:endParaRPr>
        </a:p>
      </xdr:txBody>
    </xdr:sp>
    <xdr:clientData/>
  </xdr:twoCellAnchor>
  <xdr:twoCellAnchor editAs="absolute">
    <xdr:from>
      <xdr:col>0</xdr:col>
      <xdr:colOff>0</xdr:colOff>
      <xdr:row>138</xdr:row>
      <xdr:rowOff>106329</xdr:rowOff>
    </xdr:from>
    <xdr:to>
      <xdr:col>0</xdr:col>
      <xdr:colOff>0</xdr:colOff>
      <xdr:row>139</xdr:row>
      <xdr:rowOff>167290</xdr:rowOff>
    </xdr:to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CFD01FF6-A74F-C586-4542-607674597E7D}"/>
            </a:ext>
          </a:extLst>
        </xdr:cNvPr>
        <xdr:cNvSpPr txBox="1"/>
      </xdr:nvSpPr>
      <xdr:spPr>
        <a:xfrm>
          <a:off x="0" y="25709529"/>
          <a:ext cx="0" cy="246491"/>
        </a:xfrm>
        <a:prstGeom prst="rect">
          <a:avLst/>
        </a:prstGeom>
        <a:solidFill>
          <a:schemeClr val="accent2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200" b="1">
              <a:solidFill>
                <a:schemeClr val="bg1"/>
              </a:solidFill>
            </a:rPr>
            <a:t>1. KEY INSIGHNTS</a:t>
          </a:r>
          <a:endParaRPr lang="en-IN" sz="1200" b="1" cap="all" baseline="0">
            <a:solidFill>
              <a:schemeClr val="bg1"/>
            </a:solidFill>
            <a:effectLst/>
          </a:endParaRPr>
        </a:p>
      </xdr:txBody>
    </xdr:sp>
    <xdr:clientData/>
  </xdr:twoCellAnchor>
  <xdr:twoCellAnchor editAs="absolute">
    <xdr:from>
      <xdr:col>5</xdr:col>
      <xdr:colOff>2097182</xdr:colOff>
      <xdr:row>111</xdr:row>
      <xdr:rowOff>35099</xdr:rowOff>
    </xdr:from>
    <xdr:to>
      <xdr:col>10</xdr:col>
      <xdr:colOff>327025</xdr:colOff>
      <xdr:row>112</xdr:row>
      <xdr:rowOff>96059</xdr:rowOff>
    </xdr:to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D6447CC2-C331-0AD2-A4EA-FE12FB5D4A0D}"/>
            </a:ext>
          </a:extLst>
        </xdr:cNvPr>
        <xdr:cNvSpPr txBox="1"/>
      </xdr:nvSpPr>
      <xdr:spPr>
        <a:xfrm>
          <a:off x="7219147" y="20628977"/>
          <a:ext cx="6804000" cy="246491"/>
        </a:xfrm>
        <a:prstGeom prst="rect">
          <a:avLst/>
        </a:prstGeom>
        <a:solidFill>
          <a:schemeClr val="accent2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200" b="1">
              <a:solidFill>
                <a:schemeClr val="bg1"/>
              </a:solidFill>
            </a:rPr>
            <a:t>10. KEY TAKEAWAYS</a:t>
          </a:r>
          <a:endParaRPr lang="en-IN" sz="1200" b="1" cap="all" baseline="0">
            <a:solidFill>
              <a:schemeClr val="bg1"/>
            </a:solidFill>
            <a:effectLst/>
          </a:endParaRPr>
        </a:p>
      </xdr:txBody>
    </xdr:sp>
    <xdr:clientData/>
  </xdr:twoCellAnchor>
  <xdr:twoCellAnchor editAs="absolute">
    <xdr:from>
      <xdr:col>1</xdr:col>
      <xdr:colOff>722242</xdr:colOff>
      <xdr:row>112</xdr:row>
      <xdr:rowOff>127883</xdr:rowOff>
    </xdr:from>
    <xdr:to>
      <xdr:col>5</xdr:col>
      <xdr:colOff>1736034</xdr:colOff>
      <xdr:row>115</xdr:row>
      <xdr:rowOff>0</xdr:rowOff>
    </xdr:to>
    <xdr:sp macro="" textlink="">
      <xdr:nvSpPr>
        <xdr:cNvPr id="183" name="Rectangle: Rounded Corners 182">
          <a:extLst>
            <a:ext uri="{FF2B5EF4-FFF2-40B4-BE49-F238E27FC236}">
              <a16:creationId xmlns:a16="http://schemas.microsoft.com/office/drawing/2014/main" id="{159723BF-6D83-945B-C331-F987FF1AFD9C}"/>
            </a:ext>
          </a:extLst>
        </xdr:cNvPr>
        <xdr:cNvSpPr/>
      </xdr:nvSpPr>
      <xdr:spPr>
        <a:xfrm>
          <a:off x="914399" y="20907292"/>
          <a:ext cx="5943600" cy="428708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0" rIns="36000" bIns="0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1" i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Mar-2020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COVID-19 onset in India First Lockdown announced (Mar 24, 2020)</a:t>
          </a:r>
          <a:endParaRPr lang="en-IN" sz="12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1</xdr:col>
      <xdr:colOff>722242</xdr:colOff>
      <xdr:row>115</xdr:row>
      <xdr:rowOff>48576</xdr:rowOff>
    </xdr:from>
    <xdr:to>
      <xdr:col>5</xdr:col>
      <xdr:colOff>1736034</xdr:colOff>
      <xdr:row>117</xdr:row>
      <xdr:rowOff>105915</xdr:rowOff>
    </xdr:to>
    <xdr:sp macro="" textlink="">
      <xdr:nvSpPr>
        <xdr:cNvPr id="184" name="Rectangle: Rounded Corners 183">
          <a:extLst>
            <a:ext uri="{FF2B5EF4-FFF2-40B4-BE49-F238E27FC236}">
              <a16:creationId xmlns:a16="http://schemas.microsoft.com/office/drawing/2014/main" id="{F5DE0689-5E16-2924-A947-83442669B46E}"/>
            </a:ext>
          </a:extLst>
        </xdr:cNvPr>
        <xdr:cNvSpPr/>
      </xdr:nvSpPr>
      <xdr:spPr>
        <a:xfrm>
          <a:off x="914399" y="21384576"/>
          <a:ext cx="5943600" cy="4284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0" rIns="36000" bIns="0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1" i="0">
              <a:solidFill>
                <a:srgbClr val="00B0F0"/>
              </a:solidFill>
              <a:effectLst/>
              <a:latin typeface="+mn-lt"/>
              <a:ea typeface="+mn-ea"/>
              <a:cs typeface="+mn-cs"/>
            </a:rPr>
            <a:t>Apr-May 2020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CPI data not collected due to severe lockdown (Direct impact of pandemic)</a:t>
          </a:r>
          <a:endParaRPr lang="en-IN" sz="12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1</xdr:col>
      <xdr:colOff>722242</xdr:colOff>
      <xdr:row>117</xdr:row>
      <xdr:rowOff>154491</xdr:rowOff>
    </xdr:from>
    <xdr:to>
      <xdr:col>5</xdr:col>
      <xdr:colOff>1736034</xdr:colOff>
      <xdr:row>120</xdr:row>
      <xdr:rowOff>26300</xdr:rowOff>
    </xdr:to>
    <xdr:sp macro="" textlink="">
      <xdr:nvSpPr>
        <xdr:cNvPr id="185" name="Rectangle: Rounded Corners 184">
          <a:extLst>
            <a:ext uri="{FF2B5EF4-FFF2-40B4-BE49-F238E27FC236}">
              <a16:creationId xmlns:a16="http://schemas.microsoft.com/office/drawing/2014/main" id="{40FFE7B1-3AFF-612B-6F8E-43B4A08BA6A4}"/>
            </a:ext>
          </a:extLst>
        </xdr:cNvPr>
        <xdr:cNvSpPr/>
      </xdr:nvSpPr>
      <xdr:spPr>
        <a:xfrm>
          <a:off x="914399" y="21861552"/>
          <a:ext cx="5943600" cy="4284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0" rIns="36000" bIns="0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1" i="0">
              <a:solidFill>
                <a:schemeClr val="accent2"/>
              </a:solidFill>
              <a:effectLst/>
              <a:latin typeface="+mn-lt"/>
              <a:ea typeface="+mn-ea"/>
              <a:cs typeface="+mn-cs"/>
            </a:rPr>
            <a:t>2020-2021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Supply chain disruptions, mobility restrictions, rising fuel costs drove inflation higher</a:t>
          </a:r>
          <a:endParaRPr lang="en-IN" sz="12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1</xdr:col>
      <xdr:colOff>722242</xdr:colOff>
      <xdr:row>120</xdr:row>
      <xdr:rowOff>74876</xdr:rowOff>
    </xdr:from>
    <xdr:to>
      <xdr:col>5</xdr:col>
      <xdr:colOff>1736034</xdr:colOff>
      <xdr:row>122</xdr:row>
      <xdr:rowOff>132215</xdr:rowOff>
    </xdr:to>
    <xdr:sp macro="" textlink="">
      <xdr:nvSpPr>
        <xdr:cNvPr id="186" name="Rectangle: Rounded Corners 185">
          <a:extLst>
            <a:ext uri="{FF2B5EF4-FFF2-40B4-BE49-F238E27FC236}">
              <a16:creationId xmlns:a16="http://schemas.microsoft.com/office/drawing/2014/main" id="{BA3E2639-CE09-EF44-A100-2512D1EC2263}"/>
            </a:ext>
          </a:extLst>
        </xdr:cNvPr>
        <xdr:cNvSpPr/>
      </xdr:nvSpPr>
      <xdr:spPr>
        <a:xfrm>
          <a:off x="914399" y="22338528"/>
          <a:ext cx="5943600" cy="4284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0" rIns="36000" bIns="0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1" i="0">
              <a:solidFill>
                <a:schemeClr val="accent6"/>
              </a:solidFill>
              <a:effectLst/>
              <a:latin typeface="+mn-lt"/>
              <a:ea typeface="+mn-ea"/>
              <a:cs typeface="+mn-cs"/>
            </a:rPr>
            <a:t>2022-2023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Gradual normalization, easing of supply constraints, inflation stabilizes</a:t>
          </a:r>
          <a:endParaRPr lang="en-IN" sz="12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1</xdr:col>
      <xdr:colOff>211590</xdr:colOff>
      <xdr:row>112</xdr:row>
      <xdr:rowOff>172279</xdr:rowOff>
    </xdr:from>
    <xdr:to>
      <xdr:col>1</xdr:col>
      <xdr:colOff>571590</xdr:colOff>
      <xdr:row>114</xdr:row>
      <xdr:rowOff>161218</xdr:rowOff>
    </xdr:to>
    <xdr:pic>
      <xdr:nvPicPr>
        <xdr:cNvPr id="188" name="Picture 187">
          <a:extLst>
            <a:ext uri="{FF2B5EF4-FFF2-40B4-BE49-F238E27FC236}">
              <a16:creationId xmlns:a16="http://schemas.microsoft.com/office/drawing/2014/main" id="{5CEF9780-FFB5-900E-9FB6-D18D7AF593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duotone>
            <a:schemeClr val="accent4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3747" y="20951688"/>
          <a:ext cx="360000" cy="36000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1</xdr:col>
      <xdr:colOff>175590</xdr:colOff>
      <xdr:row>115</xdr:row>
      <xdr:rowOff>51097</xdr:rowOff>
    </xdr:from>
    <xdr:to>
      <xdr:col>1</xdr:col>
      <xdr:colOff>607590</xdr:colOff>
      <xdr:row>117</xdr:row>
      <xdr:rowOff>112036</xdr:rowOff>
    </xdr:to>
    <xdr:pic>
      <xdr:nvPicPr>
        <xdr:cNvPr id="192" name="Picture 191">
          <a:extLst>
            <a:ext uri="{FF2B5EF4-FFF2-40B4-BE49-F238E27FC236}">
              <a16:creationId xmlns:a16="http://schemas.microsoft.com/office/drawing/2014/main" id="{F6C7927A-5266-AA66-B622-A14D71E3A5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duotone>
            <a:schemeClr val="accent5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747" y="21387097"/>
          <a:ext cx="432000" cy="43200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1</xdr:col>
      <xdr:colOff>211590</xdr:colOff>
      <xdr:row>118</xdr:row>
      <xdr:rowOff>1915</xdr:rowOff>
    </xdr:from>
    <xdr:to>
      <xdr:col>1</xdr:col>
      <xdr:colOff>571590</xdr:colOff>
      <xdr:row>119</xdr:row>
      <xdr:rowOff>176384</xdr:rowOff>
    </xdr:to>
    <xdr:pic>
      <xdr:nvPicPr>
        <xdr:cNvPr id="194" name="Picture 193">
          <a:extLst>
            <a:ext uri="{FF2B5EF4-FFF2-40B4-BE49-F238E27FC236}">
              <a16:creationId xmlns:a16="http://schemas.microsoft.com/office/drawing/2014/main" id="{8A9DF91F-9C84-1EB0-17B2-207425A583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duotone>
            <a:schemeClr val="accent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3747" y="21894506"/>
          <a:ext cx="360000" cy="36000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1</xdr:col>
      <xdr:colOff>211590</xdr:colOff>
      <xdr:row>120</xdr:row>
      <xdr:rowOff>66262</xdr:rowOff>
    </xdr:from>
    <xdr:to>
      <xdr:col>1</xdr:col>
      <xdr:colOff>571590</xdr:colOff>
      <xdr:row>122</xdr:row>
      <xdr:rowOff>55201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673F6EE2-27C4-3A64-4658-C96221F4C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duotone>
            <a:schemeClr val="accent6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3747" y="22329914"/>
          <a:ext cx="360000" cy="36000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1</xdr:col>
      <xdr:colOff>3337</xdr:colOff>
      <xdr:row>124</xdr:row>
      <xdr:rowOff>39606</xdr:rowOff>
    </xdr:from>
    <xdr:to>
      <xdr:col>17</xdr:col>
      <xdr:colOff>0</xdr:colOff>
      <xdr:row>126</xdr:row>
      <xdr:rowOff>1506</xdr:rowOff>
    </xdr:to>
    <xdr:sp macro="" textlink="">
      <xdr:nvSpPr>
        <xdr:cNvPr id="197" name="TextBox 196">
          <a:extLst>
            <a:ext uri="{FF2B5EF4-FFF2-40B4-BE49-F238E27FC236}">
              <a16:creationId xmlns:a16="http://schemas.microsoft.com/office/drawing/2014/main" id="{4EECB348-FF17-4EB1-0FF5-35B2AD498E4F}"/>
            </a:ext>
          </a:extLst>
        </xdr:cNvPr>
        <xdr:cNvSpPr txBox="1"/>
      </xdr:nvSpPr>
      <xdr:spPr>
        <a:xfrm>
          <a:off x="193837" y="22716726"/>
          <a:ext cx="27230543" cy="243840"/>
        </a:xfrm>
        <a:prstGeom prst="rect">
          <a:avLst/>
        </a:prstGeom>
        <a:solidFill>
          <a:schemeClr val="accent2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200" b="1" cap="all" baseline="0">
              <a:solidFill>
                <a:schemeClr val="bg1"/>
              </a:solidFill>
              <a:latin typeface="+mn-lt"/>
              <a:ea typeface="+mn-ea"/>
              <a:cs typeface="+mn-cs"/>
            </a:rPr>
            <a:t>11. Supporting Calculation Data for Q4 Analysis (Sources from Cleaned_data)</a:t>
          </a:r>
        </a:p>
      </xdr:txBody>
    </xdr:sp>
    <xdr:clientData/>
  </xdr:twoCellAnchor>
  <xdr:twoCellAnchor editAs="absolute">
    <xdr:from>
      <xdr:col>0</xdr:col>
      <xdr:colOff>185044</xdr:colOff>
      <xdr:row>136</xdr:row>
      <xdr:rowOff>29644</xdr:rowOff>
    </xdr:from>
    <xdr:to>
      <xdr:col>16</xdr:col>
      <xdr:colOff>1846384</xdr:colOff>
      <xdr:row>136</xdr:row>
      <xdr:rowOff>272312</xdr:rowOff>
    </xdr:to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38054857-375D-B8D9-B3EE-E3C536F6AF74}"/>
            </a:ext>
          </a:extLst>
        </xdr:cNvPr>
        <xdr:cNvSpPr txBox="1"/>
      </xdr:nvSpPr>
      <xdr:spPr>
        <a:xfrm>
          <a:off x="185044" y="24817504"/>
          <a:ext cx="27226440" cy="242668"/>
        </a:xfrm>
        <a:prstGeom prst="rect">
          <a:avLst/>
        </a:prstGeom>
        <a:solidFill>
          <a:schemeClr val="accent2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200" b="1" cap="all" baseline="0">
              <a:solidFill>
                <a:schemeClr val="bg1"/>
              </a:solidFill>
              <a:latin typeface="+mn-lt"/>
              <a:ea typeface="+mn-ea"/>
              <a:cs typeface="+mn-cs"/>
            </a:rPr>
            <a:t>12. Change in Inflation rate from March 2017 to March 2023</a:t>
          </a:r>
        </a:p>
      </xdr:txBody>
    </xdr:sp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0.51942</cdr:x>
      <cdr:y>0.27513</cdr:y>
    </cdr:from>
    <cdr:to>
      <cdr:x>0.51942</cdr:x>
      <cdr:y>0.88072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0EE4AB72-10CB-D217-F5FE-37EFF8355909}"/>
            </a:ext>
          </a:extLst>
        </cdr:cNvPr>
        <cdr:cNvCxnSpPr/>
      </cdr:nvCxnSpPr>
      <cdr:spPr>
        <a:xfrm xmlns:a="http://schemas.openxmlformats.org/drawingml/2006/main" flipV="1">
          <a:off x="4840610" y="1188720"/>
          <a:ext cx="0" cy="2616466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0.51942</cdr:x>
      <cdr:y>0.26156</cdr:y>
    </cdr:from>
    <cdr:to>
      <cdr:x>0.51942</cdr:x>
      <cdr:y>0.88072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0EE4AB72-10CB-D217-F5FE-37EFF8355909}"/>
            </a:ext>
          </a:extLst>
        </cdr:cNvPr>
        <cdr:cNvCxnSpPr/>
      </cdr:nvCxnSpPr>
      <cdr:spPr>
        <a:xfrm xmlns:a="http://schemas.openxmlformats.org/drawingml/2006/main" flipV="1">
          <a:off x="4839749" y="1130080"/>
          <a:ext cx="0" cy="2675107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0.45443</cdr:x>
      <cdr:y>0.11229</cdr:y>
    </cdr:from>
    <cdr:to>
      <cdr:x>0.58446</cdr:x>
      <cdr:y>0.25162</cdr:y>
    </cdr:to>
    <cdr:sp macro="" textlink="">
      <cdr:nvSpPr>
        <cdr:cNvPr id="4" name="Rectangle: Rounded Corners 3">
          <a:extLst xmlns:a="http://schemas.openxmlformats.org/drawingml/2006/main">
            <a:ext uri="{FF2B5EF4-FFF2-40B4-BE49-F238E27FC236}">
              <a16:creationId xmlns:a16="http://schemas.microsoft.com/office/drawing/2014/main" id="{B415D1E9-C775-FA70-5422-B1C6B73038D8}"/>
            </a:ext>
          </a:extLst>
        </cdr:cNvPr>
        <cdr:cNvSpPr/>
      </cdr:nvSpPr>
      <cdr:spPr>
        <a:xfrm xmlns:a="http://schemas.openxmlformats.org/drawingml/2006/main">
          <a:off x="4234180" y="485140"/>
          <a:ext cx="1211580" cy="601980"/>
        </a:xfrm>
        <a:prstGeom xmlns:a="http://schemas.openxmlformats.org/drawingml/2006/main" prst="roundRect">
          <a:avLst>
            <a:gd name="adj" fmla="val 6540"/>
          </a:avLst>
        </a:prstGeom>
        <a:solidFill xmlns:a="http://schemas.openxmlformats.org/drawingml/2006/main">
          <a:schemeClr val="bg1"/>
        </a:solidFill>
        <a:ln xmlns:a="http://schemas.openxmlformats.org/drawingml/2006/main">
          <a:noFill/>
        </a:ln>
        <a:effectLst xmlns:a="http://schemas.openxmlformats.org/drawingml/2006/main">
          <a:outerShdw blurRad="63500" sx="102000" sy="102000" algn="ctr" rotWithShape="0">
            <a:prstClr val="black">
              <a:alpha val="40000"/>
            </a:prstClr>
          </a:outerShdw>
        </a:effec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36000" tIns="0" rIns="36000" bIns="0" numCol="1" spcCol="0" rtlCol="0" fromWordArt="0" anchor="ctr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IN" sz="1100" b="1">
              <a:solidFill>
                <a:schemeClr val="tx1"/>
              </a:solidFill>
            </a:rPr>
            <a:t>Mar - 2020 Onset of COVID-19</a:t>
          </a:r>
          <a:r>
            <a:rPr lang="en-IN" sz="1100" b="1" baseline="0">
              <a:solidFill>
                <a:schemeClr val="tx1"/>
              </a:solidFill>
            </a:rPr>
            <a:t> &amp; First Lockdown</a:t>
          </a:r>
          <a:endParaRPr lang="en-IN" sz="1100" b="1">
            <a:solidFill>
              <a:schemeClr val="tx1"/>
            </a:solidFill>
          </a:endParaRP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0.51942</cdr:x>
      <cdr:y>0.24845</cdr:y>
    </cdr:from>
    <cdr:to>
      <cdr:x>0.51942</cdr:x>
      <cdr:y>0.88072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0EE4AB72-10CB-D217-F5FE-37EFF8355909}"/>
            </a:ext>
          </a:extLst>
        </cdr:cNvPr>
        <cdr:cNvCxnSpPr/>
      </cdr:nvCxnSpPr>
      <cdr:spPr>
        <a:xfrm xmlns:a="http://schemas.openxmlformats.org/drawingml/2006/main" flipV="1">
          <a:off x="4839749" y="1074089"/>
          <a:ext cx="0" cy="2733432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0.45361</cdr:x>
      <cdr:y>0.09812</cdr:y>
    </cdr:from>
    <cdr:to>
      <cdr:x>0.58364</cdr:x>
      <cdr:y>0.23736</cdr:y>
    </cdr:to>
    <cdr:sp macro="" textlink="">
      <cdr:nvSpPr>
        <cdr:cNvPr id="4" name="Rectangle: Rounded Corners 3">
          <a:extLst xmlns:a="http://schemas.openxmlformats.org/drawingml/2006/main">
            <a:ext uri="{FF2B5EF4-FFF2-40B4-BE49-F238E27FC236}">
              <a16:creationId xmlns:a16="http://schemas.microsoft.com/office/drawing/2014/main" id="{36925280-A9CA-3CA9-82B7-0A0AE5A12908}"/>
            </a:ext>
          </a:extLst>
        </cdr:cNvPr>
        <cdr:cNvSpPr/>
      </cdr:nvSpPr>
      <cdr:spPr>
        <a:xfrm xmlns:a="http://schemas.openxmlformats.org/drawingml/2006/main">
          <a:off x="4226560" y="424180"/>
          <a:ext cx="1211580" cy="601980"/>
        </a:xfrm>
        <a:prstGeom xmlns:a="http://schemas.openxmlformats.org/drawingml/2006/main" prst="roundRect">
          <a:avLst>
            <a:gd name="adj" fmla="val 6540"/>
          </a:avLst>
        </a:prstGeom>
        <a:solidFill xmlns:a="http://schemas.openxmlformats.org/drawingml/2006/main">
          <a:schemeClr val="bg1"/>
        </a:solidFill>
        <a:ln xmlns:a="http://schemas.openxmlformats.org/drawingml/2006/main">
          <a:noFill/>
        </a:ln>
        <a:effectLst xmlns:a="http://schemas.openxmlformats.org/drawingml/2006/main">
          <a:outerShdw blurRad="63500" sx="102000" sy="102000" algn="ctr" rotWithShape="0">
            <a:prstClr val="black">
              <a:alpha val="40000"/>
            </a:prstClr>
          </a:outerShdw>
        </a:effec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36000" tIns="0" rIns="36000" bIns="0" numCol="1" spcCol="0" rtlCol="0" fromWordArt="0" anchor="ctr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IN" sz="1100" b="1">
              <a:solidFill>
                <a:schemeClr val="tx1"/>
              </a:solidFill>
            </a:rPr>
            <a:t>Mar - 2020 Onset of COVID-19</a:t>
          </a:r>
          <a:r>
            <a:rPr lang="en-IN" sz="1100" b="1" baseline="0">
              <a:solidFill>
                <a:schemeClr val="tx1"/>
              </a:solidFill>
            </a:rPr>
            <a:t> &amp; First Lockdown</a:t>
          </a:r>
          <a:endParaRPr lang="en-IN" sz="1100" b="1">
            <a:solidFill>
              <a:schemeClr val="tx1"/>
            </a:solidFill>
          </a:endParaRP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224564</xdr:colOff>
      <xdr:row>35</xdr:row>
      <xdr:rowOff>1791</xdr:rowOff>
    </xdr:from>
    <xdr:to>
      <xdr:col>9</xdr:col>
      <xdr:colOff>419099</xdr:colOff>
      <xdr:row>63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EF3C43-907E-F2A7-DEBE-7F3EA77562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99060</xdr:colOff>
      <xdr:row>2</xdr:row>
      <xdr:rowOff>72166</xdr:rowOff>
    </xdr:from>
    <xdr:to>
      <xdr:col>2</xdr:col>
      <xdr:colOff>2194560</xdr:colOff>
      <xdr:row>4</xdr:row>
      <xdr:rowOff>105129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E8C3ADB-307D-4005-9E7D-706D8656F590}"/>
            </a:ext>
          </a:extLst>
        </xdr:cNvPr>
        <xdr:cNvSpPr/>
      </xdr:nvSpPr>
      <xdr:spPr>
        <a:xfrm>
          <a:off x="99060" y="437926"/>
          <a:ext cx="4754880" cy="39872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IN" sz="1200" b="1" i="1">
              <a:solidFill>
                <a:schemeClr val="accent2"/>
              </a:solidFill>
            </a:rPr>
            <a:t>Correlation</a:t>
          </a:r>
          <a:r>
            <a:rPr lang="en-IN" sz="1200" b="1" i="1" baseline="0">
              <a:solidFill>
                <a:schemeClr val="accent2"/>
              </a:solidFill>
            </a:rPr>
            <a:t> betwen oil price and inflation | Jan-2021 to May-2023</a:t>
          </a:r>
          <a:endParaRPr lang="en-IN" sz="1200" b="1" i="1">
            <a:solidFill>
              <a:schemeClr val="accent2"/>
            </a:solidFill>
          </a:endParaRPr>
        </a:p>
      </xdr:txBody>
    </xdr:sp>
    <xdr:clientData/>
  </xdr:twoCellAnchor>
  <xdr:twoCellAnchor editAs="absolute">
    <xdr:from>
      <xdr:col>0</xdr:col>
      <xdr:colOff>99060</xdr:colOff>
      <xdr:row>1</xdr:row>
      <xdr:rowOff>0</xdr:rowOff>
    </xdr:from>
    <xdr:to>
      <xdr:col>4</xdr:col>
      <xdr:colOff>975360</xdr:colOff>
      <xdr:row>3</xdr:row>
      <xdr:rowOff>32963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51D911D2-CFFF-4E2F-A0A8-36A52A451BFB}"/>
            </a:ext>
          </a:extLst>
        </xdr:cNvPr>
        <xdr:cNvSpPr/>
      </xdr:nvSpPr>
      <xdr:spPr>
        <a:xfrm>
          <a:off x="99060" y="182880"/>
          <a:ext cx="7856220" cy="39872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IN" sz="2400" b="1">
              <a:solidFill>
                <a:schemeClr val="accent2"/>
              </a:solidFill>
            </a:rPr>
            <a:t>Q5 </a:t>
          </a:r>
          <a:r>
            <a:rPr lang="en-IN" sz="2400" b="1">
              <a:solidFill>
                <a:schemeClr val="accent2"/>
              </a:solidFill>
              <a:latin typeface="+mn-lt"/>
              <a:ea typeface="+mn-ea"/>
              <a:cs typeface="+mn-cs"/>
            </a:rPr>
            <a:t>- Relationship Between Crude Oil Prices and CPI Inflation</a:t>
          </a:r>
        </a:p>
      </xdr:txBody>
    </xdr:sp>
    <xdr:clientData/>
  </xdr:twoCellAnchor>
  <xdr:twoCellAnchor editAs="absolute">
    <xdr:from>
      <xdr:col>6</xdr:col>
      <xdr:colOff>998771</xdr:colOff>
      <xdr:row>1</xdr:row>
      <xdr:rowOff>121920</xdr:rowOff>
    </xdr:from>
    <xdr:to>
      <xdr:col>9</xdr:col>
      <xdr:colOff>393171</xdr:colOff>
      <xdr:row>5</xdr:row>
      <xdr:rowOff>6724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CABA69B-EE7D-48B4-9AA1-FE7E1808BC96}"/>
            </a:ext>
          </a:extLst>
        </xdr:cNvPr>
        <xdr:cNvSpPr/>
      </xdr:nvSpPr>
      <xdr:spPr>
        <a:xfrm>
          <a:off x="10394231" y="304800"/>
          <a:ext cx="3577780" cy="616324"/>
        </a:xfrm>
        <a:prstGeom prst="roundRect">
          <a:avLst/>
        </a:prstGeom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400" b="1">
              <a:solidFill>
                <a:schemeClr val="accent2"/>
              </a:solidFill>
            </a:rPr>
            <a:t>← Back to Dashboard</a:t>
          </a:r>
        </a:p>
      </xdr:txBody>
    </xdr:sp>
    <xdr:clientData/>
  </xdr:twoCellAnchor>
  <xdr:twoCellAnchor editAs="absolute">
    <xdr:from>
      <xdr:col>1</xdr:col>
      <xdr:colOff>15240</xdr:colOff>
      <xdr:row>7</xdr:row>
      <xdr:rowOff>104661</xdr:rowOff>
    </xdr:from>
    <xdr:to>
      <xdr:col>2</xdr:col>
      <xdr:colOff>2226360</xdr:colOff>
      <xdr:row>15</xdr:row>
      <xdr:rowOff>7620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E094F1B7-04B9-414E-AF12-ED26B745657F}"/>
            </a:ext>
          </a:extLst>
        </xdr:cNvPr>
        <xdr:cNvSpPr/>
      </xdr:nvSpPr>
      <xdr:spPr>
        <a:xfrm>
          <a:off x="205740" y="1384821"/>
          <a:ext cx="4680000" cy="1365999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IN" sz="12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To identify which CPI category inflation is most strongly related to changes in imported crude oil prices during the period Jan-2021 to May-2023 (Monthly).</a:t>
          </a:r>
          <a:endParaRPr lang="en-IN" sz="1600" b="1">
            <a:solidFill>
              <a:schemeClr val="tx1"/>
            </a:solidFill>
            <a:effectLst/>
          </a:endParaRPr>
        </a:p>
      </xdr:txBody>
    </xdr:sp>
    <xdr:clientData/>
  </xdr:twoCellAnchor>
  <xdr:twoCellAnchor editAs="absolute">
    <xdr:from>
      <xdr:col>3</xdr:col>
      <xdr:colOff>96660</xdr:colOff>
      <xdr:row>7</xdr:row>
      <xdr:rowOff>104660</xdr:rowOff>
    </xdr:from>
    <xdr:to>
      <xdr:col>6</xdr:col>
      <xdr:colOff>349440</xdr:colOff>
      <xdr:row>15</xdr:row>
      <xdr:rowOff>6020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741A9BC-3B44-50DF-4055-05724A20D43D}"/>
            </a:ext>
          </a:extLst>
        </xdr:cNvPr>
        <xdr:cNvSpPr/>
      </xdr:nvSpPr>
      <xdr:spPr>
        <a:xfrm>
          <a:off x="5064900" y="1384820"/>
          <a:ext cx="4680000" cy="13644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IN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en-IN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Imported Crude Oil Price Change: Month-on-Month % change</a:t>
          </a:r>
        </a:p>
        <a:p>
          <a:pPr marL="0" indent="0" algn="l"/>
          <a:r>
            <a:rPr lang="en-IN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en-IN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CPI Category Inflation: Month-on-Month % change for each category</a:t>
          </a:r>
        </a:p>
        <a:p>
          <a:pPr marL="0" indent="0" algn="l"/>
          <a:r>
            <a:rPr lang="en-IN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en-IN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Period: Jan-2021 to May-2023 (Base month for Oil Price MoM: Dec-2020)</a:t>
          </a:r>
        </a:p>
        <a:p>
          <a:pPr marL="0" indent="0" algn="l"/>
          <a:r>
            <a:rPr lang="en-IN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en-IN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Analysis: Pearson Correlation (CORREL function in Excel)</a:t>
          </a:r>
        </a:p>
        <a:p>
          <a:pPr marL="0" indent="0" algn="l"/>
          <a:r>
            <a:rPr lang="en-IN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en-IN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Scope: CPI (Rural+Urban) - All Major Categories</a:t>
          </a:r>
          <a:endParaRPr lang="en-IN" sz="1600">
            <a:solidFill>
              <a:schemeClr val="tx1"/>
            </a:solidFill>
            <a:effectLst/>
          </a:endParaRPr>
        </a:p>
      </xdr:txBody>
    </xdr:sp>
    <xdr:clientData/>
  </xdr:twoCellAnchor>
  <xdr:twoCellAnchor editAs="absolute">
    <xdr:from>
      <xdr:col>6</xdr:col>
      <xdr:colOff>528600</xdr:colOff>
      <xdr:row>6</xdr:row>
      <xdr:rowOff>36081</xdr:rowOff>
    </xdr:from>
    <xdr:to>
      <xdr:col>7</xdr:col>
      <xdr:colOff>720000</xdr:colOff>
      <xdr:row>15</xdr:row>
      <xdr:rowOff>15241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B606D971-5D23-48D2-71FC-8CBDB9AA3389}"/>
            </a:ext>
          </a:extLst>
        </xdr:cNvPr>
        <xdr:cNvSpPr/>
      </xdr:nvSpPr>
      <xdr:spPr>
        <a:xfrm>
          <a:off x="9924060" y="1133361"/>
          <a:ext cx="1944000" cy="162508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endParaRPr lang="en-IN" sz="1400">
            <a:solidFill>
              <a:schemeClr val="accent2">
                <a:lumMod val="75000"/>
              </a:schemeClr>
            </a:solidFill>
            <a:effectLst/>
          </a:endParaRPr>
        </a:p>
      </xdr:txBody>
    </xdr:sp>
    <xdr:clientData/>
  </xdr:twoCellAnchor>
  <xdr:twoCellAnchor editAs="absolute">
    <xdr:from>
      <xdr:col>7</xdr:col>
      <xdr:colOff>899160</xdr:colOff>
      <xdr:row>6</xdr:row>
      <xdr:rowOff>36081</xdr:rowOff>
    </xdr:from>
    <xdr:to>
      <xdr:col>9</xdr:col>
      <xdr:colOff>412380</xdr:colOff>
      <xdr:row>15</xdr:row>
      <xdr:rowOff>15241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841B2EA7-CA6E-2B79-605A-FB2561A957F4}"/>
            </a:ext>
          </a:extLst>
        </xdr:cNvPr>
        <xdr:cNvSpPr/>
      </xdr:nvSpPr>
      <xdr:spPr>
        <a:xfrm>
          <a:off x="12047220" y="1133361"/>
          <a:ext cx="1944000" cy="162508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endParaRPr lang="en-IN" sz="1400">
            <a:solidFill>
              <a:schemeClr val="accent2">
                <a:lumMod val="75000"/>
              </a:schemeClr>
            </a:solidFill>
            <a:effectLst/>
          </a:endParaRPr>
        </a:p>
      </xdr:txBody>
    </xdr:sp>
    <xdr:clientData/>
  </xdr:twoCellAnchor>
  <xdr:twoCellAnchor editAs="absolute">
    <xdr:from>
      <xdr:col>1</xdr:col>
      <xdr:colOff>15240</xdr:colOff>
      <xdr:row>6</xdr:row>
      <xdr:rowOff>40368</xdr:rowOff>
    </xdr:from>
    <xdr:to>
      <xdr:col>2</xdr:col>
      <xdr:colOff>2220048</xdr:colOff>
      <xdr:row>7</xdr:row>
      <xdr:rowOff>101328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3FE246AD-2CC7-4C5E-B480-C0FE57B19542}"/>
            </a:ext>
          </a:extLst>
        </xdr:cNvPr>
        <xdr:cNvSpPr txBox="1"/>
      </xdr:nvSpPr>
      <xdr:spPr>
        <a:xfrm>
          <a:off x="204426" y="1143954"/>
          <a:ext cx="4672374" cy="244891"/>
        </a:xfrm>
        <a:prstGeom prst="rect">
          <a:avLst/>
        </a:prstGeom>
        <a:solidFill>
          <a:schemeClr val="accent2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200" b="1">
              <a:solidFill>
                <a:schemeClr val="bg1"/>
              </a:solidFill>
            </a:rPr>
            <a:t>1. OBJECTIVE</a:t>
          </a:r>
          <a:endParaRPr lang="en-IN" sz="1200" b="1" cap="all" baseline="0">
            <a:solidFill>
              <a:schemeClr val="bg1"/>
            </a:solidFill>
            <a:effectLst/>
          </a:endParaRPr>
        </a:p>
      </xdr:txBody>
    </xdr:sp>
    <xdr:clientData/>
  </xdr:twoCellAnchor>
  <xdr:twoCellAnchor editAs="absolute">
    <xdr:from>
      <xdr:col>3</xdr:col>
      <xdr:colOff>93849</xdr:colOff>
      <xdr:row>6</xdr:row>
      <xdr:rowOff>37850</xdr:rowOff>
    </xdr:from>
    <xdr:to>
      <xdr:col>6</xdr:col>
      <xdr:colOff>354211</xdr:colOff>
      <xdr:row>7</xdr:row>
      <xdr:rowOff>98810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C9A77D71-DE24-EBED-7A39-6B5D68576677}"/>
            </a:ext>
          </a:extLst>
        </xdr:cNvPr>
        <xdr:cNvSpPr txBox="1"/>
      </xdr:nvSpPr>
      <xdr:spPr>
        <a:xfrm>
          <a:off x="5062089" y="1123700"/>
          <a:ext cx="4688535" cy="241935"/>
        </a:xfrm>
        <a:prstGeom prst="rect">
          <a:avLst/>
        </a:prstGeom>
        <a:solidFill>
          <a:schemeClr val="accent2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200" b="1">
              <a:solidFill>
                <a:schemeClr val="bg1"/>
              </a:solidFill>
            </a:rPr>
            <a:t>2. METHODOLOGY</a:t>
          </a:r>
          <a:endParaRPr lang="en-IN" sz="1200" b="1" cap="all" baseline="0">
            <a:solidFill>
              <a:schemeClr val="bg1"/>
            </a:solidFill>
            <a:effectLst/>
          </a:endParaRPr>
        </a:p>
      </xdr:txBody>
    </xdr:sp>
    <xdr:clientData/>
  </xdr:twoCellAnchor>
  <xdr:twoCellAnchor editAs="absolute">
    <xdr:from>
      <xdr:col>6</xdr:col>
      <xdr:colOff>609600</xdr:colOff>
      <xdr:row>6</xdr:row>
      <xdr:rowOff>38100</xdr:rowOff>
    </xdr:from>
    <xdr:to>
      <xdr:col>7</xdr:col>
      <xdr:colOff>640080</xdr:colOff>
      <xdr:row>8</xdr:row>
      <xdr:rowOff>167640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BB40305D-83F5-5F92-73D4-6E82F3013044}"/>
            </a:ext>
          </a:extLst>
        </xdr:cNvPr>
        <xdr:cNvSpPr txBox="1"/>
      </xdr:nvSpPr>
      <xdr:spPr>
        <a:xfrm>
          <a:off x="10005060" y="1135380"/>
          <a:ext cx="1783080" cy="495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n-IN" sz="1200" b="1">
              <a:solidFill>
                <a:schemeClr val="dk1"/>
              </a:solidFill>
              <a:latin typeface="+mn-lt"/>
              <a:ea typeface="+mn-ea"/>
              <a:cs typeface="+mn-cs"/>
            </a:rPr>
            <a:t>Strongest Positive Correlation</a:t>
          </a:r>
        </a:p>
      </xdr:txBody>
    </xdr:sp>
    <xdr:clientData/>
  </xdr:twoCellAnchor>
  <xdr:twoCellAnchor editAs="absolute">
    <xdr:from>
      <xdr:col>7</xdr:col>
      <xdr:colOff>952500</xdr:colOff>
      <xdr:row>6</xdr:row>
      <xdr:rowOff>45720</xdr:rowOff>
    </xdr:from>
    <xdr:to>
      <xdr:col>9</xdr:col>
      <xdr:colOff>358140</xdr:colOff>
      <xdr:row>9</xdr:row>
      <xdr:rowOff>7620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EAA00CA8-8D01-1F7D-CDD1-3D5434F25D00}"/>
            </a:ext>
          </a:extLst>
        </xdr:cNvPr>
        <xdr:cNvSpPr txBox="1"/>
      </xdr:nvSpPr>
      <xdr:spPr>
        <a:xfrm>
          <a:off x="12100560" y="1143000"/>
          <a:ext cx="1836420" cy="5105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n-IN" sz="1200" b="1">
              <a:solidFill>
                <a:schemeClr val="dk1"/>
              </a:solidFill>
              <a:latin typeface="+mn-lt"/>
              <a:ea typeface="+mn-ea"/>
              <a:cs typeface="+mn-cs"/>
            </a:rPr>
            <a:t>Strongest Negative Correlation</a:t>
          </a:r>
        </a:p>
      </xdr:txBody>
    </xdr:sp>
    <xdr:clientData/>
  </xdr:twoCellAnchor>
  <xdr:twoCellAnchor editAs="absolute">
    <xdr:from>
      <xdr:col>6</xdr:col>
      <xdr:colOff>784860</xdr:colOff>
      <xdr:row>9</xdr:row>
      <xdr:rowOff>22860</xdr:rowOff>
    </xdr:from>
    <xdr:to>
      <xdr:col>7</xdr:col>
      <xdr:colOff>441960</xdr:colOff>
      <xdr:row>11</xdr:row>
      <xdr:rowOff>106680</xdr:rowOff>
    </xdr:to>
    <xdr:sp macro="" textlink="Dashboard_Calculations!F34">
      <xdr:nvSpPr>
        <xdr:cNvPr id="18" name="TextBox 17">
          <a:extLst>
            <a:ext uri="{FF2B5EF4-FFF2-40B4-BE49-F238E27FC236}">
              <a16:creationId xmlns:a16="http://schemas.microsoft.com/office/drawing/2014/main" id="{35123DC5-8982-0EA4-5193-D9A9C631726B}"/>
            </a:ext>
          </a:extLst>
        </xdr:cNvPr>
        <xdr:cNvSpPr txBox="1"/>
      </xdr:nvSpPr>
      <xdr:spPr>
        <a:xfrm>
          <a:off x="10180320" y="1668780"/>
          <a:ext cx="1409700" cy="4495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fld id="{B9849BE3-5353-42EB-B028-F87C7A5805C3}" type="TxLink">
            <a:rPr lang="en-US" sz="3200" b="1" i="0" u="none" strike="noStrike">
              <a:solidFill>
                <a:srgbClr val="00B050"/>
              </a:solidFill>
              <a:latin typeface="Calibri"/>
              <a:ea typeface="Calibri"/>
              <a:cs typeface="Calibri"/>
            </a:rPr>
            <a:pPr algn="ctr"/>
            <a:t>0.40</a:t>
          </a:fld>
          <a:endParaRPr lang="en-IN" sz="3200" b="1">
            <a:solidFill>
              <a:srgbClr val="00B050"/>
            </a:solidFill>
          </a:endParaRPr>
        </a:p>
      </xdr:txBody>
    </xdr:sp>
    <xdr:clientData/>
  </xdr:twoCellAnchor>
  <xdr:twoCellAnchor editAs="absolute">
    <xdr:from>
      <xdr:col>7</xdr:col>
      <xdr:colOff>1150620</xdr:colOff>
      <xdr:row>9</xdr:row>
      <xdr:rowOff>53340</xdr:rowOff>
    </xdr:from>
    <xdr:to>
      <xdr:col>9</xdr:col>
      <xdr:colOff>129540</xdr:colOff>
      <xdr:row>11</xdr:row>
      <xdr:rowOff>137160</xdr:rowOff>
    </xdr:to>
    <xdr:sp macro="" textlink="Dashboard_Calculations!F35">
      <xdr:nvSpPr>
        <xdr:cNvPr id="19" name="TextBox 18">
          <a:extLst>
            <a:ext uri="{FF2B5EF4-FFF2-40B4-BE49-F238E27FC236}">
              <a16:creationId xmlns:a16="http://schemas.microsoft.com/office/drawing/2014/main" id="{7087CF2C-5D16-EB2A-982A-22073EBAC7F7}"/>
            </a:ext>
          </a:extLst>
        </xdr:cNvPr>
        <xdr:cNvSpPr txBox="1"/>
      </xdr:nvSpPr>
      <xdr:spPr>
        <a:xfrm>
          <a:off x="12298680" y="1699260"/>
          <a:ext cx="1409700" cy="4495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fld id="{68931979-4D83-4043-A1A2-3688BDCC3570}" type="TxLink">
            <a:rPr lang="en-US" sz="3200" b="1" i="0" u="none" strike="noStrike">
              <a:solidFill>
                <a:srgbClr val="FF0000"/>
              </a:solidFill>
              <a:latin typeface="Calibri"/>
              <a:ea typeface="Calibri"/>
              <a:cs typeface="Calibri"/>
            </a:rPr>
            <a:pPr algn="ctr"/>
            <a:t>-0.29</a:t>
          </a:fld>
          <a:endParaRPr lang="en-IN" sz="3200" b="1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0</xdr:col>
      <xdr:colOff>182880</xdr:colOff>
      <xdr:row>17</xdr:row>
      <xdr:rowOff>106680</xdr:rowOff>
    </xdr:from>
    <xdr:to>
      <xdr:col>4</xdr:col>
      <xdr:colOff>6960</xdr:colOff>
      <xdr:row>32</xdr:row>
      <xdr:rowOff>106680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B7999B53-1CD2-F226-ECE1-02927FC6FF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4</xdr:col>
      <xdr:colOff>213360</xdr:colOff>
      <xdr:row>17</xdr:row>
      <xdr:rowOff>99060</xdr:rowOff>
    </xdr:from>
    <xdr:to>
      <xdr:col>9</xdr:col>
      <xdr:colOff>418440</xdr:colOff>
      <xdr:row>32</xdr:row>
      <xdr:rowOff>99060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26A8A0D6-1A38-312B-BD0B-CE8DF186DE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absolute">
    <xdr:from>
      <xdr:col>0</xdr:col>
      <xdr:colOff>182880</xdr:colOff>
      <xdr:row>16</xdr:row>
      <xdr:rowOff>47988</xdr:rowOff>
    </xdr:from>
    <xdr:to>
      <xdr:col>4</xdr:col>
      <xdr:colOff>6960</xdr:colOff>
      <xdr:row>17</xdr:row>
      <xdr:rowOff>108948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916DA5DA-9A65-B391-3F82-108115758749}"/>
            </a:ext>
          </a:extLst>
        </xdr:cNvPr>
        <xdr:cNvSpPr txBox="1"/>
      </xdr:nvSpPr>
      <xdr:spPr>
        <a:xfrm>
          <a:off x="182880" y="2974068"/>
          <a:ext cx="6804000" cy="243840"/>
        </a:xfrm>
        <a:prstGeom prst="rect">
          <a:avLst/>
        </a:prstGeom>
        <a:solidFill>
          <a:schemeClr val="accent2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200" b="1" cap="all">
              <a:solidFill>
                <a:schemeClr val="bg1"/>
              </a:solidFill>
            </a:rPr>
            <a:t>3. MoM</a:t>
          </a:r>
          <a:r>
            <a:rPr lang="en-IN" sz="1200" b="1" cap="all" baseline="0">
              <a:solidFill>
                <a:schemeClr val="bg1"/>
              </a:solidFill>
            </a:rPr>
            <a:t> % Price Change of </a:t>
          </a:r>
          <a:r>
            <a:rPr lang="en-IN" sz="1200" b="1" cap="all" baseline="0">
              <a:solidFill>
                <a:schemeClr val="bg1"/>
              </a:solidFill>
              <a:latin typeface="+mn-lt"/>
              <a:ea typeface="+mn-ea"/>
              <a:cs typeface="+mn-cs"/>
            </a:rPr>
            <a:t>Imported</a:t>
          </a:r>
          <a:r>
            <a:rPr lang="en-IN" sz="1200" b="1" cap="all" baseline="0">
              <a:solidFill>
                <a:schemeClr val="bg1"/>
              </a:solidFill>
            </a:rPr>
            <a:t> crude oil | Jan-2021 to May-2023</a:t>
          </a:r>
          <a:endParaRPr lang="en-IN" sz="1200" b="1" cap="all" baseline="0">
            <a:solidFill>
              <a:schemeClr val="bg1"/>
            </a:solidFill>
            <a:effectLst/>
          </a:endParaRPr>
        </a:p>
      </xdr:txBody>
    </xdr:sp>
    <xdr:clientData/>
  </xdr:twoCellAnchor>
  <xdr:twoCellAnchor editAs="absolute">
    <xdr:from>
      <xdr:col>4</xdr:col>
      <xdr:colOff>213360</xdr:colOff>
      <xdr:row>16</xdr:row>
      <xdr:rowOff>47988</xdr:rowOff>
    </xdr:from>
    <xdr:to>
      <xdr:col>9</xdr:col>
      <xdr:colOff>418440</xdr:colOff>
      <xdr:row>17</xdr:row>
      <xdr:rowOff>108948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BE3A8874-71F0-566D-7138-D6D64637BFE9}"/>
            </a:ext>
          </a:extLst>
        </xdr:cNvPr>
        <xdr:cNvSpPr txBox="1"/>
      </xdr:nvSpPr>
      <xdr:spPr>
        <a:xfrm>
          <a:off x="7193280" y="2974068"/>
          <a:ext cx="6804000" cy="243840"/>
        </a:xfrm>
        <a:prstGeom prst="rect">
          <a:avLst/>
        </a:prstGeom>
        <a:solidFill>
          <a:schemeClr val="accent2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200" b="1" cap="all">
              <a:solidFill>
                <a:schemeClr val="bg1"/>
              </a:solidFill>
            </a:rPr>
            <a:t>4. oil price</a:t>
          </a:r>
          <a:r>
            <a:rPr lang="en-IN" sz="1200" b="1" cap="all" baseline="0">
              <a:solidFill>
                <a:schemeClr val="bg1"/>
              </a:solidFill>
            </a:rPr>
            <a:t> MoM % Change Vs Top 3 CPI Categories MoM % Change</a:t>
          </a:r>
          <a:endParaRPr lang="en-IN" sz="1200" b="1" cap="all" baseline="0">
            <a:solidFill>
              <a:schemeClr val="bg1"/>
            </a:solidFill>
            <a:effectLst/>
          </a:endParaRPr>
        </a:p>
      </xdr:txBody>
    </xdr:sp>
    <xdr:clientData/>
  </xdr:twoCellAnchor>
  <xdr:twoCellAnchor editAs="absolute">
    <xdr:from>
      <xdr:col>0</xdr:col>
      <xdr:colOff>190499</xdr:colOff>
      <xdr:row>33</xdr:row>
      <xdr:rowOff>154668</xdr:rowOff>
    </xdr:from>
    <xdr:to>
      <xdr:col>9</xdr:col>
      <xdr:colOff>429649</xdr:colOff>
      <xdr:row>35</xdr:row>
      <xdr:rowOff>2268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31D61FF7-B3FD-DE0A-2E65-9285D21A241C}"/>
            </a:ext>
          </a:extLst>
        </xdr:cNvPr>
        <xdr:cNvSpPr txBox="1"/>
      </xdr:nvSpPr>
      <xdr:spPr>
        <a:xfrm>
          <a:off x="190499" y="6189708"/>
          <a:ext cx="13817990" cy="243840"/>
        </a:xfrm>
        <a:prstGeom prst="rect">
          <a:avLst/>
        </a:prstGeom>
        <a:solidFill>
          <a:schemeClr val="accent2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200" b="1">
              <a:solidFill>
                <a:schemeClr val="bg1"/>
              </a:solidFill>
            </a:rPr>
            <a:t>5. CORRELATION OF CPI CATEGORY INFLATION WITH IMPORTED CRUDE OIL PIRCE CHANGE (JAN</a:t>
          </a:r>
          <a:r>
            <a:rPr lang="en-IN" sz="1200" b="1" baseline="0">
              <a:solidFill>
                <a:schemeClr val="bg1"/>
              </a:solidFill>
            </a:rPr>
            <a:t>-2021 TO MAY 2023</a:t>
          </a:r>
          <a:endParaRPr lang="en-IN" sz="1200" b="1" cap="all" baseline="0">
            <a:solidFill>
              <a:schemeClr val="bg1"/>
            </a:solidFill>
            <a:effectLst/>
          </a:endParaRPr>
        </a:p>
      </xdr:txBody>
    </xdr:sp>
    <xdr:clientData/>
  </xdr:twoCellAnchor>
  <xdr:twoCellAnchor editAs="absolute">
    <xdr:from>
      <xdr:col>0</xdr:col>
      <xdr:colOff>182880</xdr:colOff>
      <xdr:row>64</xdr:row>
      <xdr:rowOff>47988</xdr:rowOff>
    </xdr:from>
    <xdr:to>
      <xdr:col>30</xdr:col>
      <xdr:colOff>0</xdr:colOff>
      <xdr:row>66</xdr:row>
      <xdr:rowOff>2931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842891B6-EDFD-5FFC-984D-29F2215580F9}"/>
            </a:ext>
          </a:extLst>
        </xdr:cNvPr>
        <xdr:cNvSpPr txBox="1"/>
      </xdr:nvSpPr>
      <xdr:spPr>
        <a:xfrm>
          <a:off x="182880" y="11782788"/>
          <a:ext cx="50718720" cy="244503"/>
        </a:xfrm>
        <a:prstGeom prst="rect">
          <a:avLst/>
        </a:prstGeom>
        <a:solidFill>
          <a:schemeClr val="accent2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rtl="0" eaLnBrk="1" fontAlgn="auto" latinLnBrk="0" hangingPunct="1"/>
          <a:r>
            <a:rPr lang="en-IN" sz="1200" b="1" cap="all" baseline="0">
              <a:solidFill>
                <a:schemeClr val="bg1"/>
              </a:solidFill>
              <a:latin typeface="+mn-lt"/>
              <a:ea typeface="+mn-ea"/>
              <a:cs typeface="+mn-cs"/>
            </a:rPr>
            <a:t>6. Supporting Calculation Data for Q5 Analysis (Sources from Cleaned_data)</a:t>
          </a:r>
        </a:p>
      </xdr:txBody>
    </xdr:sp>
    <xdr:clientData/>
  </xdr:twoCellAnchor>
  <xdr:twoCellAnchor editAs="absolute">
    <xdr:from>
      <xdr:col>0</xdr:col>
      <xdr:colOff>189506</xdr:colOff>
      <xdr:row>98</xdr:row>
      <xdr:rowOff>54614</xdr:rowOff>
    </xdr:from>
    <xdr:to>
      <xdr:col>30</xdr:col>
      <xdr:colOff>6626</xdr:colOff>
      <xdr:row>99</xdr:row>
      <xdr:rowOff>115575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74F2F27A-686A-519F-71E5-BBBFB8D63B8B}"/>
            </a:ext>
          </a:extLst>
        </xdr:cNvPr>
        <xdr:cNvSpPr txBox="1"/>
      </xdr:nvSpPr>
      <xdr:spPr>
        <a:xfrm>
          <a:off x="189506" y="18183588"/>
          <a:ext cx="50718720" cy="246491"/>
        </a:xfrm>
        <a:prstGeom prst="rect">
          <a:avLst/>
        </a:prstGeom>
        <a:solidFill>
          <a:schemeClr val="accent2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200" b="1">
              <a:solidFill>
                <a:schemeClr val="bg1"/>
              </a:solidFill>
            </a:rPr>
            <a:t>7. % CHANGE IN THE</a:t>
          </a:r>
          <a:r>
            <a:rPr lang="en-IN" sz="1200" b="1" baseline="0">
              <a:solidFill>
                <a:schemeClr val="bg1"/>
              </a:solidFill>
            </a:rPr>
            <a:t> CRUDE OIL PRICE &amp; INFLATION RATE</a:t>
          </a:r>
          <a:endParaRPr lang="en-IN" sz="1200" b="1" cap="all" baseline="0">
            <a:solidFill>
              <a:schemeClr val="bg1"/>
            </a:solidFill>
            <a:effectLst/>
          </a:endParaRPr>
        </a:p>
      </xdr:txBody>
    </xdr:sp>
    <xdr:clientData/>
  </xdr:twoCellAnchor>
  <xdr:twoCellAnchor editAs="absolute">
    <xdr:from>
      <xdr:col>7</xdr:col>
      <xdr:colOff>914400</xdr:colOff>
      <xdr:row>12</xdr:row>
      <xdr:rowOff>7620</xdr:rowOff>
    </xdr:from>
    <xdr:to>
      <xdr:col>9</xdr:col>
      <xdr:colOff>381000</xdr:colOff>
      <xdr:row>14</xdr:row>
      <xdr:rowOff>91440</xdr:rowOff>
    </xdr:to>
    <xdr:sp macro="" textlink="Dashboard_Calculations!G35">
      <xdr:nvSpPr>
        <xdr:cNvPr id="36" name="TextBox 35">
          <a:extLst>
            <a:ext uri="{FF2B5EF4-FFF2-40B4-BE49-F238E27FC236}">
              <a16:creationId xmlns:a16="http://schemas.microsoft.com/office/drawing/2014/main" id="{0CF4799C-45D1-93B5-B633-BABBFD754865}"/>
            </a:ext>
          </a:extLst>
        </xdr:cNvPr>
        <xdr:cNvSpPr txBox="1"/>
      </xdr:nvSpPr>
      <xdr:spPr>
        <a:xfrm>
          <a:off x="12062460" y="2202180"/>
          <a:ext cx="1897380" cy="4495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Category: </a:t>
          </a:r>
          <a:fld id="{FD7AB4A4-3D71-44C0-B82A-53E17C445397}" type="TxLink"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Milk and products</a:t>
          </a:fld>
          <a:endParaRPr lang="en-IN" sz="1200" b="1"/>
        </a:p>
      </xdr:txBody>
    </xdr:sp>
    <xdr:clientData/>
  </xdr:twoCellAnchor>
  <xdr:twoCellAnchor editAs="absolute">
    <xdr:from>
      <xdr:col>6</xdr:col>
      <xdr:colOff>571500</xdr:colOff>
      <xdr:row>12</xdr:row>
      <xdr:rowOff>15240</xdr:rowOff>
    </xdr:from>
    <xdr:to>
      <xdr:col>7</xdr:col>
      <xdr:colOff>655320</xdr:colOff>
      <xdr:row>14</xdr:row>
      <xdr:rowOff>99060</xdr:rowOff>
    </xdr:to>
    <xdr:sp macro="" textlink="Dashboard_Calculations!G34">
      <xdr:nvSpPr>
        <xdr:cNvPr id="37" name="TextBox 36">
          <a:extLst>
            <a:ext uri="{FF2B5EF4-FFF2-40B4-BE49-F238E27FC236}">
              <a16:creationId xmlns:a16="http://schemas.microsoft.com/office/drawing/2014/main" id="{D287B781-E1B8-0BE9-A6F2-01E550E70057}"/>
            </a:ext>
          </a:extLst>
        </xdr:cNvPr>
        <xdr:cNvSpPr txBox="1"/>
      </xdr:nvSpPr>
      <xdr:spPr>
        <a:xfrm>
          <a:off x="9966960" y="2209800"/>
          <a:ext cx="1836420" cy="4495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Category - </a:t>
          </a:r>
          <a:fld id="{045A8518-A3D9-4F40-AC66-9AEDCB28795B}" type="TxLink"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Oils and fats</a:t>
          </a:fld>
          <a:endParaRPr lang="en-IN" sz="1200" b="1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135</xdr:row>
      <xdr:rowOff>0</xdr:rowOff>
    </xdr:from>
    <xdr:ext cx="175260" cy="175260"/>
    <xdr:pic>
      <xdr:nvPicPr>
        <xdr:cNvPr id="2" name="Picture 1" descr="PDF document">
          <a:extLst>
            <a:ext uri="{FF2B5EF4-FFF2-40B4-BE49-F238E27FC236}">
              <a16:creationId xmlns:a16="http://schemas.microsoft.com/office/drawing/2014/main" id="{979DB1D0-C00F-46EE-AA78-FC3513BD8C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8580" y="3840480"/>
          <a:ext cx="1752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135</xdr:row>
      <xdr:rowOff>0</xdr:rowOff>
    </xdr:from>
    <xdr:ext cx="175260" cy="175260"/>
    <xdr:pic>
      <xdr:nvPicPr>
        <xdr:cNvPr id="3" name="Picture 2" descr="PDF document">
          <a:extLst>
            <a:ext uri="{FF2B5EF4-FFF2-40B4-BE49-F238E27FC236}">
              <a16:creationId xmlns:a16="http://schemas.microsoft.com/office/drawing/2014/main" id="{95E9A73C-0E54-47B7-8DCA-D260A0E1C1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8580" y="4389120"/>
          <a:ext cx="1752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135</xdr:row>
      <xdr:rowOff>0</xdr:rowOff>
    </xdr:from>
    <xdr:ext cx="175260" cy="175260"/>
    <xdr:pic>
      <xdr:nvPicPr>
        <xdr:cNvPr id="4" name="Picture 3" descr="PDF document">
          <a:extLst>
            <a:ext uri="{FF2B5EF4-FFF2-40B4-BE49-F238E27FC236}">
              <a16:creationId xmlns:a16="http://schemas.microsoft.com/office/drawing/2014/main" id="{ACADAADA-09F2-4C67-B660-B95022249B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8580" y="4937760"/>
          <a:ext cx="1752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135</xdr:row>
      <xdr:rowOff>0</xdr:rowOff>
    </xdr:from>
    <xdr:ext cx="175260" cy="175260"/>
    <xdr:pic>
      <xdr:nvPicPr>
        <xdr:cNvPr id="5" name="Picture 4" descr="PDF document">
          <a:extLst>
            <a:ext uri="{FF2B5EF4-FFF2-40B4-BE49-F238E27FC236}">
              <a16:creationId xmlns:a16="http://schemas.microsoft.com/office/drawing/2014/main" id="{D5FEF907-8433-4BE3-99F8-A78769EA59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8580" y="5486400"/>
          <a:ext cx="1752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135</xdr:row>
      <xdr:rowOff>0</xdr:rowOff>
    </xdr:from>
    <xdr:ext cx="175260" cy="175260"/>
    <xdr:pic>
      <xdr:nvPicPr>
        <xdr:cNvPr id="6" name="Picture 5" descr="PDF document">
          <a:extLst>
            <a:ext uri="{FF2B5EF4-FFF2-40B4-BE49-F238E27FC236}">
              <a16:creationId xmlns:a16="http://schemas.microsoft.com/office/drawing/2014/main" id="{288D1AFF-ED51-403D-9178-2E59B206B4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8580" y="6035040"/>
          <a:ext cx="1752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135</xdr:row>
      <xdr:rowOff>0</xdr:rowOff>
    </xdr:from>
    <xdr:ext cx="175260" cy="175260"/>
    <xdr:pic>
      <xdr:nvPicPr>
        <xdr:cNvPr id="7" name="Picture 6" descr="PDF document">
          <a:extLst>
            <a:ext uri="{FF2B5EF4-FFF2-40B4-BE49-F238E27FC236}">
              <a16:creationId xmlns:a16="http://schemas.microsoft.com/office/drawing/2014/main" id="{B72064E0-1B6E-4453-9500-DB3D2B954C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8580" y="6583680"/>
          <a:ext cx="17526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vam Vishwakarma" refreshedDate="46251.016131018521" createdVersion="8" refreshedVersion="8" minRefreshableVersion="3" recordCount="24" xr:uid="{ECD0C7AD-95A7-42C3-9076-C660AF79D97E}">
  <cacheSource type="worksheet">
    <worksheetSource name="Table6"/>
  </cacheSource>
  <cacheFields count="5">
    <cacheField name="Category" numFmtId="0">
      <sharedItems/>
    </cacheField>
    <cacheField name="Broder Category" numFmtId="0">
      <sharedItems count="12">
        <s v="Food"/>
        <s v="Pan, tobacco and intoxicants"/>
        <s v="Apparel "/>
        <s v="Housing"/>
        <s v="Fuel and light"/>
        <s v="Household goods and services"/>
        <s v="Health"/>
        <s v="Transport and communication"/>
        <s v="Recreation and amusement"/>
        <s v="Education"/>
        <s v="Personal care and effects"/>
        <s v="Miscellaneous"/>
      </sharedItems>
    </cacheField>
    <cacheField name="May 2023 Rural" numFmtId="0">
      <sharedItems containsSemiMixedTypes="0" containsString="0" containsNumber="1" minValue="0" maxValue="221"/>
    </cacheField>
    <cacheField name="May 2023 Urban" numFmtId="0">
      <sharedItems containsSemiMixedTypes="0" containsString="0" containsNumber="1" minValue="124.2" maxValue="219.4"/>
    </cacheField>
    <cacheField name="May 2023 Rural+Urban" numFmtId="0">
      <sharedItems containsSemiMixedTypes="0" containsString="0" containsNumber="1" minValue="122.7" maxValue="21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s v="Cereals and products"/>
    <x v="0"/>
    <n v="173.2"/>
    <n v="174.7"/>
    <n v="173.7"/>
  </r>
  <r>
    <s v="Meat and fish"/>
    <x v="0"/>
    <n v="211.5"/>
    <n v="219.4"/>
    <n v="214.3"/>
  </r>
  <r>
    <s v="Egg"/>
    <x v="0"/>
    <n v="171"/>
    <n v="176.7"/>
    <n v="173.2"/>
  </r>
  <r>
    <s v="Milk and products"/>
    <x v="0"/>
    <n v="179.6"/>
    <n v="179.4"/>
    <n v="179.5"/>
  </r>
  <r>
    <s v="Oils and fats"/>
    <x v="0"/>
    <n v="173.3"/>
    <n v="164.4"/>
    <n v="170"/>
  </r>
  <r>
    <s v="Fruits"/>
    <x v="0"/>
    <n v="169"/>
    <n v="175.8"/>
    <n v="172.2"/>
  </r>
  <r>
    <s v="Vegetables"/>
    <x v="0"/>
    <n v="148.69999999999999"/>
    <n v="185"/>
    <n v="161"/>
  </r>
  <r>
    <s v="Pulses and products"/>
    <x v="0"/>
    <n v="174.9"/>
    <n v="176.9"/>
    <n v="175.6"/>
  </r>
  <r>
    <s v="Sugar and Confectionery"/>
    <x v="0"/>
    <n v="121.9"/>
    <n v="124.2"/>
    <n v="122.7"/>
  </r>
  <r>
    <s v="Spices"/>
    <x v="0"/>
    <n v="221"/>
    <n v="211.9"/>
    <n v="218"/>
  </r>
  <r>
    <s v="Non-alcoholic beverages"/>
    <x v="0"/>
    <n v="178.7"/>
    <n v="165.9"/>
    <n v="173.4"/>
  </r>
  <r>
    <s v="Prepared meals, snacks, sweets etc."/>
    <x v="0"/>
    <n v="191.1"/>
    <n v="197.7"/>
    <n v="194.2"/>
  </r>
  <r>
    <s v="Pan, tobacco and intoxicants"/>
    <x v="1"/>
    <n v="199.9"/>
    <n v="204.2"/>
    <n v="201"/>
  </r>
  <r>
    <s v="Clothing"/>
    <x v="2"/>
    <n v="191.2"/>
    <n v="181.3"/>
    <n v="187.3"/>
  </r>
  <r>
    <s v="Footwear"/>
    <x v="2"/>
    <n v="187.9"/>
    <n v="168.1"/>
    <n v="179.7"/>
  </r>
  <r>
    <s v="Housing"/>
    <x v="3"/>
    <n v="0"/>
    <n v="175.6"/>
    <n v="175.6"/>
  </r>
  <r>
    <s v="Fuel and light"/>
    <x v="4"/>
    <n v="182.5"/>
    <n v="183.4"/>
    <n v="182.8"/>
  </r>
  <r>
    <s v="Household goods and services"/>
    <x v="5"/>
    <n v="179.8"/>
    <n v="170.1"/>
    <n v="175.2"/>
  </r>
  <r>
    <s v="Health"/>
    <x v="6"/>
    <n v="187.8"/>
    <n v="182.2"/>
    <n v="185.7"/>
  </r>
  <r>
    <s v="Transport and communication"/>
    <x v="7"/>
    <n v="169.7"/>
    <n v="160.4"/>
    <n v="164.8"/>
  </r>
  <r>
    <s v="Recreation and amusement"/>
    <x v="8"/>
    <n v="173.8"/>
    <n v="169.2"/>
    <n v="171.2"/>
  </r>
  <r>
    <s v="Education"/>
    <x v="9"/>
    <n v="180.3"/>
    <n v="174.8"/>
    <n v="177.1"/>
  </r>
  <r>
    <s v="Personal care and effects"/>
    <x v="10"/>
    <n v="184.9"/>
    <n v="185.6"/>
    <n v="185.2"/>
  </r>
  <r>
    <s v="Miscellaneous"/>
    <x v="11"/>
    <n v="179.5"/>
    <n v="171.6"/>
    <n v="175.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18E854-91F3-49BD-86F9-A90D4E60A2C5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Categories">
  <location ref="B23:E36" firstHeaderRow="0" firstDataRow="1" firstDataCol="1"/>
  <pivotFields count="5">
    <pivotField showAll="0"/>
    <pivotField axis="axisRow" showAll="0" sortType="descending">
      <items count="13">
        <item x="2"/>
        <item x="9"/>
        <item x="0"/>
        <item x="4"/>
        <item x="6"/>
        <item x="5"/>
        <item x="3"/>
        <item x="11"/>
        <item x="1"/>
        <item x="10"/>
        <item x="8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dataField="1" showAll="0"/>
    <pivotField dataField="1" showAll="0"/>
  </pivotFields>
  <rowFields count="1">
    <field x="1"/>
  </rowFields>
  <rowItems count="13">
    <i>
      <x v="2"/>
    </i>
    <i>
      <x/>
    </i>
    <i>
      <x v="8"/>
    </i>
    <i>
      <x v="4"/>
    </i>
    <i>
      <x v="9"/>
    </i>
    <i>
      <x v="3"/>
    </i>
    <i>
      <x v="1"/>
    </i>
    <i>
      <x v="5"/>
    </i>
    <i>
      <x v="7"/>
    </i>
    <i>
      <x v="10"/>
    </i>
    <i>
      <x v="11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Of May 2023 Rural" fld="2" showDataAs="percentOfTotal" baseField="0" baseItem="0" numFmtId="10"/>
    <dataField name="of May 2023 Urban" fld="3" showDataAs="percentOfTotal" baseField="0" baseItem="0" numFmtId="10"/>
    <dataField name="of May 2023 Rural+Urban" fld="4" showDataAs="percentOfTotal" baseField="0" baseItem="0" numFmtId="10"/>
  </dataFields>
  <formats count="23">
    <format dxfId="190">
      <pivotArea type="all" dataOnly="0" outline="0" fieldPosition="0"/>
    </format>
    <format dxfId="189">
      <pivotArea outline="0" collapsedLevelsAreSubtotals="1" fieldPosition="0"/>
    </format>
    <format dxfId="188">
      <pivotArea field="1" type="button" dataOnly="0" labelOnly="1" outline="0" axis="axisRow" fieldPosition="0"/>
    </format>
    <format dxfId="187">
      <pivotArea dataOnly="0" labelOnly="1" fieldPosition="0">
        <references count="1">
          <reference field="1" count="0"/>
        </references>
      </pivotArea>
    </format>
    <format dxfId="186">
      <pivotArea dataOnly="0" labelOnly="1" grandRow="1" outline="0" fieldPosition="0"/>
    </format>
    <format dxfId="18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84">
      <pivotArea field="1" type="button" dataOnly="0" labelOnly="1" outline="0" axis="axisRow" fieldPosition="0"/>
    </format>
    <format dxfId="18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8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1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80">
      <pivotArea field="1" type="button" dataOnly="0" labelOnly="1" outline="0" axis="axisRow" fieldPosition="0"/>
    </format>
    <format dxfId="17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7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77">
      <pivotArea field="1" type="button" dataOnly="0" labelOnly="1" outline="0" axis="axisRow" fieldPosition="0"/>
    </format>
    <format dxfId="176">
      <pivotArea field="1" type="button" dataOnly="0" labelOnly="1" outline="0" axis="axisRow" fieldPosition="0"/>
    </format>
    <format dxfId="17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74">
      <pivotArea grandRow="1" outline="0" collapsedLevelsAreSubtotals="1" fieldPosition="0"/>
    </format>
    <format dxfId="173">
      <pivotArea dataOnly="0" labelOnly="1" grandRow="1" outline="0" fieldPosition="0"/>
    </format>
    <format dxfId="172">
      <pivotArea dataOnly="0" grandRow="1" fieldPosition="0"/>
    </format>
    <format dxfId="171">
      <pivotArea field="1" type="button" dataOnly="0" labelOnly="1" outline="0" axis="axisRow" fieldPosition="0"/>
    </format>
    <format dxfId="17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69">
      <pivotArea grandRow="1" outline="0" collapsedLevelsAreSubtotals="1" fieldPosition="0"/>
    </format>
    <format dxfId="168">
      <pivotArea dataOnly="0" labelOnly="1" grandRow="1" outline="0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Medium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B3397D0-10B6-414A-A98A-EEF263650F39}" name="Table6" displayName="Table6" ref="B47:F71" totalsRowShown="0" headerRowDxfId="167" dataDxfId="166">
  <autoFilter ref="B47:F71" xr:uid="{2B3397D0-10B6-414A-A98A-EEF263650F39}"/>
  <tableColumns count="5">
    <tableColumn id="1" xr3:uid="{DDA66B61-7C8E-4536-8A19-397115B7AE70}" name="Category" dataDxfId="165"/>
    <tableColumn id="2" xr3:uid="{B756BF84-1E7D-4E09-B73D-764FF9E49CF0}" name="Broader Category" dataDxfId="164"/>
    <tableColumn id="3" xr3:uid="{B04E354A-B7A9-451E-BB29-5508BED4F38D}" name="May 2023 Rural" dataDxfId="163">
      <calculatedColumnFormula array="1">INDEX(CPI_Data[#All], MATCH("Rural"&amp;"2023"&amp;"May",CPI_Data[[#All],[Sector]]&amp;CPI_Data[[#All],[Year]]&amp;CPI_Data[[#All],[Month]],0), MATCH('Q1 - CPI Contribution'!B48,CPI_Data[#Headers],0))</calculatedColumnFormula>
    </tableColumn>
    <tableColumn id="4" xr3:uid="{1100790D-C67C-43C6-9C65-7B27ABB68A12}" name="May 2023 Urban" dataDxfId="162">
      <calculatedColumnFormula array="1">INDEX(CPI_Data[#All], MATCH("Urban"&amp;"2023"&amp;"May",CPI_Data[[#All],[Sector]]&amp;CPI_Data[[#All],[Year]]&amp;CPI_Data[[#All],[Month]],0), MATCH('Q1 - CPI Contribution'!B48,CPI_Data[#Headers],0))</calculatedColumnFormula>
    </tableColumn>
    <tableColumn id="5" xr3:uid="{4146897A-02DF-474C-8EEE-1809B490ADB9}" name="May 2023 Rural+Urban" dataDxfId="161">
      <calculatedColumnFormula array="1">INDEX(CPI_Data[#All], MATCH("Rural+Urban"&amp;"2023"&amp;"May",CPI_Data[[#All],[Sector]]&amp;CPI_Data[[#All],[Year]]&amp;CPI_Data[[#All],[Month]],0), MATCH('Q1 - CPI Contribution'!B48,CPI_Data[#Headers],0))</calculatedColumnFormula>
    </tableColumn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2DFDB21-166F-4FE4-B47B-86ABF5DDF701}" name="Table7" displayName="Table7" ref="Q16:S24" totalsRowShown="0">
  <autoFilter ref="Q16:S24" xr:uid="{22DFDB21-166F-4FE4-B47B-86ABF5DDF701}"/>
  <tableColumns count="3">
    <tableColumn id="1" xr3:uid="{B8A8969D-181C-47FD-98D8-F8EEB74439DF}" name="Year" dataDxfId="160"/>
    <tableColumn id="2" xr3:uid="{FF2A8740-4B46-4288-9D83-402E8D707428}" name="CPI Index">
      <calculatedColumnFormula array="1">INDEX(CPI_Data[General index], MATCH(1, (CPI_Data[Sector]="Rural+Urban")*(CPI_Data[Date]=Q17), 0))</calculatedColumnFormula>
    </tableColumn>
    <tableColumn id="3" xr3:uid="{A88B7696-D929-4BDF-A2B5-832C916D4A81}" name="Inflation" dataDxfId="159" dataCellStyle="Percent">
      <calculatedColumnFormula>(R19-R18)/R18</calculatedColumnFormula>
    </tableColumn>
  </tableColumns>
  <tableStyleInfo name="TableStyleMedium2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858BD16-5FED-43E7-B437-CD22E4D4C9FB}" name="Q3_MoM_food_inflation" displayName="Q3_MoM_food_inflation" ref="K32:Q45" totalsRowShown="0" headerRowDxfId="158" dataDxfId="156" headerRowBorderDxfId="157" tableBorderDxfId="155" totalsRowBorderDxfId="154" dataCellStyle="Percent">
  <autoFilter ref="K32:Q45" xr:uid="{B858BD16-5FED-43E7-B437-CD22E4D4C9FB}"/>
  <tableColumns count="7">
    <tableColumn id="1" xr3:uid="{2183DAA1-81AC-455F-B1C3-7AAA36284D0A}" name="Date" dataDxfId="153"/>
    <tableColumn id="2" xr3:uid="{727F547C-96D4-491A-9230-9B124C378F0C}" name="Rural" dataDxfId="152">
      <calculatedColumnFormula>AVERAGE(
SUMIFS(CPI_Data[Cereals and products],CPI_Data[Sector],L$32,CPI_Data[Date],$K33),
SUMIFS(CPI_Data[Meat and fish],CPI_Data[Sector],L$32,CPI_Data[Date],$K33),
SUMIFS(CPI_Data[Egg],CPI_Data[Sector],L$32,CPI_Data[Date],$K33),
SUMIFS(CPI_Data[Milk and products],CPI_Data[Sector],L$32,CPI_Data[Date],$K33),
SUMIFS(CPI_Data[Oils and fats],CPI_Data[Sector],L$32,CPI_Data[Date],$K33),
SUMIFS(CPI_Data[Fruits],CPI_Data[Sector],L$32,CPI_Data[Date],$K33),
SUMIFS(CPI_Data[Vegetables],CPI_Data[Sector],L$32,CPI_Data[Date],$K33),
SUMIFS(CPI_Data[Pulses and products],CPI_Data[Sector],L$32,CPI_Data[Date],$K33),
SUMIFS(CPI_Data[Sugar and Confectionery],CPI_Data[Sector],L$32,CPI_Data[Date],$K33),
SUMIFS(CPI_Data[Spices],CPI_Data[Sector],L$32,CPI_Data[Date],$K33),
SUMIFS(CPI_Data[Non-alcoholic beverages],CPI_Data[Sector],L$32,CPI_Data[Date],$K33),
SUMIFS(CPI_Data[Prepared meals, snacks, sweets etc.],CPI_Data[Sector],L$32,CPI_Data[Date],$K33)
)</calculatedColumnFormula>
    </tableColumn>
    <tableColumn id="3" xr3:uid="{6E77D994-3CFD-4BD9-9FCD-BA9F22EAB6E6}" name="Inflation (R)" dataDxfId="151" dataCellStyle="Percent">
      <calculatedColumnFormula>(L33-L32)/L32</calculatedColumnFormula>
    </tableColumn>
    <tableColumn id="4" xr3:uid="{D4E052BE-030B-4485-A995-0E36DBCE1826}" name="Urban" dataDxfId="150">
      <calculatedColumnFormula>AVERAGE(
SUMIFS(CPI_Data[Cereals and products],CPI_Data[Sector],N$32,CPI_Data[Date],$K33),
SUMIFS(CPI_Data[Meat and fish],CPI_Data[Sector],N$32,CPI_Data[Date],$K33),
SUMIFS(CPI_Data[Egg],CPI_Data[Sector],N$32,CPI_Data[Date],$K33),
SUMIFS(CPI_Data[Milk and products],CPI_Data[Sector],N$32,CPI_Data[Date],$K33),
SUMIFS(CPI_Data[Oils and fats],CPI_Data[Sector],N$32,CPI_Data[Date],$K33),
SUMIFS(CPI_Data[Fruits],CPI_Data[Sector],N$32,CPI_Data[Date],$K33),
SUMIFS(CPI_Data[Vegetables],CPI_Data[Sector],N$32,CPI_Data[Date],$K33),
SUMIFS(CPI_Data[Pulses and products],CPI_Data[Sector],N$32,CPI_Data[Date],$K33),
SUMIFS(CPI_Data[Sugar and Confectionery],CPI_Data[Sector],N$32,CPI_Data[Date],$K33),
SUMIFS(CPI_Data[Spices],CPI_Data[Sector],N$32,CPI_Data[Date],$K33),
SUMIFS(CPI_Data[Non-alcoholic beverages],CPI_Data[Sector],N$32,CPI_Data[Date],$K33),
SUMIFS(CPI_Data[Prepared meals, snacks, sweets etc.],CPI_Data[Sector],N$32,CPI_Data[Date],$K33)
)</calculatedColumnFormula>
    </tableColumn>
    <tableColumn id="5" xr3:uid="{997093C5-7E0F-4CD8-925F-50154F917C8D}" name="Inflation (U)" dataDxfId="149" dataCellStyle="Percent">
      <calculatedColumnFormula>(N33-N32)/N32</calculatedColumnFormula>
    </tableColumn>
    <tableColumn id="6" xr3:uid="{38CC64AF-377C-4ECA-B6EA-487FE5F4D7EB}" name="Rural+Urban" dataDxfId="148">
      <calculatedColumnFormula>AVERAGE(
SUMIFS(CPI_Data[Cereals and products],CPI_Data[Sector],P$32,CPI_Data[Date],$K33),
SUMIFS(CPI_Data[Meat and fish],CPI_Data[Sector],P$32,CPI_Data[Date],$K33),
SUMIFS(CPI_Data[Egg],CPI_Data[Sector],P$32,CPI_Data[Date],$K33),
SUMIFS(CPI_Data[Milk and products],CPI_Data[Sector],P$32,CPI_Data[Date],$K33),
SUMIFS(CPI_Data[Oils and fats],CPI_Data[Sector],P$32,CPI_Data[Date],$K33),
SUMIFS(CPI_Data[Fruits],CPI_Data[Sector],P$32,CPI_Data[Date],$K33),
SUMIFS(CPI_Data[Vegetables],CPI_Data[Sector],P$32,CPI_Data[Date],$K33),
SUMIFS(CPI_Data[Pulses and products],CPI_Data[Sector],P$32,CPI_Data[Date],$K33),
SUMIFS(CPI_Data[Sugar and Confectionery],CPI_Data[Sector],P$32,CPI_Data[Date],$K33),
SUMIFS(CPI_Data[Spices],CPI_Data[Sector],P$32,CPI_Data[Date],$K33),
SUMIFS(CPI_Data[Non-alcoholic beverages],CPI_Data[Sector],P$32,CPI_Data[Date],$K33),
SUMIFS(CPI_Data[Prepared meals, snacks, sweets etc.],CPI_Data[Sector],P$32,CPI_Data[Date],$K33)
)</calculatedColumnFormula>
    </tableColumn>
    <tableColumn id="7" xr3:uid="{90B43F0C-25A3-4820-AA51-3F688DE3C8DB}" name="Inflation (R+U)" dataDxfId="147" dataCellStyle="Percent">
      <calculatedColumnFormula>(P33-P32)/P32</calculatedColumnFormula>
    </tableColumn>
  </tableColumns>
  <tableStyleInfo name="TableStyleMedium2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3BADB86-F2FD-4F85-B2DA-0D5AEDD70D30}" name="Table9" displayName="Table9" ref="B127:Q135" totalsRowShown="0" headerRowDxfId="146" dataDxfId="145">
  <autoFilter ref="B127:Q135" xr:uid="{C3BADB86-F2FD-4F85-B2DA-0D5AEDD70D30}"/>
  <tableColumns count="16">
    <tableColumn id="1" xr3:uid="{7221E93E-9C5C-4E20-8A9C-30DE05C08FBC}" name="Date" dataDxfId="144"/>
    <tableColumn id="2" xr3:uid="{0F50F4A7-8A31-4C2D-8691-3CB46C6FA0C1}" name="Health (R)" dataDxfId="143">
      <calculatedColumnFormula>SUMIFS(CPI_Data[Health],CPI_Data[Sector], "Rural", CPI_Data[Date], $B128)</calculatedColumnFormula>
    </tableColumn>
    <tableColumn id="3" xr3:uid="{27E84362-D02D-4CBF-8404-A4C7328B9ACD}" name="Food (R)" dataDxfId="142">
      <calculatedColumnFormula>AVERAGE(
SUMIFS(CPI_Data[Cereals and products],CPI_Data[Sector], "Rural", CPI_Data[Date], $B128),
SUMIFS(CPI_Data[Meat and fish],CPI_Data[Sector], "Rural", CPI_Data[Date], $B128),
SUMIFS(CPI_Data[Egg],CPI_Data[Sector], "Rural", CPI_Data[Date], $B128),
SUMIFS(CPI_Data[Milk and products],CPI_Data[Sector], "Rural", CPI_Data[Date], $B128),
SUMIFS(CPI_Data[Oils and fats],CPI_Data[Sector], "Rural", CPI_Data[Date], $B128),
SUMIFS(CPI_Data[Fruits],CPI_Data[Sector], "Rural", CPI_Data[Date], $B128),
SUMIFS(CPI_Data[Vegetables],CPI_Data[Sector], "Rural", CPI_Data[Date], $B128),
SUMIFS(CPI_Data[Pulses and products],CPI_Data[Sector], "Rural", CPI_Data[Date], $B128),
SUMIFS(CPI_Data[Sugar and Confectionery],CPI_Data[Sector], "Rural", CPI_Data[Date], $B128),
SUMIFS(CPI_Data[Spices],CPI_Data[Sector], "Rural", CPI_Data[Date], $B128),
SUMIFS(CPI_Data[Non-alcoholic beverages],CPI_Data[Sector], "Rural", CPI_Data[Date], $B128),
SUMIFS(CPI_Data[Prepared meals, snacks, sweets etc.],CPI_Data[Sector], "Rural", CPI_Data[Date], $B128)
)</calculatedColumnFormula>
    </tableColumn>
    <tableColumn id="4" xr3:uid="{7EB44FD3-D494-4275-A12D-5BFD00733E16}" name="Fuel and light (R)" dataDxfId="141">
      <calculatedColumnFormula>SUMIFS(CPI_Data[Fuel and light], CPI_Data[Sector], "Rural", CPI_Data[Date], $B128)</calculatedColumnFormula>
    </tableColumn>
    <tableColumn id="5" xr3:uid="{B25A6856-510F-43F4-8354-94D34AF3B9DD}" name="Transport and communication (R)" dataDxfId="140">
      <calculatedColumnFormula>SUMIFS(CPI_Data[Transport and communication], CPI_Data[Sector], "Rural", CPI_Data[Date], $B128)</calculatedColumnFormula>
    </tableColumn>
    <tableColumn id="6" xr3:uid="{F1DCBC2D-A244-4E67-BDF9-91BB2528E138}" name="General index (R)" dataDxfId="139">
      <calculatedColumnFormula>SUMIFS(CPI_Data[General index], CPI_Data[Sector], "Rural", CPI_Data[Date], $B128)</calculatedColumnFormula>
    </tableColumn>
    <tableColumn id="7" xr3:uid="{DE7F42A5-0426-4B1C-88EC-D1D4B471C412}" name="Health (U)" dataDxfId="138">
      <calculatedColumnFormula>SUMIFS(CPI_Data[Health], CPI_Data[Sector], "Urban", CPI_Data[Date], B128)</calculatedColumnFormula>
    </tableColumn>
    <tableColumn id="8" xr3:uid="{179C5D8A-503C-4D0E-B542-7F3F7438306E}" name="Food (U)" dataDxfId="137">
      <calculatedColumnFormula>AVERAGE(
SUMIFS(CPI_Data[Cereals and products],CPI_Data[Sector], "Urban", CPI_Data[Date], $B128),
SUMIFS(CPI_Data[Meat and fish],CPI_Data[Sector], "Urban", CPI_Data[Date], $B128),
SUMIFS(CPI_Data[Egg],CPI_Data[Sector], "Urban", CPI_Data[Date], $B128),
SUMIFS(CPI_Data[Milk and products],CPI_Data[Sector], "Urban", CPI_Data[Date], $B128),
SUMIFS(CPI_Data[Oils and fats],CPI_Data[Sector], "Urban", CPI_Data[Date], $B128),
SUMIFS(CPI_Data[Fruits],CPI_Data[Sector], "Urban", CPI_Data[Date], $B128),
SUMIFS(CPI_Data[Vegetables],CPI_Data[Sector], "Urban", CPI_Data[Date], $B128),
SUMIFS(CPI_Data[Pulses and products],CPI_Data[Sector], "Urban", CPI_Data[Date], $B128),
SUMIFS(CPI_Data[Sugar and Confectionery],CPI_Data[Sector], "Urban", CPI_Data[Date], $B128),
SUMIFS(CPI_Data[Spices],CPI_Data[Sector], "Urban", CPI_Data[Date], $B128),
SUMIFS(CPI_Data[Non-alcoholic beverages],CPI_Data[Sector], "Urban", CPI_Data[Date], $B128),
SUMIFS(CPI_Data[Prepared meals, snacks, sweets etc.],CPI_Data[Sector], "Urban", CPI_Data[Date], $B128)
)</calculatedColumnFormula>
    </tableColumn>
    <tableColumn id="9" xr3:uid="{B4B20165-0718-45D7-A939-F6896E57659A}" name="Fuel and light (U)" dataDxfId="136">
      <calculatedColumnFormula>SUMIFS(CPI_Data[Fuel and light], CPI_Data[Sector], "Urban", CPI_Data[Date], B128)</calculatedColumnFormula>
    </tableColumn>
    <tableColumn id="10" xr3:uid="{FA8D8B26-5CC0-4A52-908B-02CCDB6F59E8}" name="Transport and communication (U)" dataDxfId="135">
      <calculatedColumnFormula>SUMIFS(CPI_Data[Transport and communication], CPI_Data[Sector], "Urban", CPI_Data[Date], B128)</calculatedColumnFormula>
    </tableColumn>
    <tableColumn id="11" xr3:uid="{F841F013-827C-49D5-98E0-1CF2B500D7B1}" name="General index (U)" dataDxfId="134">
      <calculatedColumnFormula>SUMIFS(CPI_Data[General index], CPI_Data[Sector], "Urban", CPI_Data[Date], B128)</calculatedColumnFormula>
    </tableColumn>
    <tableColumn id="12" xr3:uid="{7F41F9D5-6252-4114-A443-C2917D12E525}" name="Health (R+U)" dataDxfId="133">
      <calculatedColumnFormula>SUMIFS(CPI_Data[Health], CPI_Data[Sector], "Rural+Urban", CPI_Data[Date], B128)</calculatedColumnFormula>
    </tableColumn>
    <tableColumn id="13" xr3:uid="{FA7D9BC2-C70B-4588-95D0-9CC17FE08021}" name="Food (R+U)" dataDxfId="132">
      <calculatedColumnFormula>AVERAGE(
SUMIFS(CPI_Data[Cereals and products],CPI_Data[Sector], "Rural+Urban", CPI_Data[Date], $B128),
SUMIFS(CPI_Data[Meat and fish],CPI_Data[Sector], "Rural+Urban", CPI_Data[Date], $B128),
SUMIFS(CPI_Data[Egg],CPI_Data[Sector], "Rural+Urban", CPI_Data[Date], $B128),
SUMIFS(CPI_Data[Milk and products],CPI_Data[Sector], "Rural+Urban", CPI_Data[Date], $B128),
SUMIFS(CPI_Data[Oils and fats],CPI_Data[Sector], "Rural+Urban", CPI_Data[Date], $B128),
SUMIFS(CPI_Data[Fruits],CPI_Data[Sector], "Rural+Urban", CPI_Data[Date], $B128),
SUMIFS(CPI_Data[Vegetables],CPI_Data[Sector], "Rural+Urban", CPI_Data[Date], $B128),
SUMIFS(CPI_Data[Pulses and products],CPI_Data[Sector], "Rural+Urban", CPI_Data[Date], $B128),
SUMIFS(CPI_Data[Sugar and Confectionery],CPI_Data[Sector], "Rural+Urban", CPI_Data[Date], $B128),
SUMIFS(CPI_Data[Spices],CPI_Data[Sector], "Rural+Urban", CPI_Data[Date], $B128),
SUMIFS(CPI_Data[Non-alcoholic beverages],CPI_Data[Sector], "Rural+Urban", CPI_Data[Date], $B128),
SUMIFS(CPI_Data[Prepared meals, snacks, sweets etc.],CPI_Data[Sector], "Rural+Urban", CPI_Data[Date], $B128)
)</calculatedColumnFormula>
    </tableColumn>
    <tableColumn id="14" xr3:uid="{6570FF1A-DD47-4EF1-8080-EA105696FA64}" name="Fuel and light (R+U)" dataDxfId="131">
      <calculatedColumnFormula>SUMIFS(CPI_Data[Fuel and light], CPI_Data[Sector], "Rural+Urban", CPI_Data[Date], B128)</calculatedColumnFormula>
    </tableColumn>
    <tableColumn id="15" xr3:uid="{E57B204C-3105-4494-BEEB-3A8088311A60}" name="Transport and communication (R+U)" dataDxfId="130">
      <calculatedColumnFormula>SUMIFS(CPI_Data[Transport and communication], CPI_Data[Sector], "Rural+Urban", CPI_Data[Date], B128)</calculatedColumnFormula>
    </tableColumn>
    <tableColumn id="16" xr3:uid="{4D55D296-2A92-4A79-AC0B-AC0F7CE47342}" name="General index (R+U)" dataDxfId="129">
      <calculatedColumnFormula>SUMIFS(CPI_Data[General index], CPI_Data[Sector], "Rural+Urban", CPI_Data[Date], B128)</calculatedColumnFormula>
    </tableColumn>
  </tableColumns>
  <tableStyleInfo name="TableStyleMedium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800A111-07D9-4FFA-86E0-86AAE7BA2D0E}" name="Table10" displayName="Table10" ref="B138:Q145" totalsRowShown="0" headerRowDxfId="128">
  <autoFilter ref="B138:Q145" xr:uid="{7800A111-07D9-4FFA-86E0-86AAE7BA2D0E}"/>
  <tableColumns count="16">
    <tableColumn id="1" xr3:uid="{8D449AAE-23BE-4067-A45C-F053D70CFA3F}" name="Date" dataDxfId="127"/>
    <tableColumn id="2" xr3:uid="{F8A5D909-E2DF-4FC4-A944-CE94800D4580}" name="Health Inflation (R)" dataDxfId="126" dataCellStyle="Percent">
      <calculatedColumnFormula>(C129-C128)/C128</calculatedColumnFormula>
    </tableColumn>
    <tableColumn id="3" xr3:uid="{C71EF10E-F23D-481F-9268-EC4BB177A513}" name="Food Inflation (R)" dataDxfId="125" dataCellStyle="Percent">
      <calculatedColumnFormula>(D129-D128)/D128</calculatedColumnFormula>
    </tableColumn>
    <tableColumn id="4" xr3:uid="{98DFB33E-5D04-4D71-B4A3-E4527857719A}" name="Fuel and light Inflation (R)" dataDxfId="124" dataCellStyle="Percent">
      <calculatedColumnFormula>(E129-E128)/E128</calculatedColumnFormula>
    </tableColumn>
    <tableColumn id="5" xr3:uid="{AB419A34-4615-4524-859B-D39E9F820D8E}" name="Transport and communication Inflation (R)" dataDxfId="123" dataCellStyle="Percent">
      <calculatedColumnFormula>(F129-F128)/F128</calculatedColumnFormula>
    </tableColumn>
    <tableColumn id="6" xr3:uid="{86CB5513-5047-499A-85BB-6695C591C89E}" name="General index Inflation (R)" dataDxfId="122" dataCellStyle="Percent">
      <calculatedColumnFormula>(G129-G128)/G128</calculatedColumnFormula>
    </tableColumn>
    <tableColumn id="7" xr3:uid="{7C1C522E-5B69-47CB-A5C8-D2985DDAED67}" name="Health Inflation (U)" dataDxfId="121" dataCellStyle="Percent">
      <calculatedColumnFormula>(H129-H128)/H128</calculatedColumnFormula>
    </tableColumn>
    <tableColumn id="8" xr3:uid="{00D06ECE-4112-487A-8250-44D47BDAE120}" name="Food Inflation (U)" dataDxfId="120" dataCellStyle="Percent">
      <calculatedColumnFormula>(I129-I128)/I128</calculatedColumnFormula>
    </tableColumn>
    <tableColumn id="9" xr3:uid="{55B24808-60BE-4BE8-9915-6E103F94AC68}" name="Fuel and light Inflation (U)" dataDxfId="119" dataCellStyle="Percent">
      <calculatedColumnFormula>(J129-J128)/J128</calculatedColumnFormula>
    </tableColumn>
    <tableColumn id="10" xr3:uid="{16197617-BE1C-4236-9136-AD6E8D7DD5A3}" name="Transport and communication Inflation (U)" dataDxfId="118" dataCellStyle="Percent">
      <calculatedColumnFormula>(K129-K128)/K128</calculatedColumnFormula>
    </tableColumn>
    <tableColumn id="11" xr3:uid="{8A4C41CD-3797-456B-BC9A-4F46493A2146}" name="General index Inflation (U)" dataDxfId="117" dataCellStyle="Percent">
      <calculatedColumnFormula>(L129-L128)/L128</calculatedColumnFormula>
    </tableColumn>
    <tableColumn id="12" xr3:uid="{6483EAF1-9049-4F89-AB6B-5EC6E88F80AA}" name="Health Inflation (R+U)" dataDxfId="116" dataCellStyle="Percent">
      <calculatedColumnFormula>(M129-M128)/M128</calculatedColumnFormula>
    </tableColumn>
    <tableColumn id="13" xr3:uid="{51E9E0CA-53FD-4919-8BE2-3607F7DFFD21}" name="Food Inflation (R+U)" dataDxfId="115" dataCellStyle="Percent">
      <calculatedColumnFormula>(N129-N128)/N128</calculatedColumnFormula>
    </tableColumn>
    <tableColumn id="14" xr3:uid="{958452B8-8705-42F7-9F93-FBD849ED5EB4}" name="Fuel and light Inflation (R+U)" dataDxfId="114" dataCellStyle="Percent">
      <calculatedColumnFormula>(O129-O128)/O128</calculatedColumnFormula>
    </tableColumn>
    <tableColumn id="15" xr3:uid="{5FA9BEEE-BDBD-44BC-A67D-C6476183402C}" name="Transport and communication Inflation (R+U)" dataDxfId="113" dataCellStyle="Percent">
      <calculatedColumnFormula>(P129-P128)/P128</calculatedColumnFormula>
    </tableColumn>
    <tableColumn id="16" xr3:uid="{56061D9D-3FF6-4A5F-B33C-FC7B8D558D80}" name="General index Inflation (R+U)" dataDxfId="112" dataCellStyle="Percent">
      <calculatedColumnFormula>(Q129-Q128)/Q128</calculatedColumnFormula>
    </tableColumn>
  </tableColumns>
  <tableStyleInfo name="TableStyleMedium1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8AA3236-BD4F-499A-83EE-A513C6516D38}" name="Table3" displayName="Table3" ref="B67:AD97" totalsRowShown="0" headerRowDxfId="111" dataDxfId="110">
  <autoFilter ref="B67:AD97" xr:uid="{58AA3236-BD4F-499A-83EE-A513C6516D38}"/>
  <tableColumns count="29">
    <tableColumn id="1" xr3:uid="{C68EBD64-5E2A-4FF5-A93B-9EFAAF4375CC}" name="Date" dataDxfId="109"/>
    <tableColumn id="2" xr3:uid="{2FF67B7D-A990-4F5E-8DF4-079B1DDDC976}" name="Oil Price" dataDxfId="108"/>
    <tableColumn id="3" xr3:uid="{405B517D-CC8C-4656-8F41-9ACB011126F0}" name="Cereals and products" dataDxfId="107">
      <calculatedColumnFormula>SUMIFS(CPI_Data[Cereals and products], CPI_Data[Sector], "Rural+Urban", CPI_Data[Date],B68)</calculatedColumnFormula>
    </tableColumn>
    <tableColumn id="4" xr3:uid="{629461E1-48D7-4600-9FA6-D55E23479177}" name="Meat and fish" dataDxfId="106">
      <calculatedColumnFormula>SUMIFS(CPI_Data[Meat and fish], CPI_Data[Sector], "Rural+Urban", CPI_Data[Date],B68)</calculatedColumnFormula>
    </tableColumn>
    <tableColumn id="5" xr3:uid="{0A5DEEDA-8AE9-4C5E-8F7E-B1F319EC1264}" name="Egg" dataDxfId="105">
      <calculatedColumnFormula>SUMIFS(CPI_Data[Egg], CPI_Data[Sector], "Rural+Urban", CPI_Data[Date],B68)</calculatedColumnFormula>
    </tableColumn>
    <tableColumn id="6" xr3:uid="{C16FDC10-473F-4F94-8480-6308349273E7}" name="Milk and products" dataDxfId="104">
      <calculatedColumnFormula>SUMIFS(CPI_Data[Milk and products], CPI_Data[Sector], "Rural+Urban", CPI_Data[Date],B68)</calculatedColumnFormula>
    </tableColumn>
    <tableColumn id="7" xr3:uid="{40C5FFE5-C9BA-47FE-B270-0BC6360D041A}" name="Oils and fats" dataDxfId="103">
      <calculatedColumnFormula>SUMIFS(CPI_Data[Oils and fats], CPI_Data[Sector], "Rural+Urban", CPI_Data[Date],B68)</calculatedColumnFormula>
    </tableColumn>
    <tableColumn id="8" xr3:uid="{B809A5E7-4205-4EEF-869A-52ED9A5F6AB1}" name="Fruits" dataDxfId="102">
      <calculatedColumnFormula>SUMIFS(CPI_Data[Fruits], CPI_Data[Sector], "Rural+Urban", CPI_Data[Date],B68)</calculatedColumnFormula>
    </tableColumn>
    <tableColumn id="9" xr3:uid="{8A3DAEF6-64CE-4FB5-9704-2A17CFC4A566}" name="Vegetables" dataDxfId="101">
      <calculatedColumnFormula>SUMIFS(CPI_Data[Vegetables], CPI_Data[Sector], "Rural+Urban", CPI_Data[Date],B68)</calculatedColumnFormula>
    </tableColumn>
    <tableColumn id="10" xr3:uid="{E029123E-4DF5-45B6-9445-F23E0BE3945C}" name="Pulses and products" dataDxfId="100">
      <calculatedColumnFormula>SUMIFS(CPI_Data[Pulses and products], CPI_Data[Sector], "Rural+Urban", CPI_Data[Date],B68)</calculatedColumnFormula>
    </tableColumn>
    <tableColumn id="11" xr3:uid="{057C66D8-FCEF-45EE-A852-E3B599286BB2}" name="Sugar and Confectionery" dataDxfId="99">
      <calculatedColumnFormula>SUMIFS(CPI_Data[Sugar and Confectionery], CPI_Data[Sector], "Rural+Urban", CPI_Data[Date],B68)</calculatedColumnFormula>
    </tableColumn>
    <tableColumn id="12" xr3:uid="{EEFBD880-D075-4E84-B290-BCFBC994528C}" name="Spices" dataDxfId="98">
      <calculatedColumnFormula>SUMIFS(CPI_Data[Spices], CPI_Data[Sector], "Rural+Urban", CPI_Data[Date],B68)</calculatedColumnFormula>
    </tableColumn>
    <tableColumn id="13" xr3:uid="{FB6C9C84-60F7-45AA-B12B-3B6E96BFDAD6}" name="Non-alcoholic beverages" dataDxfId="97">
      <calculatedColumnFormula>SUMIFS(CPI_Data[Non-alcoholic beverages], CPI_Data[Sector], "Rural+Urban", CPI_Data[Date],B68)</calculatedColumnFormula>
    </tableColumn>
    <tableColumn id="14" xr3:uid="{63030B0D-8279-4C10-837A-43F757B16FD6}" name="Prepared meals, snacks, sweets etc." dataDxfId="96">
      <calculatedColumnFormula>SUMIFS(CPI_Data[Prepared meals, snacks, sweets etc.], CPI_Data[Sector], "Rural+Urban", CPI_Data[Date],B68)</calculatedColumnFormula>
    </tableColumn>
    <tableColumn id="15" xr3:uid="{D73D13F8-E940-4E61-8395-AB921BDC41C6}" name="Food and beverages" dataDxfId="95">
      <calculatedColumnFormula>SUMIFS(CPI_Data[Food and beverages], CPI_Data[Sector], "Rural+Urban", CPI_Data[Date],B68)</calculatedColumnFormula>
    </tableColumn>
    <tableColumn id="16" xr3:uid="{948C8CA2-E00D-4E35-BE58-E759939690D5}" name="Pan, tobacco and intoxicants" dataDxfId="94">
      <calculatedColumnFormula>SUMIFS(CPI_Data[Pan, tobacco and intoxicants], CPI_Data[Sector], "Rural+Urban", CPI_Data[Date],B68)</calculatedColumnFormula>
    </tableColumn>
    <tableColumn id="17" xr3:uid="{0E062295-B1CB-47BE-9A10-CD5E6748749E}" name="Clothing" dataDxfId="93">
      <calculatedColumnFormula>SUMIFS(CPI_Data[Clothing], CPI_Data[Sector], "Rural+Urban", CPI_Data[Date],B68)</calculatedColumnFormula>
    </tableColumn>
    <tableColumn id="18" xr3:uid="{AF9767EE-5E41-47C6-BF94-471407EFC697}" name="Footwear" dataDxfId="92">
      <calculatedColumnFormula>SUMIFS(CPI_Data[Footwear], CPI_Data[Sector], "Rural+Urban", CPI_Data[Date],B68)</calculatedColumnFormula>
    </tableColumn>
    <tableColumn id="19" xr3:uid="{3CB82B3A-5483-4F37-9EF3-2E7A3572E238}" name="Clothing and footwear" dataDxfId="91">
      <calculatedColumnFormula>SUMIFS(CPI_Data[Clothing and footwear], CPI_Data[Sector], "Rural+Urban", CPI_Data[Date],B68)</calculatedColumnFormula>
    </tableColumn>
    <tableColumn id="20" xr3:uid="{F8894B02-E21D-43B6-9CDC-6C1F5E3E4D94}" name="Housing" dataDxfId="90">
      <calculatedColumnFormula>SUMIFS(CPI_Data[Housing], CPI_Data[Sector], "Rural+Urban", CPI_Data[Date],B68)</calculatedColumnFormula>
    </tableColumn>
    <tableColumn id="21" xr3:uid="{986E585D-8E0B-4E68-8335-4F66970FFCC6}" name="Fuel and light" dataDxfId="89">
      <calculatedColumnFormula>SUMIFS(CPI_Data[Fuel and light], CPI_Data[Sector], "Rural+Urban", CPI_Data[Date],B68)</calculatedColumnFormula>
    </tableColumn>
    <tableColumn id="22" xr3:uid="{731170D2-7C6B-403F-A579-006068ECD1E4}" name="Household goods and services" dataDxfId="88">
      <calculatedColumnFormula>SUMIFS(CPI_Data[Household goods and services], CPI_Data[Sector], "Rural+Urban", CPI_Data[Date],B68)</calculatedColumnFormula>
    </tableColumn>
    <tableColumn id="23" xr3:uid="{899859AF-BBE9-404A-8B4A-C5663493E75C}" name="Health" dataDxfId="87">
      <calculatedColumnFormula>SUMIFS(CPI_Data[Health], CPI_Data[Sector], "Rural+Urban", CPI_Data[Date],B68)</calculatedColumnFormula>
    </tableColumn>
    <tableColumn id="24" xr3:uid="{F476C99C-F7C9-42F7-85B1-2B612BB1BAB4}" name="Transport and communication" dataDxfId="86">
      <calculatedColumnFormula>SUMIFS(CPI_Data[Transport and communication], CPI_Data[Sector], "Rural+Urban", CPI_Data[Date],B68)</calculatedColumnFormula>
    </tableColumn>
    <tableColumn id="25" xr3:uid="{175E4D71-6D36-4CA6-9288-9FEB4FC53DD3}" name="Recreation and amusement" dataDxfId="85">
      <calculatedColumnFormula>SUMIFS(CPI_Data[Recreation and amusement], CPI_Data[Sector], "Rural+Urban", CPI_Data[Date],B68)</calculatedColumnFormula>
    </tableColumn>
    <tableColumn id="26" xr3:uid="{2997FABC-1F5C-4D33-9CDE-ABF07CDAECF8}" name="Education" dataDxfId="84">
      <calculatedColumnFormula>SUMIFS(CPI_Data[Education], CPI_Data[Sector], "Rural+Urban", CPI_Data[Date],B68)</calculatedColumnFormula>
    </tableColumn>
    <tableColumn id="27" xr3:uid="{301000A0-031E-4568-BD21-312663AC7DCD}" name="Personal care and effects" dataDxfId="83">
      <calculatedColumnFormula>SUMIFS(CPI_Data[Personal care and effects], CPI_Data[Sector], "Rural+Urban", CPI_Data[Date],B68)</calculatedColumnFormula>
    </tableColumn>
    <tableColumn id="28" xr3:uid="{CDA27A04-F14C-4D2F-8C90-8483207F4155}" name="Miscellaneous" dataDxfId="82">
      <calculatedColumnFormula>SUMIFS(CPI_Data[Miscellaneous], CPI_Data[Sector], "Rural+Urban", CPI_Data[Date],B68)</calculatedColumnFormula>
    </tableColumn>
    <tableColumn id="29" xr3:uid="{390224A2-624B-4249-A837-169F874576CF}" name="General index" dataDxfId="81">
      <calculatedColumnFormula>SUMIFS(CPI_Data[General index], CPI_Data[Sector], "Rural+Urban", CPI_Data[Date],B68)</calculatedColumnFormula>
    </tableColumn>
  </tableColumns>
  <tableStyleInfo name="TableStyleMedium10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65D9221-ADD0-463F-AA96-6451C666F9A0}" name="Table4" displayName="Table4" ref="B101:AD130" totalsRowShown="0" headerRowDxfId="80" dataDxfId="78" headerRowBorderDxfId="79" tableBorderDxfId="77" dataCellStyle="Percent">
  <autoFilter ref="B101:AD130" xr:uid="{665D9221-ADD0-463F-AA96-6451C666F9A0}"/>
  <tableColumns count="29">
    <tableColumn id="1" xr3:uid="{F615727F-E818-43E5-A12D-6AD0E625C732}" name="Date" dataDxfId="76">
      <calculatedColumnFormula>B69</calculatedColumnFormula>
    </tableColumn>
    <tableColumn id="2" xr3:uid="{54EE4D76-1D4E-4FEA-BFBF-43B11E780A80}" name="Oil Price change" dataDxfId="75" dataCellStyle="Percent">
      <calculatedColumnFormula>(C69-C68)/C68</calculatedColumnFormula>
    </tableColumn>
    <tableColumn id="3" xr3:uid="{02883F88-ED6E-443D-A97B-5D954F9CABC9}" name="Cereals and products inflation" dataDxfId="74" dataCellStyle="Percent">
      <calculatedColumnFormula>(D69-D68)/D68</calculatedColumnFormula>
    </tableColumn>
    <tableColumn id="4" xr3:uid="{14D3CA1F-E06B-4B76-B994-F2F36C484F14}" name="Meat and fish inflation" dataDxfId="73" dataCellStyle="Percent">
      <calculatedColumnFormula>(E69-E68)/E68</calculatedColumnFormula>
    </tableColumn>
    <tableColumn id="5" xr3:uid="{7100500F-6776-4EA1-B96F-7D569E6DB15B}" name="Egg inflation" dataDxfId="72" dataCellStyle="Percent">
      <calculatedColumnFormula>(F69-F68)/F68</calculatedColumnFormula>
    </tableColumn>
    <tableColumn id="6" xr3:uid="{2C0056EF-63B1-40DD-B068-170D9B676799}" name="Milk and products inflation" dataDxfId="71" dataCellStyle="Percent">
      <calculatedColumnFormula>(G69-G68)/G68</calculatedColumnFormula>
    </tableColumn>
    <tableColumn id="7" xr3:uid="{2E16C989-0DCD-4F14-BA81-0CAEF881D3AD}" name="Oils and fats inflation" dataDxfId="70" dataCellStyle="Percent">
      <calculatedColumnFormula>(H69-H68)/H68</calculatedColumnFormula>
    </tableColumn>
    <tableColumn id="8" xr3:uid="{6AD52FA4-0084-4831-8CC4-5163ADED71A8}" name="Fruits inflation" dataDxfId="69" dataCellStyle="Percent">
      <calculatedColumnFormula>(I69-I68)/I68</calculatedColumnFormula>
    </tableColumn>
    <tableColumn id="9" xr3:uid="{13768380-9147-4D54-8132-B68F7635D3E1}" name="Vegetables inflation" dataDxfId="68" dataCellStyle="Percent">
      <calculatedColumnFormula>(J69-J68)/J68</calculatedColumnFormula>
    </tableColumn>
    <tableColumn id="10" xr3:uid="{42DE1B16-6EDD-456A-962E-F5A49E291B3B}" name="Pulses and products inflation" dataDxfId="67" dataCellStyle="Percent">
      <calculatedColumnFormula>(K69-K68)/K68</calculatedColumnFormula>
    </tableColumn>
    <tableColumn id="11" xr3:uid="{62251667-A0E9-4FBA-90F1-61CF8C230524}" name="Sugar and Confectionery inflation" dataDxfId="66" dataCellStyle="Percent">
      <calculatedColumnFormula>(L69-L68)/L68</calculatedColumnFormula>
    </tableColumn>
    <tableColumn id="12" xr3:uid="{6153CA08-6BB5-46E1-B208-67CED6F09E6C}" name="Spices inflation" dataDxfId="65" dataCellStyle="Percent">
      <calculatedColumnFormula>(M69-M68)/M68</calculatedColumnFormula>
    </tableColumn>
    <tableColumn id="13" xr3:uid="{E7761191-4C47-43CF-9B35-E9035C391AA9}" name="Non-alcoholic beverages inflation" dataDxfId="64" dataCellStyle="Percent">
      <calculatedColumnFormula>(N69-N68)/N68</calculatedColumnFormula>
    </tableColumn>
    <tableColumn id="14" xr3:uid="{BF287E84-08C5-4473-8EDF-63053FCAF2E2}" name="Prepared meals, snacks, sweets etc. inflation" dataDxfId="63" dataCellStyle="Percent">
      <calculatedColumnFormula>(O69-O68)/O68</calculatedColumnFormula>
    </tableColumn>
    <tableColumn id="15" xr3:uid="{10503B56-973E-4A5A-9BC8-9C307545BEDF}" name="Food and beverages inflation" dataDxfId="62" dataCellStyle="Percent">
      <calculatedColumnFormula>(P69-P68)/P68</calculatedColumnFormula>
    </tableColumn>
    <tableColumn id="16" xr3:uid="{10564A5D-1093-4E2D-BC5D-0D2BBC379069}" name="Pan, tobacco and intoxicants inflation" dataDxfId="61" dataCellStyle="Percent">
      <calculatedColumnFormula>(Q69-Q68)/Q68</calculatedColumnFormula>
    </tableColumn>
    <tableColumn id="17" xr3:uid="{AD13ACF5-A378-45C4-BA8D-DBC45D85E974}" name="Clothing inflation" dataDxfId="60" dataCellStyle="Percent">
      <calculatedColumnFormula>(R69-R68)/R68</calculatedColumnFormula>
    </tableColumn>
    <tableColumn id="18" xr3:uid="{B07B58B3-488D-48FE-AFE1-9BECAD95305E}" name="Footwear inflation" dataDxfId="59" dataCellStyle="Percent">
      <calculatedColumnFormula>(S69-S68)/S68</calculatedColumnFormula>
    </tableColumn>
    <tableColumn id="19" xr3:uid="{43C0F771-ACEA-4939-A727-034D3C2CB691}" name="Clothing and footwear inflation" dataDxfId="58" dataCellStyle="Percent">
      <calculatedColumnFormula>(T69-T68)/T68</calculatedColumnFormula>
    </tableColumn>
    <tableColumn id="20" xr3:uid="{3B0CAC89-7331-4DDB-B0C0-DD3AF4F8AB6E}" name="Housing inflation" dataDxfId="57" dataCellStyle="Percent">
      <calculatedColumnFormula>(U69-U68)/U68</calculatedColumnFormula>
    </tableColumn>
    <tableColumn id="21" xr3:uid="{DE7A1FF6-71E9-4E5B-A017-71C07F347E00}" name="Fuel and light inflation" dataDxfId="56" dataCellStyle="Percent">
      <calculatedColumnFormula>(V69-V68)/V68</calculatedColumnFormula>
    </tableColumn>
    <tableColumn id="22" xr3:uid="{F0BBB809-799D-469C-9D38-BE655407D55D}" name="Household goods and services inflation" dataDxfId="55" dataCellStyle="Percent">
      <calculatedColumnFormula>(W69-W68)/W68</calculatedColumnFormula>
    </tableColumn>
    <tableColumn id="23" xr3:uid="{F51A48B1-DB06-46C2-B9E4-D175EE3652CB}" name="Health inflation" dataDxfId="54" dataCellStyle="Percent">
      <calculatedColumnFormula>(X69-X68)/X68</calculatedColumnFormula>
    </tableColumn>
    <tableColumn id="24" xr3:uid="{447AAEC8-2098-4F38-9658-DB4844BA3E0A}" name="Transport and communication inflation" dataDxfId="53" dataCellStyle="Percent">
      <calculatedColumnFormula>(Y69-Y68)/Y68</calculatedColumnFormula>
    </tableColumn>
    <tableColumn id="25" xr3:uid="{0DBAA077-27BE-4A3B-9048-62CE7DD32A83}" name="Recreation and amusement inflation" dataDxfId="52" dataCellStyle="Percent">
      <calculatedColumnFormula>(Z69-Z68)/Z68</calculatedColumnFormula>
    </tableColumn>
    <tableColumn id="26" xr3:uid="{8C5D595E-6FFA-4B68-9340-326121BA40B3}" name="Education inflation" dataDxfId="51" dataCellStyle="Percent">
      <calculatedColumnFormula>(AA69-AA68)/AA68</calculatedColumnFormula>
    </tableColumn>
    <tableColumn id="27" xr3:uid="{AE8F4951-6324-48C9-8A52-4BB84488CF84}" name="Personal care and effects inflation" dataDxfId="50" dataCellStyle="Percent">
      <calculatedColumnFormula>(AB69-AB68)/AB68</calculatedColumnFormula>
    </tableColumn>
    <tableColumn id="28" xr3:uid="{14B53AFE-37E2-4AF1-AC03-30198CD3CE96}" name="Miscellaneous inflation" dataDxfId="49" dataCellStyle="Percent">
      <calculatedColumnFormula>(AC69-AC68)/AC68</calculatedColumnFormula>
    </tableColumn>
    <tableColumn id="29" xr3:uid="{72B3F272-B947-4D10-9569-DF61DBE9A699}" name="General index inflation" dataDxfId="48" dataCellStyle="Percent">
      <calculatedColumnFormula>(AD69-AD68)/AD68</calculatedColumnFormula>
    </tableColumn>
  </tableColumns>
  <tableStyleInfo name="TableStyleMedium10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D58644D-52DC-47EB-82FB-9A8FD55F4487}" name="Table5" displayName="Table5" ref="B36:D63" totalsRowShown="0" headerRowBorderDxfId="47" tableBorderDxfId="46" totalsRowBorderDxfId="45">
  <autoFilter ref="B36:D63" xr:uid="{2D58644D-52DC-47EB-82FB-9A8FD55F4487}"/>
  <sortState xmlns:xlrd2="http://schemas.microsoft.com/office/spreadsheetml/2017/richdata2" ref="B37:C63">
    <sortCondition descending="1" ref="C36:C63"/>
  </sortState>
  <tableColumns count="3">
    <tableColumn id="1" xr3:uid="{F4CC2A83-619E-4721-88DF-2F5DFBB1E850}" name="CPI Category" dataDxfId="44"/>
    <tableColumn id="2" xr3:uid="{51345FBE-B2FC-41C8-9D88-FE98C509E763}" name="Correlation with Imported Crude Oil" dataDxfId="43"/>
    <tableColumn id="3" xr3:uid="{CD5FDBF2-7C0F-42E4-9CCF-96A0D179D85A}" name="Correlation" dataDxfId="42">
      <calculatedColumnFormula>Table5[[#This Row],[Correlation with Imported Crude Oil]]</calculatedColumnFormula>
    </tableColumn>
  </tableColumns>
  <tableStyleInfo name="TableStyleMedium10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9B38C8E-63FC-4925-921D-98013D7CBCC7}" name="Table11" displayName="Table11" ref="A16:D46" totalsRowShown="0" headerRowDxfId="41" headerRowBorderDxfId="40" tableBorderDxfId="39" totalsRowBorderDxfId="38">
  <autoFilter ref="A16:D46" xr:uid="{19B38C8E-63FC-4925-921D-98013D7CBCC7}"/>
  <tableColumns count="4">
    <tableColumn id="1" xr3:uid="{6465F437-35EE-45BE-8229-D38017B5F46F}" name="Column Names" dataDxfId="37"/>
    <tableColumn id="2" xr3:uid="{FED29A69-965A-4747-BC48-74DB359C65C6}" name="Remark" dataDxfId="36"/>
    <tableColumn id="3" xr3:uid="{68C115CC-6BCF-4587-8CEB-9428622FC48C}" name="Data Cleaning" dataDxfId="35"/>
    <tableColumn id="4" xr3:uid="{EECB6B55-338B-4D6F-B21D-00F0B78535A9}" name="Status" dataDxfId="34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F6E0B7A-9BEC-4122-9386-4D684450BF89}" name="Table13" displayName="Table13" ref="A55:D82" totalsRowShown="0" headerRowDxfId="33" headerRowBorderDxfId="32" tableBorderDxfId="31" totalsRowBorderDxfId="30">
  <autoFilter ref="A55:D82" xr:uid="{9F6E0B7A-9BEC-4122-9386-4D684450BF89}"/>
  <tableColumns count="4">
    <tableColumn id="1" xr3:uid="{2D624167-26C5-4A61-BC32-569F0EF32B10}" name="Category" dataDxfId="29"/>
    <tableColumn id="2" xr3:uid="{D37EC9C8-8925-47E7-AF52-FDFC92E9E92A}" name="Rural" dataDxfId="28"/>
    <tableColumn id="3" xr3:uid="{3845F83A-DB57-4340-9517-1C05371EF76B}" name="Urban" dataDxfId="27"/>
    <tableColumn id="4" xr3:uid="{09856570-72F7-4013-BC7B-B744DC4D87E9}" name="Rural + Urban" dataDxfId="26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2925D2CC-2A64-4C4D-A446-0D40C7290378}" name="Table14" displayName="Table14" ref="A86:G113" totalsRowShown="0" headerRowDxfId="25" headerRowBorderDxfId="24" tableBorderDxfId="23" totalsRowBorderDxfId="22">
  <autoFilter ref="A86:G113" xr:uid="{2925D2CC-2A64-4C4D-A446-0D40C7290378}"/>
  <tableColumns count="7">
    <tableColumn id="1" xr3:uid="{45394AEB-5D2D-4420-AE4E-986702AB2809}" name="Description" dataDxfId="21"/>
    <tableColumn id="2" xr3:uid="{66578D14-2FD8-4630-804F-612319CAE886}" name="Rural Apr-2020" dataDxfId="20"/>
    <tableColumn id="3" xr3:uid="{1FF0833B-3780-44C1-9CC3-431AD7D8271D}" name="Rural May-2020" dataDxfId="19"/>
    <tableColumn id="4" xr3:uid="{D71E4BC1-CF55-45BD-A89C-F13C9ED3AF24}" name="Urban Apr-2020" dataDxfId="18"/>
    <tableColumn id="5" xr3:uid="{926519C9-F1E1-44EE-81D3-F4C85687C3E1}" name="Urban May-2020" dataDxfId="17"/>
    <tableColumn id="6" xr3:uid="{CDDB4E82-429F-437A-995F-76A6BE8F7D45}" name="Combined Apr-2020" dataDxfId="16"/>
    <tableColumn id="7" xr3:uid="{424086AA-57EE-4A02-B6A3-0DF5C6A26CBB}" name="Combined May-2020" dataDxfId="15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A4941CF0-8E05-473B-B0C5-B72962125FAF}" name="Table15" displayName="Table15" ref="A2:B10" totalsRowShown="0" headerRowBorderDxfId="14" tableBorderDxfId="13" totalsRowBorderDxfId="12">
  <autoFilter ref="A2:B10" xr:uid="{A4941CF0-8E05-473B-B0C5-B72962125FAF}"/>
  <tableColumns count="2">
    <tableColumn id="1" xr3:uid="{5A9CE9F1-245F-4D72-8087-1CA432285B03}" name="Metric" dataDxfId="11"/>
    <tableColumn id="2" xr3:uid="{FEF4C1E0-7340-462F-A97D-FDC21C690A24}" name="Value" dataDxfId="10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BEFFB3-7C06-4563-A606-82C97962D229}" name="CPI_Data" displayName="CPI_Data" ref="A1:AE376" headerRowDxfId="9">
  <autoFilter ref="A1:AE376" xr:uid="{C363568A-CC5C-4702-A700-9C3F90798B46}"/>
  <tableColumns count="31">
    <tableColumn id="1" xr3:uid="{DAD62FCC-C25E-4B3E-B82A-DE4C71F8FA36}" name="Sector" totalsRowLabel="Total"/>
    <tableColumn id="2" xr3:uid="{2766DCFB-B34F-4476-B9DD-B49D5EFDBDE5}" name="Year" totalsRowFunction="count"/>
    <tableColumn id="3" xr3:uid="{1E3D6BC6-95CD-4506-A444-95AD3F145E90}" name="Month" totalsRowFunction="count"/>
    <tableColumn id="4" xr3:uid="{E93B702E-283F-4DA9-866C-666740766A6B}" name="Date" totalsRowFunction="count" dataDxfId="8"/>
    <tableColumn id="5" xr3:uid="{DA1BC998-6EF5-47A1-AE08-47BEC1E7F1A4}" name="Cereals and products" totalsRowFunction="count"/>
    <tableColumn id="6" xr3:uid="{EA44611A-A15E-4EDF-857E-13985F8BF3C8}" name="Meat and fish" totalsRowFunction="count"/>
    <tableColumn id="7" xr3:uid="{9625FA72-4A74-4D98-9FA1-08EB2FDB8967}" name="Egg" totalsRowFunction="count"/>
    <tableColumn id="8" xr3:uid="{F7607014-5014-4D19-8DC1-18C69B23F852}" name="Milk and products" totalsRowFunction="count"/>
    <tableColumn id="9" xr3:uid="{B79EA9D9-9B24-4F3F-9717-ECD4C51AE0EC}" name="Oils and fats" totalsRowFunction="count"/>
    <tableColumn id="10" xr3:uid="{DAF72EE2-3528-4BB4-91F8-05E234A818AA}" name="Fruits" totalsRowFunction="count"/>
    <tableColumn id="11" xr3:uid="{28C38DA1-AE40-4034-ADED-DCE5C70CEEF7}" name="Vegetables" totalsRowFunction="custom">
      <totalsRowFormula>SUBTOTAL(103,CPI_Data[Month])</totalsRowFormula>
    </tableColumn>
    <tableColumn id="12" xr3:uid="{4438625C-08A3-49D6-A87F-37934833D8A1}" name="Pulses and products" totalsRowFunction="custom">
      <totalsRowFormula>SUBTOTAL(103,CPI_Data[Date])</totalsRowFormula>
    </tableColumn>
    <tableColumn id="13" xr3:uid="{3E7EC559-113D-4B62-8DAE-EB0C76E0460E}" name="Sugar and Confectionery" totalsRowFunction="custom">
      <totalsRowFormula>SUBTOTAL(103,CPI_Data[Cereals and products])</totalsRowFormula>
    </tableColumn>
    <tableColumn id="14" xr3:uid="{27738FEF-39EA-4A5C-B70C-C3A3E2FD194C}" name="Spices" totalsRowFunction="custom">
      <totalsRowFormula>SUBTOTAL(103,CPI_Data[Meat and fish])</totalsRowFormula>
    </tableColumn>
    <tableColumn id="15" xr3:uid="{9CAB1C9C-885E-4CEA-A870-1B4DA2CFD500}" name="Non-alcoholic beverages" totalsRowFunction="custom">
      <totalsRowFormula>SUBTOTAL(103,CPI_Data[Egg])</totalsRowFormula>
    </tableColumn>
    <tableColumn id="16" xr3:uid="{08181312-BA81-4434-8AAD-05AA8F96DE7D}" name="Prepared meals, snacks, sweets etc." totalsRowFunction="custom">
      <totalsRowFormula>SUBTOTAL(103,CPI_Data[Milk and products])</totalsRowFormula>
    </tableColumn>
    <tableColumn id="17" xr3:uid="{AD6EA138-C0A0-4306-AC27-90D74FF4FCBE}" name="Food and beverages" totalsRowFunction="custom">
      <totalsRowFormula>SUBTOTAL(103,CPI_Data[Oils and fats])</totalsRowFormula>
    </tableColumn>
    <tableColumn id="18" xr3:uid="{4248956F-A5F4-45AF-9513-07768565E1BE}" name="Pan, tobacco and intoxicants" totalsRowFunction="custom">
      <totalsRowFormula>SUBTOTAL(103,CPI_Data[Fruits])</totalsRowFormula>
    </tableColumn>
    <tableColumn id="19" xr3:uid="{A3998382-BF9C-4769-9D7F-5391206796A9}" name="Clothing" totalsRowFunction="custom">
      <totalsRowFormula>SUBTOTAL(103,CPI_Data[Vegetables])</totalsRowFormula>
    </tableColumn>
    <tableColumn id="20" xr3:uid="{1B6F2316-A451-4028-B95A-9BC826D040D9}" name="Footwear" totalsRowFunction="custom">
      <totalsRowFormula>SUBTOTAL(103,CPI_Data[Pulses and products])</totalsRowFormula>
    </tableColumn>
    <tableColumn id="21" xr3:uid="{83B7D831-86E5-4F86-B7DC-3BDE0914E912}" name="Clothing and footwear" totalsRowFunction="custom">
      <totalsRowFormula>SUBTOTAL(103,CPI_Data[Sugar and Confectionery])</totalsRowFormula>
    </tableColumn>
    <tableColumn id="22" xr3:uid="{CE181B57-717D-49EF-88C3-78C1033CA25E}" name="Housing" totalsRowFunction="custom">
      <totalsRowFormula>SUBTOTAL(103,CPI_Data[Spices])</totalsRowFormula>
    </tableColumn>
    <tableColumn id="23" xr3:uid="{255985BC-27BD-4D06-B322-B2C8E60A3CA9}" name="Fuel and light" totalsRowFunction="custom">
      <totalsRowFormula>SUBTOTAL(103,CPI_Data[Non-alcoholic beverages])</totalsRowFormula>
    </tableColumn>
    <tableColumn id="24" xr3:uid="{B3C70271-F205-4FB4-AAA7-E0A4A8E33E9F}" name="Household goods and services" totalsRowFunction="custom">
      <totalsRowFormula>SUBTOTAL(103,CPI_Data[Prepared meals, snacks, sweets etc.])</totalsRowFormula>
    </tableColumn>
    <tableColumn id="25" xr3:uid="{E4397FF6-5AB8-4BBA-8E88-031D8091D72C}" name="Health" totalsRowFunction="custom">
      <totalsRowFormula>SUBTOTAL(103,CPI_Data[Food and beverages])</totalsRowFormula>
    </tableColumn>
    <tableColumn id="26" xr3:uid="{1F4D80BB-6177-4C25-AA96-F2A894B9750F}" name="Transport and communication" totalsRowFunction="custom">
      <totalsRowFormula>SUBTOTAL(103,CPI_Data[Pan, tobacco and intoxicants])</totalsRowFormula>
    </tableColumn>
    <tableColumn id="27" xr3:uid="{8881D8B2-4B7B-4C8F-B4BD-42B456355933}" name="Recreation and amusement" totalsRowFunction="custom">
      <totalsRowFormula>SUBTOTAL(103,CPI_Data[Clothing])</totalsRowFormula>
    </tableColumn>
    <tableColumn id="28" xr3:uid="{A1B725F1-B95A-4A8B-A1FB-D0C943475B5D}" name="Education" totalsRowFunction="custom">
      <totalsRowFormula>SUBTOTAL(103,CPI_Data[Footwear])</totalsRowFormula>
    </tableColumn>
    <tableColumn id="29" xr3:uid="{1E91A932-B104-4498-9F0C-4A0F386327EA}" name="Personal care and effects" totalsRowFunction="custom">
      <totalsRowFormula>SUBTOTAL(103,CPI_Data[Clothing and footwear])</totalsRowFormula>
    </tableColumn>
    <tableColumn id="30" xr3:uid="{32489B9B-FE59-494D-BED2-D3CFABBDB103}" name="Miscellaneous" totalsRowFunction="custom">
      <totalsRowFormula>SUBTOTAL(103,CPI_Data[Housing])</totalsRowFormula>
    </tableColumn>
    <tableColumn id="31" xr3:uid="{0C50F816-6745-47F5-9798-553B0DE2BFF2}" name="General index" totalsRowFunction="coun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A803C2D-9632-4012-811D-0BA42D68D932}" name="Table79" displayName="Table79" ref="A4:C12" totalsRowShown="0">
  <autoFilter ref="A4:C12" xr:uid="{9A803C2D-9632-4012-811D-0BA42D68D932}"/>
  <tableColumns count="3">
    <tableColumn id="1" xr3:uid="{3CC2EB1A-9127-47F6-AF86-AACD5855FEF0}" name="Year" dataDxfId="7"/>
    <tableColumn id="2" xr3:uid="{58A10C5F-FEAA-45FB-9DC0-BA77ADBB5BA6}" name="CPI Index">
      <calculatedColumnFormula array="1">INDEX(CPI_Data[General index], MATCH(1, (CPI_Data[Sector]="Rural+Urban")*(CPI_Data[Date]=A5), 0))</calculatedColumnFormula>
    </tableColumn>
    <tableColumn id="3" xr3:uid="{E83777DC-525F-4CE1-BB22-CEFB0322C8E4}" name="Inflation" dataDxfId="6" dataCellStyle="Percent">
      <calculatedColumnFormula>(B7-B6)/B6</calculatedColumnFormula>
    </tableColumn>
  </tableColumns>
  <tableStyleInfo name="TableStyleMedium2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drawing" Target="../drawings/drawing10.xml"/><Relationship Id="rId4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drawing" Target="../drawings/drawing11.xml"/><Relationship Id="rId5" Type="http://schemas.openxmlformats.org/officeDocument/2006/relationships/table" Target="../tables/table12.xml"/><Relationship Id="rId4" Type="http://schemas.openxmlformats.org/officeDocument/2006/relationships/table" Target="../tables/table1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3250B-B250-4707-84AE-9862781B326C}">
  <sheetPr codeName="Sheet10"/>
  <dimension ref="B2:V47"/>
  <sheetViews>
    <sheetView showGridLines="0" tabSelected="1" workbookViewId="0">
      <selection activeCell="W7" sqref="W7"/>
    </sheetView>
  </sheetViews>
  <sheetFormatPr defaultRowHeight="14.4" x14ac:dyDescent="0.3"/>
  <sheetData>
    <row r="2" spans="2:22" x14ac:dyDescent="0.3">
      <c r="B2" s="87" t="s">
        <v>226</v>
      </c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</row>
    <row r="3" spans="2:22" x14ac:dyDescent="0.3"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</row>
    <row r="4" spans="2:22" x14ac:dyDescent="0.3"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</row>
    <row r="5" spans="2:22" x14ac:dyDescent="0.3">
      <c r="B5" s="89" t="s">
        <v>269</v>
      </c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</row>
    <row r="7" spans="2:22" x14ac:dyDescent="0.3">
      <c r="B7" s="90" t="s">
        <v>227</v>
      </c>
      <c r="C7" s="91"/>
      <c r="D7" s="91"/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91"/>
      <c r="S7" s="91"/>
      <c r="T7" s="91"/>
      <c r="U7" s="91"/>
      <c r="V7" s="91"/>
    </row>
    <row r="8" spans="2:22" ht="14.4" customHeight="1" x14ac:dyDescent="0.3">
      <c r="B8" s="92" t="s">
        <v>268</v>
      </c>
      <c r="C8" s="92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</row>
    <row r="9" spans="2:22" x14ac:dyDescent="0.3">
      <c r="B9" s="92"/>
      <c r="C9" s="92"/>
      <c r="D9" s="92"/>
      <c r="E9" s="92"/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</row>
    <row r="10" spans="2:22" x14ac:dyDescent="0.3">
      <c r="B10" s="92"/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</row>
    <row r="11" spans="2:22" x14ac:dyDescent="0.3"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</row>
    <row r="12" spans="2:22" x14ac:dyDescent="0.3">
      <c r="B12" s="90" t="s">
        <v>228</v>
      </c>
      <c r="C12" s="91"/>
      <c r="D12" s="91"/>
      <c r="E12" s="91"/>
      <c r="F12" s="91"/>
      <c r="G12" s="91"/>
      <c r="H12" s="91"/>
      <c r="I12" s="91"/>
      <c r="J12" s="91"/>
      <c r="K12" s="91"/>
      <c r="L12" s="91"/>
      <c r="M12" s="91"/>
      <c r="N12" s="91"/>
      <c r="O12" s="91"/>
      <c r="P12" s="91"/>
      <c r="Q12" s="91"/>
      <c r="R12" s="91"/>
      <c r="S12" s="91"/>
      <c r="T12" s="91"/>
      <c r="U12" s="91"/>
      <c r="V12" s="91"/>
    </row>
    <row r="13" spans="2:22" x14ac:dyDescent="0.3">
      <c r="B13" s="86" t="s">
        <v>229</v>
      </c>
      <c r="C13" s="86"/>
      <c r="D13" s="86"/>
      <c r="E13" s="86"/>
      <c r="F13" s="86" t="s">
        <v>270</v>
      </c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</row>
    <row r="14" spans="2:22" x14ac:dyDescent="0.3">
      <c r="B14" s="86" t="s">
        <v>230</v>
      </c>
      <c r="C14" s="86"/>
      <c r="D14" s="86"/>
      <c r="E14" s="86"/>
      <c r="F14" s="86" t="s">
        <v>224</v>
      </c>
      <c r="G14" s="86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</row>
    <row r="15" spans="2:22" x14ac:dyDescent="0.3">
      <c r="B15" s="86" t="s">
        <v>225</v>
      </c>
      <c r="C15" s="86"/>
      <c r="D15" s="86"/>
      <c r="E15" s="86"/>
      <c r="F15" s="86" t="s">
        <v>231</v>
      </c>
      <c r="G15" s="86"/>
      <c r="H15" s="86"/>
      <c r="I15" s="86"/>
      <c r="J15" s="86"/>
      <c r="K15" s="86"/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</row>
    <row r="17" spans="2:22" x14ac:dyDescent="0.3">
      <c r="B17" s="90" t="s">
        <v>232</v>
      </c>
      <c r="C17" s="91"/>
      <c r="D17" s="91"/>
      <c r="E17" s="91"/>
      <c r="F17" s="91"/>
      <c r="G17" s="91"/>
      <c r="H17" s="91"/>
      <c r="I17" s="91"/>
      <c r="J17" s="91"/>
      <c r="K17" s="91"/>
      <c r="L17" s="91"/>
      <c r="M17" s="91"/>
      <c r="N17" s="91"/>
      <c r="O17" s="91"/>
      <c r="P17" s="91"/>
      <c r="Q17" s="91"/>
      <c r="R17" s="91"/>
      <c r="S17" s="91"/>
      <c r="T17" s="91"/>
      <c r="U17" s="91"/>
      <c r="V17" s="91"/>
    </row>
    <row r="18" spans="2:22" x14ac:dyDescent="0.3">
      <c r="B18" s="86" t="s">
        <v>221</v>
      </c>
      <c r="C18" s="86"/>
      <c r="D18" s="86"/>
      <c r="E18" s="86"/>
      <c r="F18" s="86" t="s">
        <v>233</v>
      </c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</row>
    <row r="19" spans="2:22" x14ac:dyDescent="0.3">
      <c r="B19" s="86" t="s">
        <v>234</v>
      </c>
      <c r="C19" s="86"/>
      <c r="D19" s="86"/>
      <c r="E19" s="86"/>
      <c r="F19" s="86" t="s">
        <v>235</v>
      </c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</row>
    <row r="20" spans="2:22" x14ac:dyDescent="0.3">
      <c r="B20" s="86" t="s">
        <v>236</v>
      </c>
      <c r="C20" s="86"/>
      <c r="D20" s="86"/>
      <c r="E20" s="86"/>
      <c r="F20" s="86" t="s">
        <v>237</v>
      </c>
      <c r="G20" s="86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</row>
    <row r="21" spans="2:22" x14ac:dyDescent="0.3">
      <c r="B21" s="86" t="s">
        <v>238</v>
      </c>
      <c r="C21" s="86"/>
      <c r="D21" s="86"/>
      <c r="E21" s="86"/>
      <c r="F21" s="86" t="s">
        <v>239</v>
      </c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</row>
    <row r="22" spans="2:22" x14ac:dyDescent="0.3">
      <c r="B22" s="86" t="s">
        <v>240</v>
      </c>
      <c r="C22" s="86"/>
      <c r="D22" s="86"/>
      <c r="E22" s="86"/>
      <c r="F22" s="86" t="s">
        <v>241</v>
      </c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</row>
    <row r="23" spans="2:22" x14ac:dyDescent="0.3">
      <c r="B23" s="86" t="s">
        <v>242</v>
      </c>
      <c r="C23" s="86"/>
      <c r="D23" s="86"/>
      <c r="E23" s="86"/>
      <c r="F23" s="86" t="s">
        <v>243</v>
      </c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</row>
    <row r="24" spans="2:22" x14ac:dyDescent="0.3">
      <c r="B24" s="86" t="s">
        <v>244</v>
      </c>
      <c r="C24" s="86"/>
      <c r="D24" s="86"/>
      <c r="E24" s="86"/>
      <c r="F24" s="86" t="s">
        <v>245</v>
      </c>
      <c r="G24" s="86"/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</row>
    <row r="25" spans="2:22" x14ac:dyDescent="0.3">
      <c r="B25" s="86" t="s">
        <v>246</v>
      </c>
      <c r="C25" s="86"/>
      <c r="D25" s="86"/>
      <c r="E25" s="86"/>
      <c r="F25" s="86" t="s">
        <v>247</v>
      </c>
      <c r="G25" s="86"/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</row>
    <row r="26" spans="2:22" x14ac:dyDescent="0.3">
      <c r="B26" s="86" t="s">
        <v>248</v>
      </c>
      <c r="C26" s="86"/>
      <c r="D26" s="86"/>
      <c r="E26" s="86"/>
      <c r="F26" s="86" t="s">
        <v>249</v>
      </c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</row>
    <row r="27" spans="2:22" x14ac:dyDescent="0.3">
      <c r="B27" s="86" t="s">
        <v>250</v>
      </c>
      <c r="C27" s="86"/>
      <c r="D27" s="86"/>
      <c r="E27" s="86"/>
      <c r="F27" s="86" t="s">
        <v>251</v>
      </c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</row>
    <row r="29" spans="2:22" x14ac:dyDescent="0.3">
      <c r="B29" s="90" t="s">
        <v>252</v>
      </c>
      <c r="C29" s="91"/>
      <c r="D29" s="91"/>
      <c r="E29" s="91"/>
      <c r="F29" s="91"/>
      <c r="G29" s="91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</row>
    <row r="30" spans="2:22" x14ac:dyDescent="0.3">
      <c r="B30" s="86" t="s">
        <v>253</v>
      </c>
      <c r="C30" s="86"/>
      <c r="D30" s="86"/>
      <c r="E30" s="86"/>
      <c r="F30" s="86" t="s">
        <v>254</v>
      </c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</row>
    <row r="31" spans="2:22" x14ac:dyDescent="0.3">
      <c r="B31" s="86" t="s">
        <v>255</v>
      </c>
      <c r="C31" s="86"/>
      <c r="D31" s="86"/>
      <c r="E31" s="86"/>
      <c r="F31" s="86" t="s">
        <v>256</v>
      </c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</row>
    <row r="32" spans="2:22" x14ac:dyDescent="0.3">
      <c r="B32" s="86" t="s">
        <v>257</v>
      </c>
      <c r="C32" s="86"/>
      <c r="D32" s="86"/>
      <c r="E32" s="86"/>
      <c r="F32" s="86" t="s">
        <v>258</v>
      </c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</row>
    <row r="33" spans="2:22" x14ac:dyDescent="0.3">
      <c r="B33" s="86" t="s">
        <v>259</v>
      </c>
      <c r="C33" s="86"/>
      <c r="D33" s="86"/>
      <c r="E33" s="86"/>
      <c r="F33" s="86" t="s">
        <v>260</v>
      </c>
      <c r="G33" s="86"/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</row>
    <row r="34" spans="2:22" x14ac:dyDescent="0.3">
      <c r="B34" s="86" t="s">
        <v>261</v>
      </c>
      <c r="C34" s="86"/>
      <c r="D34" s="86"/>
      <c r="E34" s="86"/>
      <c r="F34" s="86" t="s">
        <v>262</v>
      </c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</row>
    <row r="35" spans="2:22" x14ac:dyDescent="0.3">
      <c r="B35" s="86" t="s">
        <v>263</v>
      </c>
      <c r="C35" s="86"/>
      <c r="D35" s="86"/>
      <c r="E35" s="86"/>
      <c r="F35" s="86" t="s">
        <v>264</v>
      </c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</row>
    <row r="36" spans="2:22" x14ac:dyDescent="0.3">
      <c r="B36" s="86" t="s">
        <v>265</v>
      </c>
      <c r="C36" s="86"/>
      <c r="D36" s="86"/>
      <c r="E36" s="86"/>
      <c r="F36" s="86" t="s">
        <v>266</v>
      </c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</row>
    <row r="38" spans="2:22" x14ac:dyDescent="0.3">
      <c r="B38" s="90" t="s">
        <v>267</v>
      </c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</row>
    <row r="39" spans="2:22" x14ac:dyDescent="0.3">
      <c r="B39" s="94" t="s">
        <v>271</v>
      </c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</row>
    <row r="40" spans="2:22" x14ac:dyDescent="0.3">
      <c r="B40" s="95"/>
      <c r="C40" s="95"/>
      <c r="D40" s="95"/>
      <c r="E40" s="95"/>
      <c r="F40" s="95"/>
      <c r="G40" s="95"/>
      <c r="H40" s="95"/>
      <c r="I40" s="95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</row>
    <row r="41" spans="2:22" x14ac:dyDescent="0.3">
      <c r="B41" s="95"/>
      <c r="C41" s="95"/>
      <c r="D41" s="95"/>
      <c r="E41" s="95"/>
      <c r="F41" s="95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</row>
    <row r="42" spans="2:22" x14ac:dyDescent="0.3">
      <c r="B42" s="95"/>
      <c r="C42" s="95"/>
      <c r="D42" s="95"/>
      <c r="E42" s="95"/>
      <c r="F42" s="95"/>
      <c r="G42" s="95"/>
      <c r="H42" s="95"/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</row>
    <row r="43" spans="2:22" x14ac:dyDescent="0.3">
      <c r="B43" s="95"/>
      <c r="C43" s="95"/>
      <c r="D43" s="95"/>
      <c r="E43" s="95"/>
      <c r="F43" s="95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</row>
    <row r="44" spans="2:22" x14ac:dyDescent="0.3">
      <c r="B44" s="95"/>
      <c r="C44" s="95"/>
      <c r="D44" s="95"/>
      <c r="E44" s="95"/>
      <c r="F44" s="95"/>
      <c r="G44" s="95"/>
      <c r="H44" s="95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</row>
    <row r="45" spans="2:22" x14ac:dyDescent="0.3">
      <c r="B45" s="95"/>
      <c r="C45" s="95"/>
      <c r="D45" s="95"/>
      <c r="E45" s="95"/>
      <c r="F45" s="95"/>
      <c r="G45" s="95"/>
      <c r="H45" s="95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</row>
    <row r="47" spans="2:22" x14ac:dyDescent="0.3">
      <c r="B47" s="93" t="s">
        <v>272</v>
      </c>
      <c r="C47" s="93"/>
      <c r="D47" s="93"/>
      <c r="E47" s="93"/>
      <c r="F47" s="93"/>
      <c r="G47" s="93"/>
      <c r="H47" s="93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</row>
  </sheetData>
  <mergeCells count="50">
    <mergeCell ref="B13:E13"/>
    <mergeCell ref="B14:E14"/>
    <mergeCell ref="F13:V13"/>
    <mergeCell ref="F14:V14"/>
    <mergeCell ref="B47:V47"/>
    <mergeCell ref="B27:E27"/>
    <mergeCell ref="F27:V27"/>
    <mergeCell ref="B15:E15"/>
    <mergeCell ref="F15:V15"/>
    <mergeCell ref="B17:V17"/>
    <mergeCell ref="B39:V45"/>
    <mergeCell ref="F35:V35"/>
    <mergeCell ref="F36:V36"/>
    <mergeCell ref="B38:V38"/>
    <mergeCell ref="B29:V29"/>
    <mergeCell ref="B30:E30"/>
    <mergeCell ref="B18:E18"/>
    <mergeCell ref="B19:E19"/>
    <mergeCell ref="B20:E20"/>
    <mergeCell ref="F18:V18"/>
    <mergeCell ref="F19:V19"/>
    <mergeCell ref="F20:V20"/>
    <mergeCell ref="B2:V4"/>
    <mergeCell ref="B5:V5"/>
    <mergeCell ref="B7:V7"/>
    <mergeCell ref="B8:V10"/>
    <mergeCell ref="B12:V12"/>
    <mergeCell ref="B23:E23"/>
    <mergeCell ref="B24:E24"/>
    <mergeCell ref="B25:E25"/>
    <mergeCell ref="B26:E26"/>
    <mergeCell ref="F21:V21"/>
    <mergeCell ref="F22:V22"/>
    <mergeCell ref="F23:V23"/>
    <mergeCell ref="F24:V24"/>
    <mergeCell ref="F25:V25"/>
    <mergeCell ref="F26:V26"/>
    <mergeCell ref="B21:E21"/>
    <mergeCell ref="B22:E22"/>
    <mergeCell ref="B33:E33"/>
    <mergeCell ref="B34:E34"/>
    <mergeCell ref="B35:E35"/>
    <mergeCell ref="B36:E36"/>
    <mergeCell ref="F30:V30"/>
    <mergeCell ref="F31:V31"/>
    <mergeCell ref="F32:V32"/>
    <mergeCell ref="F33:V33"/>
    <mergeCell ref="F34:V34"/>
    <mergeCell ref="B31:E31"/>
    <mergeCell ref="B32:E3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DF499-F333-4A09-824E-CE4323EEDB21}">
  <sheetPr codeName="Sheet1"/>
  <dimension ref="A1"/>
  <sheetViews>
    <sheetView showGridLines="0" zoomScaleNormal="100" workbookViewId="0">
      <selection activeCell="D3" sqref="D3"/>
    </sheetView>
  </sheetViews>
  <sheetFormatPr defaultRowHeight="14.4" x14ac:dyDescent="0.3"/>
  <cols>
    <col min="1" max="1" width="2.5546875" customWidth="1"/>
    <col min="24" max="24" width="6.21875" customWidth="1"/>
  </cols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AA2B4-492C-4ED3-909A-9EA293576F33}">
  <sheetPr codeName="Sheet7"/>
  <dimension ref="B19:F71"/>
  <sheetViews>
    <sheetView showGridLines="0" zoomScaleNormal="100" workbookViewId="0"/>
  </sheetViews>
  <sheetFormatPr defaultRowHeight="14.4" x14ac:dyDescent="0.3"/>
  <cols>
    <col min="1" max="1" width="2.6640625" customWidth="1"/>
    <col min="2" max="2" width="25.88671875" bestFit="1" customWidth="1"/>
    <col min="3" max="3" width="16.5546875" bestFit="1" customWidth="1"/>
    <col min="4" max="4" width="17.33203125" bestFit="1" customWidth="1"/>
    <col min="5" max="5" width="18.21875" customWidth="1"/>
    <col min="6" max="6" width="22.109375" customWidth="1"/>
  </cols>
  <sheetData>
    <row r="19" spans="2:5" x14ac:dyDescent="0.3">
      <c r="E19" t="s">
        <v>194</v>
      </c>
    </row>
    <row r="22" spans="2:5" ht="12.6" customHeight="1" x14ac:dyDescent="0.3"/>
    <row r="23" spans="2:5" ht="32.4" customHeight="1" x14ac:dyDescent="0.3">
      <c r="B23" s="25" t="s">
        <v>191</v>
      </c>
      <c r="C23" s="26" t="s">
        <v>122</v>
      </c>
      <c r="D23" s="26" t="s">
        <v>123</v>
      </c>
      <c r="E23" s="26" t="s">
        <v>124</v>
      </c>
    </row>
    <row r="24" spans="2:5" x14ac:dyDescent="0.3">
      <c r="B24" s="10" t="s">
        <v>115</v>
      </c>
      <c r="C24" s="11">
        <v>0.51169151820294334</v>
      </c>
      <c r="D24" s="11">
        <v>0.50298001636087419</v>
      </c>
      <c r="E24" s="11">
        <v>0.49609475181273471</v>
      </c>
    </row>
    <row r="25" spans="2:5" x14ac:dyDescent="0.3">
      <c r="B25" s="10" t="s">
        <v>121</v>
      </c>
      <c r="C25" s="11">
        <v>9.1765104570100661E-2</v>
      </c>
      <c r="D25" s="11">
        <v>8.166413462662149E-2</v>
      </c>
      <c r="E25" s="11">
        <v>8.5565736401576095E-2</v>
      </c>
    </row>
    <row r="26" spans="2:5" x14ac:dyDescent="0.3">
      <c r="B26" s="10" t="s">
        <v>16</v>
      </c>
      <c r="C26" s="11">
        <v>4.8387877614252499E-2</v>
      </c>
      <c r="D26" s="11">
        <v>4.7727007128666593E-2</v>
      </c>
      <c r="E26" s="11">
        <v>4.6862978247184731E-2</v>
      </c>
    </row>
    <row r="27" spans="2:5" x14ac:dyDescent="0.3">
      <c r="B27" s="10" t="s">
        <v>23</v>
      </c>
      <c r="C27" s="11">
        <v>4.5458946553059626E-2</v>
      </c>
      <c r="D27" s="11">
        <v>4.2585018113824945E-2</v>
      </c>
      <c r="E27" s="11">
        <v>4.3295796320906486E-2</v>
      </c>
    </row>
    <row r="28" spans="2:5" x14ac:dyDescent="0.3">
      <c r="B28" s="10" t="s">
        <v>27</v>
      </c>
      <c r="C28" s="11">
        <v>4.4756971340046456E-2</v>
      </c>
      <c r="D28" s="11">
        <v>4.3379689143391381E-2</v>
      </c>
      <c r="E28" s="11">
        <v>4.3179221748152294E-2</v>
      </c>
    </row>
    <row r="29" spans="2:5" x14ac:dyDescent="0.3">
      <c r="B29" s="10" t="s">
        <v>21</v>
      </c>
      <c r="C29" s="11">
        <v>4.4176026336173492E-2</v>
      </c>
      <c r="D29" s="11">
        <v>4.2865490241907223E-2</v>
      </c>
      <c r="E29" s="11">
        <v>4.2619663798932186E-2</v>
      </c>
    </row>
    <row r="30" spans="2:5" x14ac:dyDescent="0.3">
      <c r="B30" s="10" t="s">
        <v>26</v>
      </c>
      <c r="C30" s="11">
        <v>4.3643493415956608E-2</v>
      </c>
      <c r="D30" s="11">
        <v>4.0855439990650944E-2</v>
      </c>
      <c r="E30" s="11">
        <v>4.1290713669534407E-2</v>
      </c>
    </row>
    <row r="31" spans="2:5" x14ac:dyDescent="0.3">
      <c r="B31" s="10" t="s">
        <v>22</v>
      </c>
      <c r="C31" s="11">
        <v>4.3522463206816409E-2</v>
      </c>
      <c r="D31" s="11">
        <v>3.9756924155662038E-2</v>
      </c>
      <c r="E31" s="11">
        <v>4.0847730293068478E-2</v>
      </c>
    </row>
    <row r="32" spans="2:5" x14ac:dyDescent="0.3">
      <c r="B32" s="10" t="s">
        <v>28</v>
      </c>
      <c r="C32" s="11">
        <v>4.3449845081332282E-2</v>
      </c>
      <c r="D32" s="11">
        <v>4.0107514315764876E-2</v>
      </c>
      <c r="E32" s="11">
        <v>4.096430486582267E-2</v>
      </c>
    </row>
    <row r="33" spans="2:6" x14ac:dyDescent="0.3">
      <c r="B33" s="10" t="s">
        <v>25</v>
      </c>
      <c r="C33" s="11">
        <v>4.2070100697133989E-2</v>
      </c>
      <c r="D33" s="11">
        <v>3.9546570059600335E-2</v>
      </c>
      <c r="E33" s="11">
        <v>3.9915133711034952E-2</v>
      </c>
    </row>
    <row r="34" spans="2:6" x14ac:dyDescent="0.3">
      <c r="B34" s="10" t="s">
        <v>24</v>
      </c>
      <c r="C34" s="11">
        <v>4.1077652982184333E-2</v>
      </c>
      <c r="D34" s="11">
        <v>3.748977445366368E-2</v>
      </c>
      <c r="E34" s="11">
        <v>3.8422979179781311E-2</v>
      </c>
    </row>
    <row r="35" spans="2:6" x14ac:dyDescent="0.3">
      <c r="B35" s="10" t="s">
        <v>20</v>
      </c>
      <c r="C35" s="11">
        <v>0</v>
      </c>
      <c r="D35" s="11">
        <v>4.1042421409372448E-2</v>
      </c>
      <c r="E35" s="11">
        <v>4.0940989951271829E-2</v>
      </c>
    </row>
    <row r="36" spans="2:6" x14ac:dyDescent="0.3">
      <c r="B36" s="27" t="s">
        <v>116</v>
      </c>
      <c r="C36" s="28">
        <v>1</v>
      </c>
      <c r="D36" s="28">
        <v>1</v>
      </c>
      <c r="E36" s="28">
        <v>1</v>
      </c>
    </row>
    <row r="45" spans="2:6" ht="19.8" customHeight="1" x14ac:dyDescent="0.3"/>
    <row r="46" spans="2:6" ht="16.8" customHeight="1" x14ac:dyDescent="0.3"/>
    <row r="47" spans="2:6" x14ac:dyDescent="0.3">
      <c r="B47" s="1" t="s">
        <v>98</v>
      </c>
      <c r="C47" s="1" t="s">
        <v>195</v>
      </c>
      <c r="D47" s="1" t="s">
        <v>117</v>
      </c>
      <c r="E47" s="1" t="s">
        <v>118</v>
      </c>
      <c r="F47" s="1" t="s">
        <v>119</v>
      </c>
    </row>
    <row r="48" spans="2:6" x14ac:dyDescent="0.3">
      <c r="B48" t="s">
        <v>3</v>
      </c>
      <c r="C48" t="s">
        <v>115</v>
      </c>
      <c r="D48" cm="1">
        <f t="array" ref="D48">INDEX(CPI_Data[#All], MATCH("Rural"&amp;"2023"&amp;"May",CPI_Data[[#All],[Sector]]&amp;CPI_Data[[#All],[Year]]&amp;CPI_Data[[#All],[Month]],0), MATCH('Q1 - CPI Contribution'!B48,CPI_Data[#Headers],0))</f>
        <v>173.2</v>
      </c>
      <c r="E48" cm="1">
        <f t="array" ref="E48">INDEX(CPI_Data[#All], MATCH("Urban"&amp;"2023"&amp;"May",CPI_Data[[#All],[Sector]]&amp;CPI_Data[[#All],[Year]]&amp;CPI_Data[[#All],[Month]],0), MATCH('Q1 - CPI Contribution'!B48,CPI_Data[#Headers],0))</f>
        <v>174.7</v>
      </c>
      <c r="F48" cm="1">
        <f t="array" ref="F48">INDEX(CPI_Data[#All], MATCH("Rural+Urban"&amp;"2023"&amp;"May",CPI_Data[[#All],[Sector]]&amp;CPI_Data[[#All],[Year]]&amp;CPI_Data[[#All],[Month]],0), MATCH('Q1 - CPI Contribution'!B48,CPI_Data[#Headers],0))</f>
        <v>173.7</v>
      </c>
    </row>
    <row r="49" spans="2:6" x14ac:dyDescent="0.3">
      <c r="B49" t="s">
        <v>4</v>
      </c>
      <c r="C49" t="s">
        <v>115</v>
      </c>
      <c r="D49" cm="1">
        <f t="array" ref="D49">INDEX(CPI_Data[#All], MATCH("Rural"&amp;"2023"&amp;"May",CPI_Data[[#All],[Sector]]&amp;CPI_Data[[#All],[Year]]&amp;CPI_Data[[#All],[Month]],0), MATCH('Q1 - CPI Contribution'!B49,CPI_Data[#Headers],0))</f>
        <v>211.5</v>
      </c>
      <c r="E49" cm="1">
        <f t="array" ref="E49">INDEX(CPI_Data[#All], MATCH("Urban"&amp;"2023"&amp;"May",CPI_Data[[#All],[Sector]]&amp;CPI_Data[[#All],[Year]]&amp;CPI_Data[[#All],[Month]],0), MATCH('Q1 - CPI Contribution'!B49,CPI_Data[#Headers],0))</f>
        <v>219.4</v>
      </c>
      <c r="F49" cm="1">
        <f t="array" ref="F49">INDEX(CPI_Data[#All], MATCH("Rural+Urban"&amp;"2023"&amp;"May",CPI_Data[[#All],[Sector]]&amp;CPI_Data[[#All],[Year]]&amp;CPI_Data[[#All],[Month]],0), MATCH('Q1 - CPI Contribution'!B49,CPI_Data[#Headers],0))</f>
        <v>214.3</v>
      </c>
    </row>
    <row r="50" spans="2:6" x14ac:dyDescent="0.3">
      <c r="B50" t="s">
        <v>5</v>
      </c>
      <c r="C50" t="s">
        <v>115</v>
      </c>
      <c r="D50" cm="1">
        <f t="array" ref="D50">INDEX(CPI_Data[#All], MATCH("Rural"&amp;"2023"&amp;"May",CPI_Data[[#All],[Sector]]&amp;CPI_Data[[#All],[Year]]&amp;CPI_Data[[#All],[Month]],0), MATCH('Q1 - CPI Contribution'!B50,CPI_Data[#Headers],0))</f>
        <v>171</v>
      </c>
      <c r="E50" cm="1">
        <f t="array" ref="E50">INDEX(CPI_Data[#All], MATCH("Urban"&amp;"2023"&amp;"May",CPI_Data[[#All],[Sector]]&amp;CPI_Data[[#All],[Year]]&amp;CPI_Data[[#All],[Month]],0), MATCH('Q1 - CPI Contribution'!B50,CPI_Data[#Headers],0))</f>
        <v>176.7</v>
      </c>
      <c r="F50" cm="1">
        <f t="array" ref="F50">INDEX(CPI_Data[#All], MATCH("Rural+Urban"&amp;"2023"&amp;"May",CPI_Data[[#All],[Sector]]&amp;CPI_Data[[#All],[Year]]&amp;CPI_Data[[#All],[Month]],0), MATCH('Q1 - CPI Contribution'!B50,CPI_Data[#Headers],0))</f>
        <v>173.2</v>
      </c>
    </row>
    <row r="51" spans="2:6" x14ac:dyDescent="0.3">
      <c r="B51" t="s">
        <v>6</v>
      </c>
      <c r="C51" t="s">
        <v>115</v>
      </c>
      <c r="D51" cm="1">
        <f t="array" ref="D51">INDEX(CPI_Data[#All], MATCH("Rural"&amp;"2023"&amp;"May",CPI_Data[[#All],[Sector]]&amp;CPI_Data[[#All],[Year]]&amp;CPI_Data[[#All],[Month]],0), MATCH('Q1 - CPI Contribution'!B51,CPI_Data[#Headers],0))</f>
        <v>179.6</v>
      </c>
      <c r="E51" cm="1">
        <f t="array" ref="E51">INDEX(CPI_Data[#All], MATCH("Urban"&amp;"2023"&amp;"May",CPI_Data[[#All],[Sector]]&amp;CPI_Data[[#All],[Year]]&amp;CPI_Data[[#All],[Month]],0), MATCH('Q1 - CPI Contribution'!B51,CPI_Data[#Headers],0))</f>
        <v>179.4</v>
      </c>
      <c r="F51" cm="1">
        <f t="array" ref="F51">INDEX(CPI_Data[#All], MATCH("Rural+Urban"&amp;"2023"&amp;"May",CPI_Data[[#All],[Sector]]&amp;CPI_Data[[#All],[Year]]&amp;CPI_Data[[#All],[Month]],0), MATCH('Q1 - CPI Contribution'!B51,CPI_Data[#Headers],0))</f>
        <v>179.5</v>
      </c>
    </row>
    <row r="52" spans="2:6" x14ac:dyDescent="0.3">
      <c r="B52" t="s">
        <v>7</v>
      </c>
      <c r="C52" t="s">
        <v>115</v>
      </c>
      <c r="D52" cm="1">
        <f t="array" ref="D52">INDEX(CPI_Data[#All], MATCH("Rural"&amp;"2023"&amp;"May",CPI_Data[[#All],[Sector]]&amp;CPI_Data[[#All],[Year]]&amp;CPI_Data[[#All],[Month]],0), MATCH('Q1 - CPI Contribution'!B52,CPI_Data[#Headers],0))</f>
        <v>173.3</v>
      </c>
      <c r="E52" cm="1">
        <f t="array" ref="E52">INDEX(CPI_Data[#All], MATCH("Urban"&amp;"2023"&amp;"May",CPI_Data[[#All],[Sector]]&amp;CPI_Data[[#All],[Year]]&amp;CPI_Data[[#All],[Month]],0), MATCH('Q1 - CPI Contribution'!B52,CPI_Data[#Headers],0))</f>
        <v>164.4</v>
      </c>
      <c r="F52" cm="1">
        <f t="array" ref="F52">INDEX(CPI_Data[#All], MATCH("Rural+Urban"&amp;"2023"&amp;"May",CPI_Data[[#All],[Sector]]&amp;CPI_Data[[#All],[Year]]&amp;CPI_Data[[#All],[Month]],0), MATCH('Q1 - CPI Contribution'!B52,CPI_Data[#Headers],0))</f>
        <v>170</v>
      </c>
    </row>
    <row r="53" spans="2:6" x14ac:dyDescent="0.3">
      <c r="B53" t="s">
        <v>8</v>
      </c>
      <c r="C53" t="s">
        <v>115</v>
      </c>
      <c r="D53" cm="1">
        <f t="array" ref="D53">INDEX(CPI_Data[#All], MATCH("Rural"&amp;"2023"&amp;"May",CPI_Data[[#All],[Sector]]&amp;CPI_Data[[#All],[Year]]&amp;CPI_Data[[#All],[Month]],0), MATCH('Q1 - CPI Contribution'!B53,CPI_Data[#Headers],0))</f>
        <v>169</v>
      </c>
      <c r="E53" cm="1">
        <f t="array" ref="E53">INDEX(CPI_Data[#All], MATCH("Urban"&amp;"2023"&amp;"May",CPI_Data[[#All],[Sector]]&amp;CPI_Data[[#All],[Year]]&amp;CPI_Data[[#All],[Month]],0), MATCH('Q1 - CPI Contribution'!B53,CPI_Data[#Headers],0))</f>
        <v>175.8</v>
      </c>
      <c r="F53" cm="1">
        <f t="array" ref="F53">INDEX(CPI_Data[#All], MATCH("Rural+Urban"&amp;"2023"&amp;"May",CPI_Data[[#All],[Sector]]&amp;CPI_Data[[#All],[Year]]&amp;CPI_Data[[#All],[Month]],0), MATCH('Q1 - CPI Contribution'!B53,CPI_Data[#Headers],0))</f>
        <v>172.2</v>
      </c>
    </row>
    <row r="54" spans="2:6" x14ac:dyDescent="0.3">
      <c r="B54" t="s">
        <v>9</v>
      </c>
      <c r="C54" t="s">
        <v>115</v>
      </c>
      <c r="D54" cm="1">
        <f t="array" ref="D54">INDEX(CPI_Data[#All], MATCH("Rural"&amp;"2023"&amp;"May",CPI_Data[[#All],[Sector]]&amp;CPI_Data[[#All],[Year]]&amp;CPI_Data[[#All],[Month]],0), MATCH('Q1 - CPI Contribution'!B54,CPI_Data[#Headers],0))</f>
        <v>148.69999999999999</v>
      </c>
      <c r="E54" cm="1">
        <f t="array" ref="E54">INDEX(CPI_Data[#All], MATCH("Urban"&amp;"2023"&amp;"May",CPI_Data[[#All],[Sector]]&amp;CPI_Data[[#All],[Year]]&amp;CPI_Data[[#All],[Month]],0), MATCH('Q1 - CPI Contribution'!B54,CPI_Data[#Headers],0))</f>
        <v>185</v>
      </c>
      <c r="F54" cm="1">
        <f t="array" ref="F54">INDEX(CPI_Data[#All], MATCH("Rural+Urban"&amp;"2023"&amp;"May",CPI_Data[[#All],[Sector]]&amp;CPI_Data[[#All],[Year]]&amp;CPI_Data[[#All],[Month]],0), MATCH('Q1 - CPI Contribution'!B54,CPI_Data[#Headers],0))</f>
        <v>161</v>
      </c>
    </row>
    <row r="55" spans="2:6" x14ac:dyDescent="0.3">
      <c r="B55" t="s">
        <v>10</v>
      </c>
      <c r="C55" t="s">
        <v>115</v>
      </c>
      <c r="D55" cm="1">
        <f t="array" ref="D55">INDEX(CPI_Data[#All], MATCH("Rural"&amp;"2023"&amp;"May",CPI_Data[[#All],[Sector]]&amp;CPI_Data[[#All],[Year]]&amp;CPI_Data[[#All],[Month]],0), MATCH('Q1 - CPI Contribution'!B55,CPI_Data[#Headers],0))</f>
        <v>174.9</v>
      </c>
      <c r="E55" cm="1">
        <f t="array" ref="E55">INDEX(CPI_Data[#All], MATCH("Urban"&amp;"2023"&amp;"May",CPI_Data[[#All],[Sector]]&amp;CPI_Data[[#All],[Year]]&amp;CPI_Data[[#All],[Month]],0), MATCH('Q1 - CPI Contribution'!B55,CPI_Data[#Headers],0))</f>
        <v>176.9</v>
      </c>
      <c r="F55" cm="1">
        <f t="array" ref="F55">INDEX(CPI_Data[#All], MATCH("Rural+Urban"&amp;"2023"&amp;"May",CPI_Data[[#All],[Sector]]&amp;CPI_Data[[#All],[Year]]&amp;CPI_Data[[#All],[Month]],0), MATCH('Q1 - CPI Contribution'!B55,CPI_Data[#Headers],0))</f>
        <v>175.6</v>
      </c>
    </row>
    <row r="56" spans="2:6" x14ac:dyDescent="0.3">
      <c r="B56" t="s">
        <v>11</v>
      </c>
      <c r="C56" t="s">
        <v>115</v>
      </c>
      <c r="D56" cm="1">
        <f t="array" ref="D56">INDEX(CPI_Data[#All], MATCH("Rural"&amp;"2023"&amp;"May",CPI_Data[[#All],[Sector]]&amp;CPI_Data[[#All],[Year]]&amp;CPI_Data[[#All],[Month]],0), MATCH('Q1 - CPI Contribution'!B56,CPI_Data[#Headers],0))</f>
        <v>121.9</v>
      </c>
      <c r="E56" cm="1">
        <f t="array" ref="E56">INDEX(CPI_Data[#All], MATCH("Urban"&amp;"2023"&amp;"May",CPI_Data[[#All],[Sector]]&amp;CPI_Data[[#All],[Year]]&amp;CPI_Data[[#All],[Month]],0), MATCH('Q1 - CPI Contribution'!B56,CPI_Data[#Headers],0))</f>
        <v>124.2</v>
      </c>
      <c r="F56" cm="1">
        <f t="array" ref="F56">INDEX(CPI_Data[#All], MATCH("Rural+Urban"&amp;"2023"&amp;"May",CPI_Data[[#All],[Sector]]&amp;CPI_Data[[#All],[Year]]&amp;CPI_Data[[#All],[Month]],0), MATCH('Q1 - CPI Contribution'!B56,CPI_Data[#Headers],0))</f>
        <v>122.7</v>
      </c>
    </row>
    <row r="57" spans="2:6" x14ac:dyDescent="0.3">
      <c r="B57" t="s">
        <v>12</v>
      </c>
      <c r="C57" t="s">
        <v>115</v>
      </c>
      <c r="D57" cm="1">
        <f t="array" ref="D57">INDEX(CPI_Data[#All], MATCH("Rural"&amp;"2023"&amp;"May",CPI_Data[[#All],[Sector]]&amp;CPI_Data[[#All],[Year]]&amp;CPI_Data[[#All],[Month]],0), MATCH('Q1 - CPI Contribution'!B57,CPI_Data[#Headers],0))</f>
        <v>221</v>
      </c>
      <c r="E57" cm="1">
        <f t="array" ref="E57">INDEX(CPI_Data[#All], MATCH("Urban"&amp;"2023"&amp;"May",CPI_Data[[#All],[Sector]]&amp;CPI_Data[[#All],[Year]]&amp;CPI_Data[[#All],[Month]],0), MATCH('Q1 - CPI Contribution'!B57,CPI_Data[#Headers],0))</f>
        <v>211.9</v>
      </c>
      <c r="F57" cm="1">
        <f t="array" ref="F57">INDEX(CPI_Data[#All], MATCH("Rural+Urban"&amp;"2023"&amp;"May",CPI_Data[[#All],[Sector]]&amp;CPI_Data[[#All],[Year]]&amp;CPI_Data[[#All],[Month]],0), MATCH('Q1 - CPI Contribution'!B57,CPI_Data[#Headers],0))</f>
        <v>218</v>
      </c>
    </row>
    <row r="58" spans="2:6" x14ac:dyDescent="0.3">
      <c r="B58" t="s">
        <v>13</v>
      </c>
      <c r="C58" t="s">
        <v>115</v>
      </c>
      <c r="D58" cm="1">
        <f t="array" ref="D58">INDEX(CPI_Data[#All], MATCH("Rural"&amp;"2023"&amp;"May",CPI_Data[[#All],[Sector]]&amp;CPI_Data[[#All],[Year]]&amp;CPI_Data[[#All],[Month]],0), MATCH('Q1 - CPI Contribution'!B58,CPI_Data[#Headers],0))</f>
        <v>178.7</v>
      </c>
      <c r="E58" cm="1">
        <f t="array" ref="E58">INDEX(CPI_Data[#All], MATCH("Urban"&amp;"2023"&amp;"May",CPI_Data[[#All],[Sector]]&amp;CPI_Data[[#All],[Year]]&amp;CPI_Data[[#All],[Month]],0), MATCH('Q1 - CPI Contribution'!B58,CPI_Data[#Headers],0))</f>
        <v>165.9</v>
      </c>
      <c r="F58" cm="1">
        <f t="array" ref="F58">INDEX(CPI_Data[#All], MATCH("Rural+Urban"&amp;"2023"&amp;"May",CPI_Data[[#All],[Sector]]&amp;CPI_Data[[#All],[Year]]&amp;CPI_Data[[#All],[Month]],0), MATCH('Q1 - CPI Contribution'!B58,CPI_Data[#Headers],0))</f>
        <v>173.4</v>
      </c>
    </row>
    <row r="59" spans="2:6" x14ac:dyDescent="0.3">
      <c r="B59" t="s">
        <v>14</v>
      </c>
      <c r="C59" t="s">
        <v>115</v>
      </c>
      <c r="D59" cm="1">
        <f t="array" ref="D59">INDEX(CPI_Data[#All], MATCH("Rural"&amp;"2023"&amp;"May",CPI_Data[[#All],[Sector]]&amp;CPI_Data[[#All],[Year]]&amp;CPI_Data[[#All],[Month]],0), MATCH('Q1 - CPI Contribution'!B59,CPI_Data[#Headers],0))</f>
        <v>191.1</v>
      </c>
      <c r="E59" cm="1">
        <f t="array" ref="E59">INDEX(CPI_Data[#All], MATCH("Urban"&amp;"2023"&amp;"May",CPI_Data[[#All],[Sector]]&amp;CPI_Data[[#All],[Year]]&amp;CPI_Data[[#All],[Month]],0), MATCH('Q1 - CPI Contribution'!B59,CPI_Data[#Headers],0))</f>
        <v>197.7</v>
      </c>
      <c r="F59" cm="1">
        <f t="array" ref="F59">INDEX(CPI_Data[#All], MATCH("Rural+Urban"&amp;"2023"&amp;"May",CPI_Data[[#All],[Sector]]&amp;CPI_Data[[#All],[Year]]&amp;CPI_Data[[#All],[Month]],0), MATCH('Q1 - CPI Contribution'!B59,CPI_Data[#Headers],0))</f>
        <v>194.2</v>
      </c>
    </row>
    <row r="60" spans="2:6" x14ac:dyDescent="0.3">
      <c r="B60" t="s">
        <v>16</v>
      </c>
      <c r="C60" t="s">
        <v>16</v>
      </c>
      <c r="D60" cm="1">
        <f t="array" ref="D60">INDEX(CPI_Data[#All], MATCH("Rural"&amp;"2023"&amp;"May",CPI_Data[[#All],[Sector]]&amp;CPI_Data[[#All],[Year]]&amp;CPI_Data[[#All],[Month]],0), MATCH('Q1 - CPI Contribution'!B60,CPI_Data[#Headers],0))</f>
        <v>199.9</v>
      </c>
      <c r="E60" cm="1">
        <f t="array" ref="E60">INDEX(CPI_Data[#All], MATCH("Urban"&amp;"2023"&amp;"May",CPI_Data[[#All],[Sector]]&amp;CPI_Data[[#All],[Year]]&amp;CPI_Data[[#All],[Month]],0), MATCH('Q1 - CPI Contribution'!B60,CPI_Data[#Headers],0))</f>
        <v>204.2</v>
      </c>
      <c r="F60" cm="1">
        <f t="array" ref="F60">INDEX(CPI_Data[#All], MATCH("Rural+Urban"&amp;"2023"&amp;"May",CPI_Data[[#All],[Sector]]&amp;CPI_Data[[#All],[Year]]&amp;CPI_Data[[#All],[Month]],0), MATCH('Q1 - CPI Contribution'!B60,CPI_Data[#Headers],0))</f>
        <v>201</v>
      </c>
    </row>
    <row r="61" spans="2:6" x14ac:dyDescent="0.3">
      <c r="B61" t="s">
        <v>17</v>
      </c>
      <c r="C61" s="12" t="s">
        <v>120</v>
      </c>
      <c r="D61" cm="1">
        <f t="array" ref="D61">INDEX(CPI_Data[#All], MATCH("Rural"&amp;"2023"&amp;"May",CPI_Data[[#All],[Sector]]&amp;CPI_Data[[#All],[Year]]&amp;CPI_Data[[#All],[Month]],0), MATCH('Q1 - CPI Contribution'!B61,CPI_Data[#Headers],0))</f>
        <v>191.2</v>
      </c>
      <c r="E61" cm="1">
        <f t="array" ref="E61">INDEX(CPI_Data[#All], MATCH("Urban"&amp;"2023"&amp;"May",CPI_Data[[#All],[Sector]]&amp;CPI_Data[[#All],[Year]]&amp;CPI_Data[[#All],[Month]],0), MATCH('Q1 - CPI Contribution'!B61,CPI_Data[#Headers],0))</f>
        <v>181.3</v>
      </c>
      <c r="F61" cm="1">
        <f t="array" ref="F61">INDEX(CPI_Data[#All], MATCH("Rural+Urban"&amp;"2023"&amp;"May",CPI_Data[[#All],[Sector]]&amp;CPI_Data[[#All],[Year]]&amp;CPI_Data[[#All],[Month]],0), MATCH('Q1 - CPI Contribution'!B61,CPI_Data[#Headers],0))</f>
        <v>187.3</v>
      </c>
    </row>
    <row r="62" spans="2:6" x14ac:dyDescent="0.3">
      <c r="B62" t="s">
        <v>18</v>
      </c>
      <c r="C62" s="12" t="s">
        <v>120</v>
      </c>
      <c r="D62" cm="1">
        <f t="array" ref="D62">INDEX(CPI_Data[#All], MATCH("Rural"&amp;"2023"&amp;"May",CPI_Data[[#All],[Sector]]&amp;CPI_Data[[#All],[Year]]&amp;CPI_Data[[#All],[Month]],0), MATCH('Q1 - CPI Contribution'!B62,CPI_Data[#Headers],0))</f>
        <v>187.9</v>
      </c>
      <c r="E62" cm="1">
        <f t="array" ref="E62">INDEX(CPI_Data[#All], MATCH("Urban"&amp;"2023"&amp;"May",CPI_Data[[#All],[Sector]]&amp;CPI_Data[[#All],[Year]]&amp;CPI_Data[[#All],[Month]],0), MATCH('Q1 - CPI Contribution'!B62,CPI_Data[#Headers],0))</f>
        <v>168.1</v>
      </c>
      <c r="F62" cm="1">
        <f t="array" ref="F62">INDEX(CPI_Data[#All], MATCH("Rural+Urban"&amp;"2023"&amp;"May",CPI_Data[[#All],[Sector]]&amp;CPI_Data[[#All],[Year]]&amp;CPI_Data[[#All],[Month]],0), MATCH('Q1 - CPI Contribution'!B62,CPI_Data[#Headers],0))</f>
        <v>179.7</v>
      </c>
    </row>
    <row r="63" spans="2:6" x14ac:dyDescent="0.3">
      <c r="B63" t="s">
        <v>20</v>
      </c>
      <c r="C63" t="s">
        <v>20</v>
      </c>
      <c r="D63" cm="1">
        <f t="array" ref="D63">INDEX(CPI_Data[#All], MATCH("Rural"&amp;"2023"&amp;"May",CPI_Data[[#All],[Sector]]&amp;CPI_Data[[#All],[Year]]&amp;CPI_Data[[#All],[Month]],0), MATCH('Q1 - CPI Contribution'!B63,CPI_Data[#Headers],0))</f>
        <v>0</v>
      </c>
      <c r="E63" cm="1">
        <f t="array" ref="E63">INDEX(CPI_Data[#All], MATCH("Urban"&amp;"2023"&amp;"May",CPI_Data[[#All],[Sector]]&amp;CPI_Data[[#All],[Year]]&amp;CPI_Data[[#All],[Month]],0), MATCH('Q1 - CPI Contribution'!B63,CPI_Data[#Headers],0))</f>
        <v>175.6</v>
      </c>
      <c r="F63" cm="1">
        <f t="array" ref="F63">INDEX(CPI_Data[#All], MATCH("Rural+Urban"&amp;"2023"&amp;"May",CPI_Data[[#All],[Sector]]&amp;CPI_Data[[#All],[Year]]&amp;CPI_Data[[#All],[Month]],0), MATCH('Q1 - CPI Contribution'!B63,CPI_Data[#Headers],0))</f>
        <v>175.6</v>
      </c>
    </row>
    <row r="64" spans="2:6" x14ac:dyDescent="0.3">
      <c r="B64" t="s">
        <v>21</v>
      </c>
      <c r="C64" t="s">
        <v>21</v>
      </c>
      <c r="D64" cm="1">
        <f t="array" ref="D64">INDEX(CPI_Data[#All], MATCH("Rural"&amp;"2023"&amp;"May",CPI_Data[[#All],[Sector]]&amp;CPI_Data[[#All],[Year]]&amp;CPI_Data[[#All],[Month]],0), MATCH('Q1 - CPI Contribution'!B64,CPI_Data[#Headers],0))</f>
        <v>182.5</v>
      </c>
      <c r="E64" cm="1">
        <f t="array" ref="E64">INDEX(CPI_Data[#All], MATCH("Urban"&amp;"2023"&amp;"May",CPI_Data[[#All],[Sector]]&amp;CPI_Data[[#All],[Year]]&amp;CPI_Data[[#All],[Month]],0), MATCH('Q1 - CPI Contribution'!B64,CPI_Data[#Headers],0))</f>
        <v>183.4</v>
      </c>
      <c r="F64" cm="1">
        <f t="array" ref="F64">INDEX(CPI_Data[#All], MATCH("Rural+Urban"&amp;"2023"&amp;"May",CPI_Data[[#All],[Sector]]&amp;CPI_Data[[#All],[Year]]&amp;CPI_Data[[#All],[Month]],0), MATCH('Q1 - CPI Contribution'!B64,CPI_Data[#Headers],0))</f>
        <v>182.8</v>
      </c>
    </row>
    <row r="65" spans="2:6" x14ac:dyDescent="0.3">
      <c r="B65" t="s">
        <v>22</v>
      </c>
      <c r="C65" t="s">
        <v>22</v>
      </c>
      <c r="D65" cm="1">
        <f t="array" ref="D65">INDEX(CPI_Data[#All], MATCH("Rural"&amp;"2023"&amp;"May",CPI_Data[[#All],[Sector]]&amp;CPI_Data[[#All],[Year]]&amp;CPI_Data[[#All],[Month]],0), MATCH('Q1 - CPI Contribution'!B65,CPI_Data[#Headers],0))</f>
        <v>179.8</v>
      </c>
      <c r="E65" cm="1">
        <f t="array" ref="E65">INDEX(CPI_Data[#All], MATCH("Urban"&amp;"2023"&amp;"May",CPI_Data[[#All],[Sector]]&amp;CPI_Data[[#All],[Year]]&amp;CPI_Data[[#All],[Month]],0), MATCH('Q1 - CPI Contribution'!B65,CPI_Data[#Headers],0))</f>
        <v>170.1</v>
      </c>
      <c r="F65" cm="1">
        <f t="array" ref="F65">INDEX(CPI_Data[#All], MATCH("Rural+Urban"&amp;"2023"&amp;"May",CPI_Data[[#All],[Sector]]&amp;CPI_Data[[#All],[Year]]&amp;CPI_Data[[#All],[Month]],0), MATCH('Q1 - CPI Contribution'!B65,CPI_Data[#Headers],0))</f>
        <v>175.2</v>
      </c>
    </row>
    <row r="66" spans="2:6" x14ac:dyDescent="0.3">
      <c r="B66" t="s">
        <v>23</v>
      </c>
      <c r="C66" t="s">
        <v>23</v>
      </c>
      <c r="D66" cm="1">
        <f t="array" ref="D66">INDEX(CPI_Data[#All], MATCH("Rural"&amp;"2023"&amp;"May",CPI_Data[[#All],[Sector]]&amp;CPI_Data[[#All],[Year]]&amp;CPI_Data[[#All],[Month]],0), MATCH('Q1 - CPI Contribution'!B66,CPI_Data[#Headers],0))</f>
        <v>187.8</v>
      </c>
      <c r="E66" cm="1">
        <f t="array" ref="E66">INDEX(CPI_Data[#All], MATCH("Urban"&amp;"2023"&amp;"May",CPI_Data[[#All],[Sector]]&amp;CPI_Data[[#All],[Year]]&amp;CPI_Data[[#All],[Month]],0), MATCH('Q1 - CPI Contribution'!B66,CPI_Data[#Headers],0))</f>
        <v>182.2</v>
      </c>
      <c r="F66" cm="1">
        <f t="array" ref="F66">INDEX(CPI_Data[#All], MATCH("Rural+Urban"&amp;"2023"&amp;"May",CPI_Data[[#All],[Sector]]&amp;CPI_Data[[#All],[Year]]&amp;CPI_Data[[#All],[Month]],0), MATCH('Q1 - CPI Contribution'!B66,CPI_Data[#Headers],0))</f>
        <v>185.7</v>
      </c>
    </row>
    <row r="67" spans="2:6" x14ac:dyDescent="0.3">
      <c r="B67" t="s">
        <v>24</v>
      </c>
      <c r="C67" t="s">
        <v>24</v>
      </c>
      <c r="D67" cm="1">
        <f t="array" ref="D67">INDEX(CPI_Data[#All], MATCH("Rural"&amp;"2023"&amp;"May",CPI_Data[[#All],[Sector]]&amp;CPI_Data[[#All],[Year]]&amp;CPI_Data[[#All],[Month]],0), MATCH('Q1 - CPI Contribution'!B67,CPI_Data[#Headers],0))</f>
        <v>169.7</v>
      </c>
      <c r="E67" cm="1">
        <f t="array" ref="E67">INDEX(CPI_Data[#All], MATCH("Urban"&amp;"2023"&amp;"May",CPI_Data[[#All],[Sector]]&amp;CPI_Data[[#All],[Year]]&amp;CPI_Data[[#All],[Month]],0), MATCH('Q1 - CPI Contribution'!B67,CPI_Data[#Headers],0))</f>
        <v>160.4</v>
      </c>
      <c r="F67" cm="1">
        <f t="array" ref="F67">INDEX(CPI_Data[#All], MATCH("Rural+Urban"&amp;"2023"&amp;"May",CPI_Data[[#All],[Sector]]&amp;CPI_Data[[#All],[Year]]&amp;CPI_Data[[#All],[Month]],0), MATCH('Q1 - CPI Contribution'!B67,CPI_Data[#Headers],0))</f>
        <v>164.8</v>
      </c>
    </row>
    <row r="68" spans="2:6" x14ac:dyDescent="0.3">
      <c r="B68" t="s">
        <v>25</v>
      </c>
      <c r="C68" t="s">
        <v>25</v>
      </c>
      <c r="D68" cm="1">
        <f t="array" ref="D68">INDEX(CPI_Data[#All], MATCH("Rural"&amp;"2023"&amp;"May",CPI_Data[[#All],[Sector]]&amp;CPI_Data[[#All],[Year]]&amp;CPI_Data[[#All],[Month]],0), MATCH('Q1 - CPI Contribution'!B68,CPI_Data[#Headers],0))</f>
        <v>173.8</v>
      </c>
      <c r="E68" cm="1">
        <f t="array" ref="E68">INDEX(CPI_Data[#All], MATCH("Urban"&amp;"2023"&amp;"May",CPI_Data[[#All],[Sector]]&amp;CPI_Data[[#All],[Year]]&amp;CPI_Data[[#All],[Month]],0), MATCH('Q1 - CPI Contribution'!B68,CPI_Data[#Headers],0))</f>
        <v>169.2</v>
      </c>
      <c r="F68" cm="1">
        <f t="array" ref="F68">INDEX(CPI_Data[#All], MATCH("Rural+Urban"&amp;"2023"&amp;"May",CPI_Data[[#All],[Sector]]&amp;CPI_Data[[#All],[Year]]&amp;CPI_Data[[#All],[Month]],0), MATCH('Q1 - CPI Contribution'!B68,CPI_Data[#Headers],0))</f>
        <v>171.2</v>
      </c>
    </row>
    <row r="69" spans="2:6" x14ac:dyDescent="0.3">
      <c r="B69" t="s">
        <v>26</v>
      </c>
      <c r="C69" t="s">
        <v>26</v>
      </c>
      <c r="D69" cm="1">
        <f t="array" ref="D69">INDEX(CPI_Data[#All], MATCH("Rural"&amp;"2023"&amp;"May",CPI_Data[[#All],[Sector]]&amp;CPI_Data[[#All],[Year]]&amp;CPI_Data[[#All],[Month]],0), MATCH('Q1 - CPI Contribution'!B69,CPI_Data[#Headers],0))</f>
        <v>180.3</v>
      </c>
      <c r="E69" cm="1">
        <f t="array" ref="E69">INDEX(CPI_Data[#All], MATCH("Urban"&amp;"2023"&amp;"May",CPI_Data[[#All],[Sector]]&amp;CPI_Data[[#All],[Year]]&amp;CPI_Data[[#All],[Month]],0), MATCH('Q1 - CPI Contribution'!B69,CPI_Data[#Headers],0))</f>
        <v>174.8</v>
      </c>
      <c r="F69" cm="1">
        <f t="array" ref="F69">INDEX(CPI_Data[#All], MATCH("Rural+Urban"&amp;"2023"&amp;"May",CPI_Data[[#All],[Sector]]&amp;CPI_Data[[#All],[Year]]&amp;CPI_Data[[#All],[Month]],0), MATCH('Q1 - CPI Contribution'!B69,CPI_Data[#Headers],0))</f>
        <v>177.1</v>
      </c>
    </row>
    <row r="70" spans="2:6" x14ac:dyDescent="0.3">
      <c r="B70" t="s">
        <v>27</v>
      </c>
      <c r="C70" t="s">
        <v>27</v>
      </c>
      <c r="D70" cm="1">
        <f t="array" ref="D70">INDEX(CPI_Data[#All], MATCH("Rural"&amp;"2023"&amp;"May",CPI_Data[[#All],[Sector]]&amp;CPI_Data[[#All],[Year]]&amp;CPI_Data[[#All],[Month]],0), MATCH('Q1 - CPI Contribution'!B70,CPI_Data[#Headers],0))</f>
        <v>184.9</v>
      </c>
      <c r="E70" cm="1">
        <f t="array" ref="E70">INDEX(CPI_Data[#All], MATCH("Urban"&amp;"2023"&amp;"May",CPI_Data[[#All],[Sector]]&amp;CPI_Data[[#All],[Year]]&amp;CPI_Data[[#All],[Month]],0), MATCH('Q1 - CPI Contribution'!B70,CPI_Data[#Headers],0))</f>
        <v>185.6</v>
      </c>
      <c r="F70" cm="1">
        <f t="array" ref="F70">INDEX(CPI_Data[#All], MATCH("Rural+Urban"&amp;"2023"&amp;"May",CPI_Data[[#All],[Sector]]&amp;CPI_Data[[#All],[Year]]&amp;CPI_Data[[#All],[Month]],0), MATCH('Q1 - CPI Contribution'!B70,CPI_Data[#Headers],0))</f>
        <v>185.2</v>
      </c>
    </row>
    <row r="71" spans="2:6" x14ac:dyDescent="0.3">
      <c r="B71" t="s">
        <v>28</v>
      </c>
      <c r="C71" t="s">
        <v>28</v>
      </c>
      <c r="D71" cm="1">
        <f t="array" ref="D71">INDEX(CPI_Data[#All], MATCH("Rural"&amp;"2023"&amp;"May",CPI_Data[[#All],[Sector]]&amp;CPI_Data[[#All],[Year]]&amp;CPI_Data[[#All],[Month]],0), MATCH('Q1 - CPI Contribution'!B71,CPI_Data[#Headers],0))</f>
        <v>179.5</v>
      </c>
      <c r="E71" cm="1">
        <f t="array" ref="E71">INDEX(CPI_Data[#All], MATCH("Urban"&amp;"2023"&amp;"May",CPI_Data[[#All],[Sector]]&amp;CPI_Data[[#All],[Year]]&amp;CPI_Data[[#All],[Month]],0), MATCH('Q1 - CPI Contribution'!B71,CPI_Data[#Headers],0))</f>
        <v>171.6</v>
      </c>
      <c r="F71" cm="1">
        <f t="array" ref="F71">INDEX(CPI_Data[#All], MATCH("Rural+Urban"&amp;"2023"&amp;"May",CPI_Data[[#All],[Sector]]&amp;CPI_Data[[#All],[Year]]&amp;CPI_Data[[#All],[Month]],0), MATCH('Q1 - CPI Contribution'!B71,CPI_Data[#Headers],0))</f>
        <v>175.7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85D24-B305-4CA5-A722-B205A837520E}">
  <sheetPr codeName="Sheet6"/>
  <dimension ref="Q15:S24"/>
  <sheetViews>
    <sheetView showGridLines="0" zoomScaleNormal="100" workbookViewId="0"/>
  </sheetViews>
  <sheetFormatPr defaultRowHeight="14.4" x14ac:dyDescent="0.3"/>
  <cols>
    <col min="1" max="1" width="2.88671875" customWidth="1"/>
    <col min="2" max="2" width="11.109375" bestFit="1" customWidth="1"/>
    <col min="3" max="3" width="10.33203125" bestFit="1" customWidth="1"/>
    <col min="13" max="13" width="9.77734375" customWidth="1"/>
    <col min="16" max="16" width="2.88671875" customWidth="1"/>
    <col min="17" max="17" width="26.33203125" customWidth="1"/>
    <col min="18" max="18" width="27.77734375" customWidth="1"/>
    <col min="19" max="19" width="14.77734375" customWidth="1"/>
  </cols>
  <sheetData>
    <row r="15" spans="17:19" ht="12" customHeight="1" x14ac:dyDescent="0.3"/>
    <row r="16" spans="17:19" x14ac:dyDescent="0.3">
      <c r="Q16" t="s">
        <v>1</v>
      </c>
      <c r="R16" t="s">
        <v>125</v>
      </c>
      <c r="S16" t="s">
        <v>126</v>
      </c>
    </row>
    <row r="17" spans="17:19" x14ac:dyDescent="0.3">
      <c r="Q17" s="3">
        <v>42491</v>
      </c>
      <c r="R17" cm="1">
        <f t="array" ref="R17">INDEX(CPI_Data[General index], MATCH(1, (CPI_Data[Sector]="Rural+Urban")*(CPI_Data[Date]=Q17), 0))</f>
        <v>128.6</v>
      </c>
      <c r="S17" s="13"/>
    </row>
    <row r="18" spans="17:19" x14ac:dyDescent="0.3">
      <c r="Q18" s="3">
        <v>42856</v>
      </c>
      <c r="R18" cm="1">
        <f t="array" ref="R18">INDEX(CPI_Data[General index], MATCH(1, (CPI_Data[Sector]="Rural+Urban")*(CPI_Data[Date]=Q18), 0))</f>
        <v>131.4</v>
      </c>
      <c r="S18" s="13">
        <f t="shared" ref="S18:S19" si="0">(R18-R17)/R17</f>
        <v>2.1772939346811911E-2</v>
      </c>
    </row>
    <row r="19" spans="17:19" x14ac:dyDescent="0.3">
      <c r="Q19" s="3">
        <v>43221</v>
      </c>
      <c r="R19" cm="1">
        <f t="array" ref="R19">INDEX(CPI_Data[General index], MATCH(1, (CPI_Data[Sector]="Rural+Urban")*(CPI_Data[Date]=Q19), 0))</f>
        <v>137.80000000000001</v>
      </c>
      <c r="S19" s="13">
        <f t="shared" si="0"/>
        <v>4.8706240487062444E-2</v>
      </c>
    </row>
    <row r="20" spans="17:19" x14ac:dyDescent="0.3">
      <c r="Q20" s="3">
        <v>43586</v>
      </c>
      <c r="R20" cm="1">
        <f t="array" ref="R20">INDEX(CPI_Data[General index], MATCH(1, (CPI_Data[Sector]="Rural+Urban")*(CPI_Data[Date]=Q20), 0))</f>
        <v>142</v>
      </c>
      <c r="S20" s="13">
        <f t="shared" ref="S20:S24" si="1">(R20-R19)/R19</f>
        <v>3.0478955007256808E-2</v>
      </c>
    </row>
    <row r="21" spans="17:19" x14ac:dyDescent="0.3">
      <c r="Q21" s="3">
        <v>43952</v>
      </c>
      <c r="R21" cm="1">
        <f t="array" ref="R21">INDEX(CPI_Data[General index], MATCH(1, (CPI_Data[Sector]="Rural+Urban")*(CPI_Data[Date]=Q21), 0))</f>
        <v>150.9</v>
      </c>
      <c r="S21" s="13">
        <f t="shared" si="1"/>
        <v>6.267605633802821E-2</v>
      </c>
    </row>
    <row r="22" spans="17:19" x14ac:dyDescent="0.3">
      <c r="Q22" s="3">
        <v>44317</v>
      </c>
      <c r="R22" cm="1">
        <f t="array" ref="R22">INDEX(CPI_Data[General index], MATCH(1, (CPI_Data[Sector]="Rural+Urban")*(CPI_Data[Date]=Q22), 0))</f>
        <v>160.4</v>
      </c>
      <c r="S22" s="13">
        <f t="shared" si="1"/>
        <v>6.2955599734923789E-2</v>
      </c>
    </row>
    <row r="23" spans="17:19" x14ac:dyDescent="0.3">
      <c r="Q23" s="3">
        <v>44682</v>
      </c>
      <c r="R23" cm="1">
        <f t="array" ref="R23">INDEX(CPI_Data[General index], MATCH(1, (CPI_Data[Sector]="Rural+Urban")*(CPI_Data[Date]=Q23), 0))</f>
        <v>171.7</v>
      </c>
      <c r="S23" s="13">
        <f t="shared" si="1"/>
        <v>7.0448877805486171E-2</v>
      </c>
    </row>
    <row r="24" spans="17:19" x14ac:dyDescent="0.3">
      <c r="Q24" s="3">
        <v>45047</v>
      </c>
      <c r="R24" cm="1">
        <f t="array" ref="R24">INDEX(CPI_Data[General index], MATCH(1, (CPI_Data[Sector]="Rural+Urban")*(CPI_Data[Date]=Q24), 0))</f>
        <v>179.1</v>
      </c>
      <c r="S24" s="13">
        <f t="shared" si="1"/>
        <v>4.3098427489807842E-2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CB33F-3942-4D18-B265-8A04F9E3DB7C}">
  <sheetPr codeName="Sheet5"/>
  <dimension ref="B30:Q94"/>
  <sheetViews>
    <sheetView showGridLines="0" zoomScaleNormal="100" workbookViewId="0"/>
  </sheetViews>
  <sheetFormatPr defaultRowHeight="14.4" x14ac:dyDescent="0.3"/>
  <cols>
    <col min="1" max="1" width="3" customWidth="1"/>
    <col min="2" max="2" width="30.44140625" bestFit="1" customWidth="1"/>
    <col min="3" max="3" width="10.44140625" customWidth="1"/>
    <col min="4" max="4" width="11" customWidth="1"/>
    <col min="5" max="5" width="14.21875" bestFit="1" customWidth="1"/>
    <col min="6" max="6" width="17.44140625" bestFit="1" customWidth="1"/>
    <col min="7" max="7" width="6.5546875" bestFit="1" customWidth="1"/>
    <col min="8" max="8" width="7.44140625" customWidth="1"/>
    <col min="9" max="9" width="11.44140625" customWidth="1"/>
    <col min="10" max="10" width="3.88671875" customWidth="1"/>
    <col min="11" max="11" width="11" customWidth="1"/>
    <col min="12" max="12" width="10.21875" customWidth="1"/>
    <col min="13" max="13" width="12.6640625" customWidth="1"/>
    <col min="14" max="14" width="13.44140625" customWidth="1"/>
    <col min="15" max="15" width="11.44140625" customWidth="1"/>
    <col min="16" max="16" width="13.77734375" bestFit="1" customWidth="1"/>
    <col min="17" max="17" width="15.88671875" customWidth="1"/>
  </cols>
  <sheetData>
    <row r="30" spans="11:17" ht="16.8" customHeight="1" x14ac:dyDescent="0.3"/>
    <row r="31" spans="11:17" ht="19.2" customHeight="1" x14ac:dyDescent="0.3"/>
    <row r="32" spans="11:17" x14ac:dyDescent="0.3">
      <c r="K32" s="31" t="s">
        <v>87</v>
      </c>
      <c r="L32" s="32" t="s">
        <v>30</v>
      </c>
      <c r="M32" s="32" t="s">
        <v>203</v>
      </c>
      <c r="N32" s="32" t="s">
        <v>33</v>
      </c>
      <c r="O32" s="32" t="s">
        <v>204</v>
      </c>
      <c r="P32" s="32" t="s">
        <v>34</v>
      </c>
      <c r="Q32" s="33" t="s">
        <v>205</v>
      </c>
    </row>
    <row r="33" spans="11:17" x14ac:dyDescent="0.3">
      <c r="K33" s="34">
        <v>44682</v>
      </c>
      <c r="L33" s="35">
        <f>AVERAGE(
SUMIFS(CPI_Data[Cereals and products],CPI_Data[Sector],L$32,CPI_Data[Date],$K33),
SUMIFS(CPI_Data[Meat and fish],CPI_Data[Sector],L$32,CPI_Data[Date],$K33),
SUMIFS(CPI_Data[Egg],CPI_Data[Sector],L$32,CPI_Data[Date],$K33),
SUMIFS(CPI_Data[Milk and products],CPI_Data[Sector],L$32,CPI_Data[Date],$K33),
SUMIFS(CPI_Data[Oils and fats],CPI_Data[Sector],L$32,CPI_Data[Date],$K33),
SUMIFS(CPI_Data[Fruits],CPI_Data[Sector],L$32,CPI_Data[Date],$K33),
SUMIFS(CPI_Data[Vegetables],CPI_Data[Sector],L$32,CPI_Data[Date],$K33),
SUMIFS(CPI_Data[Pulses and products],CPI_Data[Sector],L$32,CPI_Data[Date],$K33),
SUMIFS(CPI_Data[Sugar and Confectionery],CPI_Data[Sector],L$32,CPI_Data[Date],$K33),
SUMIFS(CPI_Data[Spices],CPI_Data[Sector],L$32,CPI_Data[Date],$K33),
SUMIFS(CPI_Data[Non-alcoholic beverages],CPI_Data[Sector],L$32,CPI_Data[Date],$K33),
SUMIFS(CPI_Data[Prepared meals, snacks, sweets etc.],CPI_Data[Sector],L$32,CPI_Data[Date],$K33)
)</f>
        <v>171.33333333333334</v>
      </c>
      <c r="M33" s="35"/>
      <c r="N33" s="35">
        <f>AVERAGE(
SUMIFS(CPI_Data[Cereals and products],CPI_Data[Sector],N$32,CPI_Data[Date],$K33),
SUMIFS(CPI_Data[Meat and fish],CPI_Data[Sector],N$32,CPI_Data[Date],$K33),
SUMIFS(CPI_Data[Egg],CPI_Data[Sector],N$32,CPI_Data[Date],$K33),
SUMIFS(CPI_Data[Milk and products],CPI_Data[Sector],N$32,CPI_Data[Date],$K33),
SUMIFS(CPI_Data[Oils and fats],CPI_Data[Sector],N$32,CPI_Data[Date],$K33),
SUMIFS(CPI_Data[Fruits],CPI_Data[Sector],N$32,CPI_Data[Date],$K33),
SUMIFS(CPI_Data[Vegetables],CPI_Data[Sector],N$32,CPI_Data[Date],$K33),
SUMIFS(CPI_Data[Pulses and products],CPI_Data[Sector],N$32,CPI_Data[Date],$K33),
SUMIFS(CPI_Data[Sugar and Confectionery],CPI_Data[Sector],N$32,CPI_Data[Date],$K33),
SUMIFS(CPI_Data[Spices],CPI_Data[Sector],N$32,CPI_Data[Date],$K33),
SUMIFS(CPI_Data[Non-alcoholic beverages],CPI_Data[Sector],N$32,CPI_Data[Date],$K33),
SUMIFS(CPI_Data[Prepared meals, snacks, sweets etc.],CPI_Data[Sector],N$32,CPI_Data[Date],$K33)
)</f>
        <v>173.72500000000002</v>
      </c>
      <c r="O33" s="35"/>
      <c r="P33" s="35">
        <f>AVERAGE(
SUMIFS(CPI_Data[Cereals and products],CPI_Data[Sector],P$32,CPI_Data[Date],$K33),
SUMIFS(CPI_Data[Meat and fish],CPI_Data[Sector],P$32,CPI_Data[Date],$K33),
SUMIFS(CPI_Data[Egg],CPI_Data[Sector],P$32,CPI_Data[Date],$K33),
SUMIFS(CPI_Data[Milk and products],CPI_Data[Sector],P$32,CPI_Data[Date],$K33),
SUMIFS(CPI_Data[Oils and fats],CPI_Data[Sector],P$32,CPI_Data[Date],$K33),
SUMIFS(CPI_Data[Fruits],CPI_Data[Sector],P$32,CPI_Data[Date],$K33),
SUMIFS(CPI_Data[Vegetables],CPI_Data[Sector],P$32,CPI_Data[Date],$K33),
SUMIFS(CPI_Data[Pulses and products],CPI_Data[Sector],P$32,CPI_Data[Date],$K33),
SUMIFS(CPI_Data[Sugar and Confectionery],CPI_Data[Sector],P$32,CPI_Data[Date],$K33),
SUMIFS(CPI_Data[Spices],CPI_Data[Sector],P$32,CPI_Data[Date],$K33),
SUMIFS(CPI_Data[Non-alcoholic beverages],CPI_Data[Sector],P$32,CPI_Data[Date],$K33),
SUMIFS(CPI_Data[Prepared meals, snacks, sweets etc.],CPI_Data[Sector],P$32,CPI_Data[Date],$K33)
)</f>
        <v>172.13333333333335</v>
      </c>
      <c r="Q33" s="36"/>
    </row>
    <row r="34" spans="11:17" x14ac:dyDescent="0.3">
      <c r="K34" s="34">
        <v>44713</v>
      </c>
      <c r="L34" s="35">
        <f>AVERAGE(
SUMIFS(CPI_Data[Cereals and products],CPI_Data[Sector],L$32,CPI_Data[Date],$K34),
SUMIFS(CPI_Data[Meat and fish],CPI_Data[Sector],L$32,CPI_Data[Date],$K34),
SUMIFS(CPI_Data[Egg],CPI_Data[Sector],L$32,CPI_Data[Date],$K34),
SUMIFS(CPI_Data[Milk and products],CPI_Data[Sector],L$32,CPI_Data[Date],$K34),
SUMIFS(CPI_Data[Oils and fats],CPI_Data[Sector],L$32,CPI_Data[Date],$K34),
SUMIFS(CPI_Data[Fruits],CPI_Data[Sector],L$32,CPI_Data[Date],$K34),
SUMIFS(CPI_Data[Vegetables],CPI_Data[Sector],L$32,CPI_Data[Date],$K34),
SUMIFS(CPI_Data[Pulses and products],CPI_Data[Sector],L$32,CPI_Data[Date],$K34),
SUMIFS(CPI_Data[Sugar and Confectionery],CPI_Data[Sector],L$32,CPI_Data[Date],$K34),
SUMIFS(CPI_Data[Spices],CPI_Data[Sector],L$32,CPI_Data[Date],$K34),
SUMIFS(CPI_Data[Non-alcoholic beverages],CPI_Data[Sector],L$32,CPI_Data[Date],$K34),
SUMIFS(CPI_Data[Prepared meals, snacks, sweets etc.],CPI_Data[Sector],L$32,CPI_Data[Date],$K34)
)</f>
        <v>172.99166666666667</v>
      </c>
      <c r="M34" s="37">
        <f t="shared" ref="M34:M45" si="0">(L34-L33)/L33</f>
        <v>9.6789883268482372E-3</v>
      </c>
      <c r="N34" s="35">
        <f>AVERAGE(
SUMIFS(CPI_Data[Cereals and products],CPI_Data[Sector],N$32,CPI_Data[Date],$K34),
SUMIFS(CPI_Data[Meat and fish],CPI_Data[Sector],N$32,CPI_Data[Date],$K34),
SUMIFS(CPI_Data[Egg],CPI_Data[Sector],N$32,CPI_Data[Date],$K34),
SUMIFS(CPI_Data[Milk and products],CPI_Data[Sector],N$32,CPI_Data[Date],$K34),
SUMIFS(CPI_Data[Oils and fats],CPI_Data[Sector],N$32,CPI_Data[Date],$K34),
SUMIFS(CPI_Data[Fruits],CPI_Data[Sector],N$32,CPI_Data[Date],$K34),
SUMIFS(CPI_Data[Vegetables],CPI_Data[Sector],N$32,CPI_Data[Date],$K34),
SUMIFS(CPI_Data[Pulses and products],CPI_Data[Sector],N$32,CPI_Data[Date],$K34),
SUMIFS(CPI_Data[Sugar and Confectionery],CPI_Data[Sector],N$32,CPI_Data[Date],$K34),
SUMIFS(CPI_Data[Spices],CPI_Data[Sector],N$32,CPI_Data[Date],$K34),
SUMIFS(CPI_Data[Non-alcoholic beverages],CPI_Data[Sector],N$32,CPI_Data[Date],$K34),
SUMIFS(CPI_Data[Prepared meals, snacks, sweets etc.],CPI_Data[Sector],N$32,CPI_Data[Date],$K34)
)</f>
        <v>175.68333333333331</v>
      </c>
      <c r="O34" s="37">
        <f t="shared" ref="O34:O45" si="1">(N34-N33)/N33</f>
        <v>1.1272605171007545E-2</v>
      </c>
      <c r="P34" s="35">
        <f>AVERAGE(
SUMIFS(CPI_Data[Cereals and products],CPI_Data[Sector],P$32,CPI_Data[Date],$K34),
SUMIFS(CPI_Data[Meat and fish],CPI_Data[Sector],P$32,CPI_Data[Date],$K34),
SUMIFS(CPI_Data[Egg],CPI_Data[Sector],P$32,CPI_Data[Date],$K34),
SUMIFS(CPI_Data[Milk and products],CPI_Data[Sector],P$32,CPI_Data[Date],$K34),
SUMIFS(CPI_Data[Oils and fats],CPI_Data[Sector],P$32,CPI_Data[Date],$K34),
SUMIFS(CPI_Data[Fruits],CPI_Data[Sector],P$32,CPI_Data[Date],$K34),
SUMIFS(CPI_Data[Vegetables],CPI_Data[Sector],P$32,CPI_Data[Date],$K34),
SUMIFS(CPI_Data[Pulses and products],CPI_Data[Sector],P$32,CPI_Data[Date],$K34),
SUMIFS(CPI_Data[Sugar and Confectionery],CPI_Data[Sector],P$32,CPI_Data[Date],$K34),
SUMIFS(CPI_Data[Spices],CPI_Data[Sector],P$32,CPI_Data[Date],$K34),
SUMIFS(CPI_Data[Non-alcoholic beverages],CPI_Data[Sector],P$32,CPI_Data[Date],$K34),
SUMIFS(CPI_Data[Prepared meals, snacks, sweets etc.],CPI_Data[Sector],P$32,CPI_Data[Date],$K34)
)</f>
        <v>173.91666666666666</v>
      </c>
      <c r="Q34" s="38">
        <f t="shared" ref="Q34:Q45" si="2">(P34-P33)/P33</f>
        <v>1.0360185902401063E-2</v>
      </c>
    </row>
    <row r="35" spans="11:17" x14ac:dyDescent="0.3">
      <c r="K35" s="34">
        <v>44743</v>
      </c>
      <c r="L35" s="35">
        <f>AVERAGE(
SUMIFS(CPI_Data[Cereals and products],CPI_Data[Sector],L$32,CPI_Data[Date],$K35),
SUMIFS(CPI_Data[Meat and fish],CPI_Data[Sector],L$32,CPI_Data[Date],$K35),
SUMIFS(CPI_Data[Egg],CPI_Data[Sector],L$32,CPI_Data[Date],$K35),
SUMIFS(CPI_Data[Milk and products],CPI_Data[Sector],L$32,CPI_Data[Date],$K35),
SUMIFS(CPI_Data[Oils and fats],CPI_Data[Sector],L$32,CPI_Data[Date],$K35),
SUMIFS(CPI_Data[Fruits],CPI_Data[Sector],L$32,CPI_Data[Date],$K35),
SUMIFS(CPI_Data[Vegetables],CPI_Data[Sector],L$32,CPI_Data[Date],$K35),
SUMIFS(CPI_Data[Pulses and products],CPI_Data[Sector],L$32,CPI_Data[Date],$K35),
SUMIFS(CPI_Data[Sugar and Confectionery],CPI_Data[Sector],L$32,CPI_Data[Date],$K35),
SUMIFS(CPI_Data[Spices],CPI_Data[Sector],L$32,CPI_Data[Date],$K35),
SUMIFS(CPI_Data[Non-alcoholic beverages],CPI_Data[Sector],L$32,CPI_Data[Date],$K35),
SUMIFS(CPI_Data[Prepared meals, snacks, sweets etc.],CPI_Data[Sector],L$32,CPI_Data[Date],$K35)
)</f>
        <v>173.33333333333334</v>
      </c>
      <c r="M35" s="37">
        <f t="shared" si="0"/>
        <v>1.9750469675803373E-3</v>
      </c>
      <c r="N35" s="35">
        <f>AVERAGE(
SUMIFS(CPI_Data[Cereals and products],CPI_Data[Sector],N$32,CPI_Data[Date],$K35),
SUMIFS(CPI_Data[Meat and fish],CPI_Data[Sector],N$32,CPI_Data[Date],$K35),
SUMIFS(CPI_Data[Egg],CPI_Data[Sector],N$32,CPI_Data[Date],$K35),
SUMIFS(CPI_Data[Milk and products],CPI_Data[Sector],N$32,CPI_Data[Date],$K35),
SUMIFS(CPI_Data[Oils and fats],CPI_Data[Sector],N$32,CPI_Data[Date],$K35),
SUMIFS(CPI_Data[Fruits],CPI_Data[Sector],N$32,CPI_Data[Date],$K35),
SUMIFS(CPI_Data[Vegetables],CPI_Data[Sector],N$32,CPI_Data[Date],$K35),
SUMIFS(CPI_Data[Pulses and products],CPI_Data[Sector],N$32,CPI_Data[Date],$K35),
SUMIFS(CPI_Data[Sugar and Confectionery],CPI_Data[Sector],N$32,CPI_Data[Date],$K35),
SUMIFS(CPI_Data[Spices],CPI_Data[Sector],N$32,CPI_Data[Date],$K35),
SUMIFS(CPI_Data[Non-alcoholic beverages],CPI_Data[Sector],N$32,CPI_Data[Date],$K35),
SUMIFS(CPI_Data[Prepared meals, snacks, sweets etc.],CPI_Data[Sector],N$32,CPI_Data[Date],$K35)
)</f>
        <v>176.01666666666665</v>
      </c>
      <c r="O35" s="37">
        <f t="shared" si="1"/>
        <v>1.8973531922968003E-3</v>
      </c>
      <c r="P35" s="35">
        <f>AVERAGE(
SUMIFS(CPI_Data[Cereals and products],CPI_Data[Sector],P$32,CPI_Data[Date],$K35),
SUMIFS(CPI_Data[Meat and fish],CPI_Data[Sector],P$32,CPI_Data[Date],$K35),
SUMIFS(CPI_Data[Egg],CPI_Data[Sector],P$32,CPI_Data[Date],$K35),
SUMIFS(CPI_Data[Milk and products],CPI_Data[Sector],P$32,CPI_Data[Date],$K35),
SUMIFS(CPI_Data[Oils and fats],CPI_Data[Sector],P$32,CPI_Data[Date],$K35),
SUMIFS(CPI_Data[Fruits],CPI_Data[Sector],P$32,CPI_Data[Date],$K35),
SUMIFS(CPI_Data[Vegetables],CPI_Data[Sector],P$32,CPI_Data[Date],$K35),
SUMIFS(CPI_Data[Pulses and products],CPI_Data[Sector],P$32,CPI_Data[Date],$K35),
SUMIFS(CPI_Data[Sugar and Confectionery],CPI_Data[Sector],P$32,CPI_Data[Date],$K35),
SUMIFS(CPI_Data[Spices],CPI_Data[Sector],P$32,CPI_Data[Date],$K35),
SUMIFS(CPI_Data[Non-alcoholic beverages],CPI_Data[Sector],P$32,CPI_Data[Date],$K35),
SUMIFS(CPI_Data[Prepared meals, snacks, sweets etc.],CPI_Data[Sector],P$32,CPI_Data[Date],$K35)
)</f>
        <v>174.27500000000001</v>
      </c>
      <c r="Q35" s="38">
        <f t="shared" si="2"/>
        <v>2.0603737422137912E-3</v>
      </c>
    </row>
    <row r="36" spans="11:17" x14ac:dyDescent="0.3">
      <c r="K36" s="34">
        <v>44774</v>
      </c>
      <c r="L36" s="35">
        <f>AVERAGE(
SUMIFS(CPI_Data[Cereals and products],CPI_Data[Sector],L$32,CPI_Data[Date],$K36),
SUMIFS(CPI_Data[Meat and fish],CPI_Data[Sector],L$32,CPI_Data[Date],$K36),
SUMIFS(CPI_Data[Egg],CPI_Data[Sector],L$32,CPI_Data[Date],$K36),
SUMIFS(CPI_Data[Milk and products],CPI_Data[Sector],L$32,CPI_Data[Date],$K36),
SUMIFS(CPI_Data[Oils and fats],CPI_Data[Sector],L$32,CPI_Data[Date],$K36),
SUMIFS(CPI_Data[Fruits],CPI_Data[Sector],L$32,CPI_Data[Date],$K36),
SUMIFS(CPI_Data[Vegetables],CPI_Data[Sector],L$32,CPI_Data[Date],$K36),
SUMIFS(CPI_Data[Pulses and products],CPI_Data[Sector],L$32,CPI_Data[Date],$K36),
SUMIFS(CPI_Data[Sugar and Confectionery],CPI_Data[Sector],L$32,CPI_Data[Date],$K36),
SUMIFS(CPI_Data[Spices],CPI_Data[Sector],L$32,CPI_Data[Date],$K36),
SUMIFS(CPI_Data[Non-alcoholic beverages],CPI_Data[Sector],L$32,CPI_Data[Date],$K36),
SUMIFS(CPI_Data[Prepared meals, snacks, sweets etc.],CPI_Data[Sector],L$32,CPI_Data[Date],$K36)
)</f>
        <v>173.49166666666665</v>
      </c>
      <c r="M36" s="37">
        <f t="shared" si="0"/>
        <v>9.1346153846136346E-4</v>
      </c>
      <c r="N36" s="35">
        <f>AVERAGE(
SUMIFS(CPI_Data[Cereals and products],CPI_Data[Sector],N$32,CPI_Data[Date],$K36),
SUMIFS(CPI_Data[Meat and fish],CPI_Data[Sector],N$32,CPI_Data[Date],$K36),
SUMIFS(CPI_Data[Egg],CPI_Data[Sector],N$32,CPI_Data[Date],$K36),
SUMIFS(CPI_Data[Milk and products],CPI_Data[Sector],N$32,CPI_Data[Date],$K36),
SUMIFS(CPI_Data[Oils and fats],CPI_Data[Sector],N$32,CPI_Data[Date],$K36),
SUMIFS(CPI_Data[Fruits],CPI_Data[Sector],N$32,CPI_Data[Date],$K36),
SUMIFS(CPI_Data[Vegetables],CPI_Data[Sector],N$32,CPI_Data[Date],$K36),
SUMIFS(CPI_Data[Pulses and products],CPI_Data[Sector],N$32,CPI_Data[Date],$K36),
SUMIFS(CPI_Data[Sugar and Confectionery],CPI_Data[Sector],N$32,CPI_Data[Date],$K36),
SUMIFS(CPI_Data[Spices],CPI_Data[Sector],N$32,CPI_Data[Date],$K36),
SUMIFS(CPI_Data[Non-alcoholic beverages],CPI_Data[Sector],N$32,CPI_Data[Date],$K36),
SUMIFS(CPI_Data[Prepared meals, snacks, sweets etc.],CPI_Data[Sector],N$32,CPI_Data[Date],$K36)
)</f>
        <v>176.10833333333332</v>
      </c>
      <c r="O36" s="37">
        <f t="shared" si="1"/>
        <v>5.2078401666509936E-4</v>
      </c>
      <c r="P36" s="35">
        <f>AVERAGE(
SUMIFS(CPI_Data[Cereals and products],CPI_Data[Sector],P$32,CPI_Data[Date],$K36),
SUMIFS(CPI_Data[Meat and fish],CPI_Data[Sector],P$32,CPI_Data[Date],$K36),
SUMIFS(CPI_Data[Egg],CPI_Data[Sector],P$32,CPI_Data[Date],$K36),
SUMIFS(CPI_Data[Milk and products],CPI_Data[Sector],P$32,CPI_Data[Date],$K36),
SUMIFS(CPI_Data[Oils and fats],CPI_Data[Sector],P$32,CPI_Data[Date],$K36),
SUMIFS(CPI_Data[Fruits],CPI_Data[Sector],P$32,CPI_Data[Date],$K36),
SUMIFS(CPI_Data[Vegetables],CPI_Data[Sector],P$32,CPI_Data[Date],$K36),
SUMIFS(CPI_Data[Pulses and products],CPI_Data[Sector],P$32,CPI_Data[Date],$K36),
SUMIFS(CPI_Data[Sugar and Confectionery],CPI_Data[Sector],P$32,CPI_Data[Date],$K36),
SUMIFS(CPI_Data[Spices],CPI_Data[Sector],P$32,CPI_Data[Date],$K36),
SUMIFS(CPI_Data[Non-alcoholic beverages],CPI_Data[Sector],P$32,CPI_Data[Date],$K36),
SUMIFS(CPI_Data[Prepared meals, snacks, sweets etc.],CPI_Data[Sector],P$32,CPI_Data[Date],$K36)
)</f>
        <v>174.40833333333333</v>
      </c>
      <c r="Q36" s="38">
        <f t="shared" si="2"/>
        <v>7.6507435566389756E-4</v>
      </c>
    </row>
    <row r="37" spans="11:17" x14ac:dyDescent="0.3">
      <c r="K37" s="34">
        <v>44805</v>
      </c>
      <c r="L37" s="35">
        <f>AVERAGE(
SUMIFS(CPI_Data[Cereals and products],CPI_Data[Sector],L$32,CPI_Data[Date],$K37),
SUMIFS(CPI_Data[Meat and fish],CPI_Data[Sector],L$32,CPI_Data[Date],$K37),
SUMIFS(CPI_Data[Egg],CPI_Data[Sector],L$32,CPI_Data[Date],$K37),
SUMIFS(CPI_Data[Milk and products],CPI_Data[Sector],L$32,CPI_Data[Date],$K37),
SUMIFS(CPI_Data[Oils and fats],CPI_Data[Sector],L$32,CPI_Data[Date],$K37),
SUMIFS(CPI_Data[Fruits],CPI_Data[Sector],L$32,CPI_Data[Date],$K37),
SUMIFS(CPI_Data[Vegetables],CPI_Data[Sector],L$32,CPI_Data[Date],$K37),
SUMIFS(CPI_Data[Pulses and products],CPI_Data[Sector],L$32,CPI_Data[Date],$K37),
SUMIFS(CPI_Data[Sugar and Confectionery],CPI_Data[Sector],L$32,CPI_Data[Date],$K37),
SUMIFS(CPI_Data[Spices],CPI_Data[Sector],L$32,CPI_Data[Date],$K37),
SUMIFS(CPI_Data[Non-alcoholic beverages],CPI_Data[Sector],L$32,CPI_Data[Date],$K37),
SUMIFS(CPI_Data[Prepared meals, snacks, sweets etc.],CPI_Data[Sector],L$32,CPI_Data[Date],$K37)
)</f>
        <v>174.35833333333335</v>
      </c>
      <c r="M37" s="37">
        <f t="shared" si="0"/>
        <v>4.995436860560273E-3</v>
      </c>
      <c r="N37" s="35">
        <f>AVERAGE(
SUMIFS(CPI_Data[Cereals and products],CPI_Data[Sector],N$32,CPI_Data[Date],$K37),
SUMIFS(CPI_Data[Meat and fish],CPI_Data[Sector],N$32,CPI_Data[Date],$K37),
SUMIFS(CPI_Data[Egg],CPI_Data[Sector],N$32,CPI_Data[Date],$K37),
SUMIFS(CPI_Data[Milk and products],CPI_Data[Sector],N$32,CPI_Data[Date],$K37),
SUMIFS(CPI_Data[Oils and fats],CPI_Data[Sector],N$32,CPI_Data[Date],$K37),
SUMIFS(CPI_Data[Fruits],CPI_Data[Sector],N$32,CPI_Data[Date],$K37),
SUMIFS(CPI_Data[Vegetables],CPI_Data[Sector],N$32,CPI_Data[Date],$K37),
SUMIFS(CPI_Data[Pulses and products],CPI_Data[Sector],N$32,CPI_Data[Date],$K37),
SUMIFS(CPI_Data[Sugar and Confectionery],CPI_Data[Sector],N$32,CPI_Data[Date],$K37),
SUMIFS(CPI_Data[Spices],CPI_Data[Sector],N$32,CPI_Data[Date],$K37),
SUMIFS(CPI_Data[Non-alcoholic beverages],CPI_Data[Sector],N$32,CPI_Data[Date],$K37),
SUMIFS(CPI_Data[Prepared meals, snacks, sweets etc.],CPI_Data[Sector],N$32,CPI_Data[Date],$K37)
)</f>
        <v>177.04999999999998</v>
      </c>
      <c r="O37" s="37">
        <f t="shared" si="1"/>
        <v>5.3470874934935667E-3</v>
      </c>
      <c r="P37" s="35">
        <f>AVERAGE(
SUMIFS(CPI_Data[Cereals and products],CPI_Data[Sector],P$32,CPI_Data[Date],$K37),
SUMIFS(CPI_Data[Meat and fish],CPI_Data[Sector],P$32,CPI_Data[Date],$K37),
SUMIFS(CPI_Data[Egg],CPI_Data[Sector],P$32,CPI_Data[Date],$K37),
SUMIFS(CPI_Data[Milk and products],CPI_Data[Sector],P$32,CPI_Data[Date],$K37),
SUMIFS(CPI_Data[Oils and fats],CPI_Data[Sector],P$32,CPI_Data[Date],$K37),
SUMIFS(CPI_Data[Fruits],CPI_Data[Sector],P$32,CPI_Data[Date],$K37),
SUMIFS(CPI_Data[Vegetables],CPI_Data[Sector],P$32,CPI_Data[Date],$K37),
SUMIFS(CPI_Data[Pulses and products],CPI_Data[Sector],P$32,CPI_Data[Date],$K37),
SUMIFS(CPI_Data[Sugar and Confectionery],CPI_Data[Sector],P$32,CPI_Data[Date],$K37),
SUMIFS(CPI_Data[Spices],CPI_Data[Sector],P$32,CPI_Data[Date],$K37),
SUMIFS(CPI_Data[Non-alcoholic beverages],CPI_Data[Sector],P$32,CPI_Data[Date],$K37),
SUMIFS(CPI_Data[Prepared meals, snacks, sweets etc.],CPI_Data[Sector],P$32,CPI_Data[Date],$K37)
)</f>
        <v>175.25833333333333</v>
      </c>
      <c r="Q37" s="38">
        <f t="shared" si="2"/>
        <v>4.8736203354197202E-3</v>
      </c>
    </row>
    <row r="38" spans="11:17" x14ac:dyDescent="0.3">
      <c r="K38" s="34">
        <v>44835</v>
      </c>
      <c r="L38" s="35">
        <f>AVERAGE(
SUMIFS(CPI_Data[Cereals and products],CPI_Data[Sector],L$32,CPI_Data[Date],$K38),
SUMIFS(CPI_Data[Meat and fish],CPI_Data[Sector],L$32,CPI_Data[Date],$K38),
SUMIFS(CPI_Data[Egg],CPI_Data[Sector],L$32,CPI_Data[Date],$K38),
SUMIFS(CPI_Data[Milk and products],CPI_Data[Sector],L$32,CPI_Data[Date],$K38),
SUMIFS(CPI_Data[Oils and fats],CPI_Data[Sector],L$32,CPI_Data[Date],$K38),
SUMIFS(CPI_Data[Fruits],CPI_Data[Sector],L$32,CPI_Data[Date],$K38),
SUMIFS(CPI_Data[Vegetables],CPI_Data[Sector],L$32,CPI_Data[Date],$K38),
SUMIFS(CPI_Data[Pulses and products],CPI_Data[Sector],L$32,CPI_Data[Date],$K38),
SUMIFS(CPI_Data[Sugar and Confectionery],CPI_Data[Sector],L$32,CPI_Data[Date],$K38),
SUMIFS(CPI_Data[Spices],CPI_Data[Sector],L$32,CPI_Data[Date],$K38),
SUMIFS(CPI_Data[Non-alcoholic beverages],CPI_Data[Sector],L$32,CPI_Data[Date],$K38),
SUMIFS(CPI_Data[Prepared meals, snacks, sweets etc.],CPI_Data[Sector],L$32,CPI_Data[Date],$K38)
)</f>
        <v>175.59166666666667</v>
      </c>
      <c r="M38" s="37">
        <f t="shared" si="0"/>
        <v>7.0735554174830755E-3</v>
      </c>
      <c r="N38" s="35">
        <f>AVERAGE(
SUMIFS(CPI_Data[Cereals and products],CPI_Data[Sector],N$32,CPI_Data[Date],$K38),
SUMIFS(CPI_Data[Meat and fish],CPI_Data[Sector],N$32,CPI_Data[Date],$K38),
SUMIFS(CPI_Data[Egg],CPI_Data[Sector],N$32,CPI_Data[Date],$K38),
SUMIFS(CPI_Data[Milk and products],CPI_Data[Sector],N$32,CPI_Data[Date],$K38),
SUMIFS(CPI_Data[Oils and fats],CPI_Data[Sector],N$32,CPI_Data[Date],$K38),
SUMIFS(CPI_Data[Fruits],CPI_Data[Sector],N$32,CPI_Data[Date],$K38),
SUMIFS(CPI_Data[Vegetables],CPI_Data[Sector],N$32,CPI_Data[Date],$K38),
SUMIFS(CPI_Data[Pulses and products],CPI_Data[Sector],N$32,CPI_Data[Date],$K38),
SUMIFS(CPI_Data[Sugar and Confectionery],CPI_Data[Sector],N$32,CPI_Data[Date],$K38),
SUMIFS(CPI_Data[Spices],CPI_Data[Sector],N$32,CPI_Data[Date],$K38),
SUMIFS(CPI_Data[Non-alcoholic beverages],CPI_Data[Sector],N$32,CPI_Data[Date],$K38),
SUMIFS(CPI_Data[Prepared meals, snacks, sweets etc.],CPI_Data[Sector],N$32,CPI_Data[Date],$K38)
)</f>
        <v>178.25</v>
      </c>
      <c r="O38" s="37">
        <f t="shared" si="1"/>
        <v>6.777746399322322E-3</v>
      </c>
      <c r="P38" s="35">
        <f>AVERAGE(
SUMIFS(CPI_Data[Cereals and products],CPI_Data[Sector],P$32,CPI_Data[Date],$K38),
SUMIFS(CPI_Data[Meat and fish],CPI_Data[Sector],P$32,CPI_Data[Date],$K38),
SUMIFS(CPI_Data[Egg],CPI_Data[Sector],P$32,CPI_Data[Date],$K38),
SUMIFS(CPI_Data[Milk and products],CPI_Data[Sector],P$32,CPI_Data[Date],$K38),
SUMIFS(CPI_Data[Oils and fats],CPI_Data[Sector],P$32,CPI_Data[Date],$K38),
SUMIFS(CPI_Data[Fruits],CPI_Data[Sector],P$32,CPI_Data[Date],$K38),
SUMIFS(CPI_Data[Vegetables],CPI_Data[Sector],P$32,CPI_Data[Date],$K38),
SUMIFS(CPI_Data[Pulses and products],CPI_Data[Sector],P$32,CPI_Data[Date],$K38),
SUMIFS(CPI_Data[Sugar and Confectionery],CPI_Data[Sector],P$32,CPI_Data[Date],$K38),
SUMIFS(CPI_Data[Spices],CPI_Data[Sector],P$32,CPI_Data[Date],$K38),
SUMIFS(CPI_Data[Non-alcoholic beverages],CPI_Data[Sector],P$32,CPI_Data[Date],$K38),
SUMIFS(CPI_Data[Prepared meals, snacks, sweets etc.],CPI_Data[Sector],P$32,CPI_Data[Date],$K38)
)</f>
        <v>176.47500000000002</v>
      </c>
      <c r="Q38" s="38">
        <f t="shared" si="2"/>
        <v>6.9421330417005203E-3</v>
      </c>
    </row>
    <row r="39" spans="11:17" x14ac:dyDescent="0.3">
      <c r="K39" s="34">
        <v>44866</v>
      </c>
      <c r="L39" s="35">
        <f>AVERAGE(
SUMIFS(CPI_Data[Cereals and products],CPI_Data[Sector],L$32,CPI_Data[Date],$K39),
SUMIFS(CPI_Data[Meat and fish],CPI_Data[Sector],L$32,CPI_Data[Date],$K39),
SUMIFS(CPI_Data[Egg],CPI_Data[Sector],L$32,CPI_Data[Date],$K39),
SUMIFS(CPI_Data[Milk and products],CPI_Data[Sector],L$32,CPI_Data[Date],$K39),
SUMIFS(CPI_Data[Oils and fats],CPI_Data[Sector],L$32,CPI_Data[Date],$K39),
SUMIFS(CPI_Data[Fruits],CPI_Data[Sector],L$32,CPI_Data[Date],$K39),
SUMIFS(CPI_Data[Vegetables],CPI_Data[Sector],L$32,CPI_Data[Date],$K39),
SUMIFS(CPI_Data[Pulses and products],CPI_Data[Sector],L$32,CPI_Data[Date],$K39),
SUMIFS(CPI_Data[Sugar and Confectionery],CPI_Data[Sector],L$32,CPI_Data[Date],$K39),
SUMIFS(CPI_Data[Spices],CPI_Data[Sector],L$32,CPI_Data[Date],$K39),
SUMIFS(CPI_Data[Non-alcoholic beverages],CPI_Data[Sector],L$32,CPI_Data[Date],$K39),
SUMIFS(CPI_Data[Prepared meals, snacks, sweets etc.],CPI_Data[Sector],L$32,CPI_Data[Date],$K39)
)</f>
        <v>175.92499999999998</v>
      </c>
      <c r="M39" s="37">
        <f t="shared" si="0"/>
        <v>1.8983436951258946E-3</v>
      </c>
      <c r="N39" s="35">
        <f>AVERAGE(
SUMIFS(CPI_Data[Cereals and products],CPI_Data[Sector],N$32,CPI_Data[Date],$K39),
SUMIFS(CPI_Data[Meat and fish],CPI_Data[Sector],N$32,CPI_Data[Date],$K39),
SUMIFS(CPI_Data[Egg],CPI_Data[Sector],N$32,CPI_Data[Date],$K39),
SUMIFS(CPI_Data[Milk and products],CPI_Data[Sector],N$32,CPI_Data[Date],$K39),
SUMIFS(CPI_Data[Oils and fats],CPI_Data[Sector],N$32,CPI_Data[Date],$K39),
SUMIFS(CPI_Data[Fruits],CPI_Data[Sector],N$32,CPI_Data[Date],$K39),
SUMIFS(CPI_Data[Vegetables],CPI_Data[Sector],N$32,CPI_Data[Date],$K39),
SUMIFS(CPI_Data[Pulses and products],CPI_Data[Sector],N$32,CPI_Data[Date],$K39),
SUMIFS(CPI_Data[Sugar and Confectionery],CPI_Data[Sector],N$32,CPI_Data[Date],$K39),
SUMIFS(CPI_Data[Spices],CPI_Data[Sector],N$32,CPI_Data[Date],$K39),
SUMIFS(CPI_Data[Non-alcoholic beverages],CPI_Data[Sector],N$32,CPI_Data[Date],$K39),
SUMIFS(CPI_Data[Prepared meals, snacks, sweets etc.],CPI_Data[Sector],N$32,CPI_Data[Date],$K39)
)</f>
        <v>177.75833333333333</v>
      </c>
      <c r="O39" s="37">
        <f t="shared" si="1"/>
        <v>-2.7582982702197712E-3</v>
      </c>
      <c r="P39" s="35">
        <f>AVERAGE(
SUMIFS(CPI_Data[Cereals and products],CPI_Data[Sector],P$32,CPI_Data[Date],$K39),
SUMIFS(CPI_Data[Meat and fish],CPI_Data[Sector],P$32,CPI_Data[Date],$K39),
SUMIFS(CPI_Data[Egg],CPI_Data[Sector],P$32,CPI_Data[Date],$K39),
SUMIFS(CPI_Data[Milk and products],CPI_Data[Sector],P$32,CPI_Data[Date],$K39),
SUMIFS(CPI_Data[Oils and fats],CPI_Data[Sector],P$32,CPI_Data[Date],$K39),
SUMIFS(CPI_Data[Fruits],CPI_Data[Sector],P$32,CPI_Data[Date],$K39),
SUMIFS(CPI_Data[Vegetables],CPI_Data[Sector],P$32,CPI_Data[Date],$K39),
SUMIFS(CPI_Data[Pulses and products],CPI_Data[Sector],P$32,CPI_Data[Date],$K39),
SUMIFS(CPI_Data[Sugar and Confectionery],CPI_Data[Sector],P$32,CPI_Data[Date],$K39),
SUMIFS(CPI_Data[Spices],CPI_Data[Sector],P$32,CPI_Data[Date],$K39),
SUMIFS(CPI_Data[Non-alcoholic beverages],CPI_Data[Sector],P$32,CPI_Data[Date],$K39),
SUMIFS(CPI_Data[Prepared meals, snacks, sweets etc.],CPI_Data[Sector],P$32,CPI_Data[Date],$K39)
)</f>
        <v>176.54166666666666</v>
      </c>
      <c r="Q39" s="38">
        <f t="shared" si="2"/>
        <v>3.7776833356925599E-4</v>
      </c>
    </row>
    <row r="40" spans="11:17" x14ac:dyDescent="0.3">
      <c r="K40" s="34">
        <v>44896</v>
      </c>
      <c r="L40" s="35">
        <f>AVERAGE(
SUMIFS(CPI_Data[Cereals and products],CPI_Data[Sector],L$32,CPI_Data[Date],$K40),
SUMIFS(CPI_Data[Meat and fish],CPI_Data[Sector],L$32,CPI_Data[Date],$K40),
SUMIFS(CPI_Data[Egg],CPI_Data[Sector],L$32,CPI_Data[Date],$K40),
SUMIFS(CPI_Data[Milk and products],CPI_Data[Sector],L$32,CPI_Data[Date],$K40),
SUMIFS(CPI_Data[Oils and fats],CPI_Data[Sector],L$32,CPI_Data[Date],$K40),
SUMIFS(CPI_Data[Fruits],CPI_Data[Sector],L$32,CPI_Data[Date],$K40),
SUMIFS(CPI_Data[Vegetables],CPI_Data[Sector],L$32,CPI_Data[Date],$K40),
SUMIFS(CPI_Data[Pulses and products],CPI_Data[Sector],L$32,CPI_Data[Date],$K40),
SUMIFS(CPI_Data[Sugar and Confectionery],CPI_Data[Sector],L$32,CPI_Data[Date],$K40),
SUMIFS(CPI_Data[Spices],CPI_Data[Sector],L$32,CPI_Data[Date],$K40),
SUMIFS(CPI_Data[Non-alcoholic beverages],CPI_Data[Sector],L$32,CPI_Data[Date],$K40),
SUMIFS(CPI_Data[Prepared meals, snacks, sweets etc.],CPI_Data[Sector],L$32,CPI_Data[Date],$K40)
)</f>
        <v>175.22499999999999</v>
      </c>
      <c r="M40" s="37">
        <f t="shared" si="0"/>
        <v>-3.9789683103594641E-3</v>
      </c>
      <c r="N40" s="35">
        <f>AVERAGE(
SUMIFS(CPI_Data[Cereals and products],CPI_Data[Sector],N$32,CPI_Data[Date],$K40),
SUMIFS(CPI_Data[Meat and fish],CPI_Data[Sector],N$32,CPI_Data[Date],$K40),
SUMIFS(CPI_Data[Egg],CPI_Data[Sector],N$32,CPI_Data[Date],$K40),
SUMIFS(CPI_Data[Milk and products],CPI_Data[Sector],N$32,CPI_Data[Date],$K40),
SUMIFS(CPI_Data[Oils and fats],CPI_Data[Sector],N$32,CPI_Data[Date],$K40),
SUMIFS(CPI_Data[Fruits],CPI_Data[Sector],N$32,CPI_Data[Date],$K40),
SUMIFS(CPI_Data[Vegetables],CPI_Data[Sector],N$32,CPI_Data[Date],$K40),
SUMIFS(CPI_Data[Pulses and products],CPI_Data[Sector],N$32,CPI_Data[Date],$K40),
SUMIFS(CPI_Data[Sugar and Confectionery],CPI_Data[Sector],N$32,CPI_Data[Date],$K40),
SUMIFS(CPI_Data[Spices],CPI_Data[Sector],N$32,CPI_Data[Date],$K40),
SUMIFS(CPI_Data[Non-alcoholic beverages],CPI_Data[Sector],N$32,CPI_Data[Date],$K40),
SUMIFS(CPI_Data[Prepared meals, snacks, sweets etc.],CPI_Data[Sector],N$32,CPI_Data[Date],$K40)
)</f>
        <v>176.43333333333331</v>
      </c>
      <c r="O40" s="37">
        <f t="shared" si="1"/>
        <v>-7.4539402747176436E-3</v>
      </c>
      <c r="P40" s="35">
        <f>AVERAGE(
SUMIFS(CPI_Data[Cereals and products],CPI_Data[Sector],P$32,CPI_Data[Date],$K40),
SUMIFS(CPI_Data[Meat and fish],CPI_Data[Sector],P$32,CPI_Data[Date],$K40),
SUMIFS(CPI_Data[Egg],CPI_Data[Sector],P$32,CPI_Data[Date],$K40),
SUMIFS(CPI_Data[Milk and products],CPI_Data[Sector],P$32,CPI_Data[Date],$K40),
SUMIFS(CPI_Data[Oils and fats],CPI_Data[Sector],P$32,CPI_Data[Date],$K40),
SUMIFS(CPI_Data[Fruits],CPI_Data[Sector],P$32,CPI_Data[Date],$K40),
SUMIFS(CPI_Data[Vegetables],CPI_Data[Sector],P$32,CPI_Data[Date],$K40),
SUMIFS(CPI_Data[Pulses and products],CPI_Data[Sector],P$32,CPI_Data[Date],$K40),
SUMIFS(CPI_Data[Sugar and Confectionery],CPI_Data[Sector],P$32,CPI_Data[Date],$K40),
SUMIFS(CPI_Data[Spices],CPI_Data[Sector],P$32,CPI_Data[Date],$K40),
SUMIFS(CPI_Data[Non-alcoholic beverages],CPI_Data[Sector],P$32,CPI_Data[Date],$K40),
SUMIFS(CPI_Data[Prepared meals, snacks, sweets etc.],CPI_Data[Sector],P$32,CPI_Data[Date],$K40)
)</f>
        <v>175.625</v>
      </c>
      <c r="Q40" s="38">
        <f t="shared" si="2"/>
        <v>-5.1923530800093874E-3</v>
      </c>
    </row>
    <row r="41" spans="11:17" x14ac:dyDescent="0.3">
      <c r="K41" s="34">
        <v>44927</v>
      </c>
      <c r="L41" s="35">
        <f>AVERAGE(
SUMIFS(CPI_Data[Cereals and products],CPI_Data[Sector],L$32,CPI_Data[Date],$K41),
SUMIFS(CPI_Data[Meat and fish],CPI_Data[Sector],L$32,CPI_Data[Date],$K41),
SUMIFS(CPI_Data[Egg],CPI_Data[Sector],L$32,CPI_Data[Date],$K41),
SUMIFS(CPI_Data[Milk and products],CPI_Data[Sector],L$32,CPI_Data[Date],$K41),
SUMIFS(CPI_Data[Oils and fats],CPI_Data[Sector],L$32,CPI_Data[Date],$K41),
SUMIFS(CPI_Data[Fruits],CPI_Data[Sector],L$32,CPI_Data[Date],$K41),
SUMIFS(CPI_Data[Vegetables],CPI_Data[Sector],L$32,CPI_Data[Date],$K41),
SUMIFS(CPI_Data[Pulses and products],CPI_Data[Sector],L$32,CPI_Data[Date],$K41),
SUMIFS(CPI_Data[Sugar and Confectionery],CPI_Data[Sector],L$32,CPI_Data[Date],$K41),
SUMIFS(CPI_Data[Spices],CPI_Data[Sector],L$32,CPI_Data[Date],$K41),
SUMIFS(CPI_Data[Non-alcoholic beverages],CPI_Data[Sector],L$32,CPI_Data[Date],$K41),
SUMIFS(CPI_Data[Prepared meals, snacks, sweets etc.],CPI_Data[Sector],L$32,CPI_Data[Date],$K41)
)</f>
        <v>175.68333333333337</v>
      </c>
      <c r="M41" s="37">
        <f t="shared" si="0"/>
        <v>2.6156845959958409E-3</v>
      </c>
      <c r="N41" s="35">
        <f>AVERAGE(
SUMIFS(CPI_Data[Cereals and products],CPI_Data[Sector],N$32,CPI_Data[Date],$K41),
SUMIFS(CPI_Data[Meat and fish],CPI_Data[Sector],N$32,CPI_Data[Date],$K41),
SUMIFS(CPI_Data[Egg],CPI_Data[Sector],N$32,CPI_Data[Date],$K41),
SUMIFS(CPI_Data[Milk and products],CPI_Data[Sector],N$32,CPI_Data[Date],$K41),
SUMIFS(CPI_Data[Oils and fats],CPI_Data[Sector],N$32,CPI_Data[Date],$K41),
SUMIFS(CPI_Data[Fruits],CPI_Data[Sector],N$32,CPI_Data[Date],$K41),
SUMIFS(CPI_Data[Vegetables],CPI_Data[Sector],N$32,CPI_Data[Date],$K41),
SUMIFS(CPI_Data[Pulses and products],CPI_Data[Sector],N$32,CPI_Data[Date],$K41),
SUMIFS(CPI_Data[Sugar and Confectionery],CPI_Data[Sector],N$32,CPI_Data[Date],$K41),
SUMIFS(CPI_Data[Spices],CPI_Data[Sector],N$32,CPI_Data[Date],$K41),
SUMIFS(CPI_Data[Non-alcoholic beverages],CPI_Data[Sector],N$32,CPI_Data[Date],$K41),
SUMIFS(CPI_Data[Prepared meals, snacks, sweets etc.],CPI_Data[Sector],N$32,CPI_Data[Date],$K41)
)</f>
        <v>177.55833333333337</v>
      </c>
      <c r="O41" s="37">
        <f t="shared" si="1"/>
        <v>6.3763461175140208E-3</v>
      </c>
      <c r="P41" s="35">
        <f>AVERAGE(
SUMIFS(CPI_Data[Cereals and products],CPI_Data[Sector],P$32,CPI_Data[Date],$K41),
SUMIFS(CPI_Data[Meat and fish],CPI_Data[Sector],P$32,CPI_Data[Date],$K41),
SUMIFS(CPI_Data[Egg],CPI_Data[Sector],P$32,CPI_Data[Date],$K41),
SUMIFS(CPI_Data[Milk and products],CPI_Data[Sector],P$32,CPI_Data[Date],$K41),
SUMIFS(CPI_Data[Oils and fats],CPI_Data[Sector],P$32,CPI_Data[Date],$K41),
SUMIFS(CPI_Data[Fruits],CPI_Data[Sector],P$32,CPI_Data[Date],$K41),
SUMIFS(CPI_Data[Vegetables],CPI_Data[Sector],P$32,CPI_Data[Date],$K41),
SUMIFS(CPI_Data[Pulses and products],CPI_Data[Sector],P$32,CPI_Data[Date],$K41),
SUMIFS(CPI_Data[Sugar and Confectionery],CPI_Data[Sector],P$32,CPI_Data[Date],$K41),
SUMIFS(CPI_Data[Spices],CPI_Data[Sector],P$32,CPI_Data[Date],$K41),
SUMIFS(CPI_Data[Non-alcoholic beverages],CPI_Data[Sector],P$32,CPI_Data[Date],$K41),
SUMIFS(CPI_Data[Prepared meals, snacks, sweets etc.],CPI_Data[Sector],P$32,CPI_Data[Date],$K41)
)</f>
        <v>176.33333333333334</v>
      </c>
      <c r="Q41" s="38">
        <f t="shared" si="2"/>
        <v>4.0332147093713466E-3</v>
      </c>
    </row>
    <row r="42" spans="11:17" x14ac:dyDescent="0.3">
      <c r="K42" s="34">
        <v>44958</v>
      </c>
      <c r="L42" s="35">
        <f>AVERAGE(
SUMIFS(CPI_Data[Cereals and products],CPI_Data[Sector],L$32,CPI_Data[Date],$K42),
SUMIFS(CPI_Data[Meat and fish],CPI_Data[Sector],L$32,CPI_Data[Date],$K42),
SUMIFS(CPI_Data[Egg],CPI_Data[Sector],L$32,CPI_Data[Date],$K42),
SUMIFS(CPI_Data[Milk and products],CPI_Data[Sector],L$32,CPI_Data[Date],$K42),
SUMIFS(CPI_Data[Oils and fats],CPI_Data[Sector],L$32,CPI_Data[Date],$K42),
SUMIFS(CPI_Data[Fruits],CPI_Data[Sector],L$32,CPI_Data[Date],$K42),
SUMIFS(CPI_Data[Vegetables],CPI_Data[Sector],L$32,CPI_Data[Date],$K42),
SUMIFS(CPI_Data[Pulses and products],CPI_Data[Sector],L$32,CPI_Data[Date],$K42),
SUMIFS(CPI_Data[Sugar and Confectionery],CPI_Data[Sector],L$32,CPI_Data[Date],$K42),
SUMIFS(CPI_Data[Spices],CPI_Data[Sector],L$32,CPI_Data[Date],$K42),
SUMIFS(CPI_Data[Non-alcoholic beverages],CPI_Data[Sector],L$32,CPI_Data[Date],$K42),
SUMIFS(CPI_Data[Prepared meals, snacks, sweets etc.],CPI_Data[Sector],L$32,CPI_Data[Date],$K42)
)</f>
        <v>174.24166666666665</v>
      </c>
      <c r="M42" s="37">
        <f t="shared" si="0"/>
        <v>-8.206052556683727E-3</v>
      </c>
      <c r="N42" s="35">
        <f>AVERAGE(
SUMIFS(CPI_Data[Cereals and products],CPI_Data[Sector],N$32,CPI_Data[Date],$K42),
SUMIFS(CPI_Data[Meat and fish],CPI_Data[Sector],N$32,CPI_Data[Date],$K42),
SUMIFS(CPI_Data[Egg],CPI_Data[Sector],N$32,CPI_Data[Date],$K42),
SUMIFS(CPI_Data[Milk and products],CPI_Data[Sector],N$32,CPI_Data[Date],$K42),
SUMIFS(CPI_Data[Oils and fats],CPI_Data[Sector],N$32,CPI_Data[Date],$K42),
SUMIFS(CPI_Data[Fruits],CPI_Data[Sector],N$32,CPI_Data[Date],$K42),
SUMIFS(CPI_Data[Vegetables],CPI_Data[Sector],N$32,CPI_Data[Date],$K42),
SUMIFS(CPI_Data[Pulses and products],CPI_Data[Sector],N$32,CPI_Data[Date],$K42),
SUMIFS(CPI_Data[Sugar and Confectionery],CPI_Data[Sector],N$32,CPI_Data[Date],$K42),
SUMIFS(CPI_Data[Spices],CPI_Data[Sector],N$32,CPI_Data[Date],$K42),
SUMIFS(CPI_Data[Non-alcoholic beverages],CPI_Data[Sector],N$32,CPI_Data[Date],$K42),
SUMIFS(CPI_Data[Prepared meals, snacks, sweets etc.],CPI_Data[Sector],N$32,CPI_Data[Date],$K42)
)</f>
        <v>176.875</v>
      </c>
      <c r="O42" s="37">
        <f t="shared" si="1"/>
        <v>-3.8485004927959754E-3</v>
      </c>
      <c r="P42" s="35">
        <f>AVERAGE(
SUMIFS(CPI_Data[Cereals and products],CPI_Data[Sector],P$32,CPI_Data[Date],$K42),
SUMIFS(CPI_Data[Meat and fish],CPI_Data[Sector],P$32,CPI_Data[Date],$K42),
SUMIFS(CPI_Data[Egg],CPI_Data[Sector],P$32,CPI_Data[Date],$K42),
SUMIFS(CPI_Data[Milk and products],CPI_Data[Sector],P$32,CPI_Data[Date],$K42),
SUMIFS(CPI_Data[Oils and fats],CPI_Data[Sector],P$32,CPI_Data[Date],$K42),
SUMIFS(CPI_Data[Fruits],CPI_Data[Sector],P$32,CPI_Data[Date],$K42),
SUMIFS(CPI_Data[Vegetables],CPI_Data[Sector],P$32,CPI_Data[Date],$K42),
SUMIFS(CPI_Data[Pulses and products],CPI_Data[Sector],P$32,CPI_Data[Date],$K42),
SUMIFS(CPI_Data[Sugar and Confectionery],CPI_Data[Sector],P$32,CPI_Data[Date],$K42),
SUMIFS(CPI_Data[Spices],CPI_Data[Sector],P$32,CPI_Data[Date],$K42),
SUMIFS(CPI_Data[Non-alcoholic beverages],CPI_Data[Sector],P$32,CPI_Data[Date],$K42),
SUMIFS(CPI_Data[Prepared meals, snacks, sweets etc.],CPI_Data[Sector],P$32,CPI_Data[Date],$K42)
)</f>
        <v>175.17499999999998</v>
      </c>
      <c r="Q42" s="38">
        <f t="shared" si="2"/>
        <v>-6.5689981096409816E-3</v>
      </c>
    </row>
    <row r="43" spans="11:17" x14ac:dyDescent="0.3">
      <c r="K43" s="34">
        <v>44986</v>
      </c>
      <c r="L43" s="35">
        <f>AVERAGE(
SUMIFS(CPI_Data[Cereals and products],CPI_Data[Sector],L$32,CPI_Data[Date],$K43),
SUMIFS(CPI_Data[Meat and fish],CPI_Data[Sector],L$32,CPI_Data[Date],$K43),
SUMIFS(CPI_Data[Egg],CPI_Data[Sector],L$32,CPI_Data[Date],$K43),
SUMIFS(CPI_Data[Milk and products],CPI_Data[Sector],L$32,CPI_Data[Date],$K43),
SUMIFS(CPI_Data[Oils and fats],CPI_Data[Sector],L$32,CPI_Data[Date],$K43),
SUMIFS(CPI_Data[Fruits],CPI_Data[Sector],L$32,CPI_Data[Date],$K43),
SUMIFS(CPI_Data[Vegetables],CPI_Data[Sector],L$32,CPI_Data[Date],$K43),
SUMIFS(CPI_Data[Pulses and products],CPI_Data[Sector],L$32,CPI_Data[Date],$K43),
SUMIFS(CPI_Data[Sugar and Confectionery],CPI_Data[Sector],L$32,CPI_Data[Date],$K43),
SUMIFS(CPI_Data[Spices],CPI_Data[Sector],L$32,CPI_Data[Date],$K43),
SUMIFS(CPI_Data[Non-alcoholic beverages],CPI_Data[Sector],L$32,CPI_Data[Date],$K43),
SUMIFS(CPI_Data[Prepared meals, snacks, sweets etc.],CPI_Data[Sector],L$32,CPI_Data[Date],$K43)
)</f>
        <v>174.25</v>
      </c>
      <c r="M43" s="37">
        <f t="shared" si="0"/>
        <v>4.782629489705396E-5</v>
      </c>
      <c r="N43" s="35">
        <f>AVERAGE(
SUMIFS(CPI_Data[Cereals and products],CPI_Data[Sector],N$32,CPI_Data[Date],$K43),
SUMIFS(CPI_Data[Meat and fish],CPI_Data[Sector],N$32,CPI_Data[Date],$K43),
SUMIFS(CPI_Data[Egg],CPI_Data[Sector],N$32,CPI_Data[Date],$K43),
SUMIFS(CPI_Data[Milk and products],CPI_Data[Sector],N$32,CPI_Data[Date],$K43),
SUMIFS(CPI_Data[Oils and fats],CPI_Data[Sector],N$32,CPI_Data[Date],$K43),
SUMIFS(CPI_Data[Fruits],CPI_Data[Sector],N$32,CPI_Data[Date],$K43),
SUMIFS(CPI_Data[Vegetables],CPI_Data[Sector],N$32,CPI_Data[Date],$K43),
SUMIFS(CPI_Data[Pulses and products],CPI_Data[Sector],N$32,CPI_Data[Date],$K43),
SUMIFS(CPI_Data[Sugar and Confectionery],CPI_Data[Sector],N$32,CPI_Data[Date],$K43),
SUMIFS(CPI_Data[Spices],CPI_Data[Sector],N$32,CPI_Data[Date],$K43),
SUMIFS(CPI_Data[Non-alcoholic beverages],CPI_Data[Sector],N$32,CPI_Data[Date],$K43),
SUMIFS(CPI_Data[Prepared meals, snacks, sweets etc.],CPI_Data[Sector],N$32,CPI_Data[Date],$K43)
)</f>
        <v>176.88333333333333</v>
      </c>
      <c r="O43" s="37">
        <f t="shared" si="1"/>
        <v>4.7114252061205678E-5</v>
      </c>
      <c r="P43" s="35">
        <f>AVERAGE(
SUMIFS(CPI_Data[Cereals and products],CPI_Data[Sector],P$32,CPI_Data[Date],$K43),
SUMIFS(CPI_Data[Meat and fish],CPI_Data[Sector],P$32,CPI_Data[Date],$K43),
SUMIFS(CPI_Data[Egg],CPI_Data[Sector],P$32,CPI_Data[Date],$K43),
SUMIFS(CPI_Data[Milk and products],CPI_Data[Sector],P$32,CPI_Data[Date],$K43),
SUMIFS(CPI_Data[Oils and fats],CPI_Data[Sector],P$32,CPI_Data[Date],$K43),
SUMIFS(CPI_Data[Fruits],CPI_Data[Sector],P$32,CPI_Data[Date],$K43),
SUMIFS(CPI_Data[Vegetables],CPI_Data[Sector],P$32,CPI_Data[Date],$K43),
SUMIFS(CPI_Data[Pulses and products],CPI_Data[Sector],P$32,CPI_Data[Date],$K43),
SUMIFS(CPI_Data[Sugar and Confectionery],CPI_Data[Sector],P$32,CPI_Data[Date],$K43),
SUMIFS(CPI_Data[Spices],CPI_Data[Sector],P$32,CPI_Data[Date],$K43),
SUMIFS(CPI_Data[Non-alcoholic beverages],CPI_Data[Sector],P$32,CPI_Data[Date],$K43),
SUMIFS(CPI_Data[Prepared meals, snacks, sweets etc.],CPI_Data[Sector],P$32,CPI_Data[Date],$K43)
)</f>
        <v>175.18333333333331</v>
      </c>
      <c r="Q43" s="38">
        <f t="shared" si="2"/>
        <v>4.7571476142861456E-5</v>
      </c>
    </row>
    <row r="44" spans="11:17" x14ac:dyDescent="0.3">
      <c r="K44" s="34">
        <v>45017</v>
      </c>
      <c r="L44" s="35">
        <f>AVERAGE(
SUMIFS(CPI_Data[Cereals and products],CPI_Data[Sector],L$32,CPI_Data[Date],$K44),
SUMIFS(CPI_Data[Meat and fish],CPI_Data[Sector],L$32,CPI_Data[Date],$K44),
SUMIFS(CPI_Data[Egg],CPI_Data[Sector],L$32,CPI_Data[Date],$K44),
SUMIFS(CPI_Data[Milk and products],CPI_Data[Sector],L$32,CPI_Data[Date],$K44),
SUMIFS(CPI_Data[Oils and fats],CPI_Data[Sector],L$32,CPI_Data[Date],$K44),
SUMIFS(CPI_Data[Fruits],CPI_Data[Sector],L$32,CPI_Data[Date],$K44),
SUMIFS(CPI_Data[Vegetables],CPI_Data[Sector],L$32,CPI_Data[Date],$K44),
SUMIFS(CPI_Data[Pulses and products],CPI_Data[Sector],L$32,CPI_Data[Date],$K44),
SUMIFS(CPI_Data[Sugar and Confectionery],CPI_Data[Sector],L$32,CPI_Data[Date],$K44),
SUMIFS(CPI_Data[Spices],CPI_Data[Sector],L$32,CPI_Data[Date],$K44),
SUMIFS(CPI_Data[Non-alcoholic beverages],CPI_Data[Sector],L$32,CPI_Data[Date],$K44),
SUMIFS(CPI_Data[Prepared meals, snacks, sweets etc.],CPI_Data[Sector],L$32,CPI_Data[Date],$K44)
)</f>
        <v>174.89166666666665</v>
      </c>
      <c r="M44" s="37">
        <f t="shared" si="0"/>
        <v>3.6824485891916873E-3</v>
      </c>
      <c r="N44" s="35">
        <f>AVERAGE(
SUMIFS(CPI_Data[Cereals and products],CPI_Data[Sector],N$32,CPI_Data[Date],$K44),
SUMIFS(CPI_Data[Meat and fish],CPI_Data[Sector],N$32,CPI_Data[Date],$K44),
SUMIFS(CPI_Data[Egg],CPI_Data[Sector],N$32,CPI_Data[Date],$K44),
SUMIFS(CPI_Data[Milk and products],CPI_Data[Sector],N$32,CPI_Data[Date],$K44),
SUMIFS(CPI_Data[Oils and fats],CPI_Data[Sector],N$32,CPI_Data[Date],$K44),
SUMIFS(CPI_Data[Fruits],CPI_Data[Sector],N$32,CPI_Data[Date],$K44),
SUMIFS(CPI_Data[Vegetables],CPI_Data[Sector],N$32,CPI_Data[Date],$K44),
SUMIFS(CPI_Data[Pulses and products],CPI_Data[Sector],N$32,CPI_Data[Date],$K44),
SUMIFS(CPI_Data[Sugar and Confectionery],CPI_Data[Sector],N$32,CPI_Data[Date],$K44),
SUMIFS(CPI_Data[Spices],CPI_Data[Sector],N$32,CPI_Data[Date],$K44),
SUMIFS(CPI_Data[Non-alcoholic beverages],CPI_Data[Sector],N$32,CPI_Data[Date],$K44),
SUMIFS(CPI_Data[Prepared meals, snacks, sweets etc.],CPI_Data[Sector],N$32,CPI_Data[Date],$K44)
)</f>
        <v>177.9666666666667</v>
      </c>
      <c r="O44" s="37">
        <f t="shared" si="1"/>
        <v>6.1245642137003932E-3</v>
      </c>
      <c r="P44" s="35">
        <f>AVERAGE(
SUMIFS(CPI_Data[Cereals and products],CPI_Data[Sector],P$32,CPI_Data[Date],$K44),
SUMIFS(CPI_Data[Meat and fish],CPI_Data[Sector],P$32,CPI_Data[Date],$K44),
SUMIFS(CPI_Data[Egg],CPI_Data[Sector],P$32,CPI_Data[Date],$K44),
SUMIFS(CPI_Data[Milk and products],CPI_Data[Sector],P$32,CPI_Data[Date],$K44),
SUMIFS(CPI_Data[Oils and fats],CPI_Data[Sector],P$32,CPI_Data[Date],$K44),
SUMIFS(CPI_Data[Fruits],CPI_Data[Sector],P$32,CPI_Data[Date],$K44),
SUMIFS(CPI_Data[Vegetables],CPI_Data[Sector],P$32,CPI_Data[Date],$K44),
SUMIFS(CPI_Data[Pulses and products],CPI_Data[Sector],P$32,CPI_Data[Date],$K44),
SUMIFS(CPI_Data[Sugar and Confectionery],CPI_Data[Sector],P$32,CPI_Data[Date],$K44),
SUMIFS(CPI_Data[Spices],CPI_Data[Sector],P$32,CPI_Data[Date],$K44),
SUMIFS(CPI_Data[Non-alcoholic beverages],CPI_Data[Sector],P$32,CPI_Data[Date],$K44),
SUMIFS(CPI_Data[Prepared meals, snacks, sweets etc.],CPI_Data[Sector],P$32,CPI_Data[Date],$K44)
)</f>
        <v>175.97500000000002</v>
      </c>
      <c r="Q44" s="38">
        <f t="shared" si="2"/>
        <v>4.5190752544955618E-3</v>
      </c>
    </row>
    <row r="45" spans="11:17" x14ac:dyDescent="0.3">
      <c r="K45" s="39">
        <v>45047</v>
      </c>
      <c r="L45" s="40">
        <f>AVERAGE(
SUMIFS(CPI_Data[Cereals and products],CPI_Data[Sector],L$32,CPI_Data[Date],$K45),
SUMIFS(CPI_Data[Meat and fish],CPI_Data[Sector],L$32,CPI_Data[Date],$K45),
SUMIFS(CPI_Data[Egg],CPI_Data[Sector],L$32,CPI_Data[Date],$K45),
SUMIFS(CPI_Data[Milk and products],CPI_Data[Sector],L$32,CPI_Data[Date],$K45),
SUMIFS(CPI_Data[Oils and fats],CPI_Data[Sector],L$32,CPI_Data[Date],$K45),
SUMIFS(CPI_Data[Fruits],CPI_Data[Sector],L$32,CPI_Data[Date],$K45),
SUMIFS(CPI_Data[Vegetables],CPI_Data[Sector],L$32,CPI_Data[Date],$K45),
SUMIFS(CPI_Data[Pulses and products],CPI_Data[Sector],L$32,CPI_Data[Date],$K45),
SUMIFS(CPI_Data[Sugar and Confectionery],CPI_Data[Sector],L$32,CPI_Data[Date],$K45),
SUMIFS(CPI_Data[Spices],CPI_Data[Sector],L$32,CPI_Data[Date],$K45),
SUMIFS(CPI_Data[Non-alcoholic beverages],CPI_Data[Sector],L$32,CPI_Data[Date],$K45),
SUMIFS(CPI_Data[Prepared meals, snacks, sweets etc.],CPI_Data[Sector],L$32,CPI_Data[Date],$K45)
)</f>
        <v>176.15833333333339</v>
      </c>
      <c r="M45" s="41">
        <f t="shared" si="0"/>
        <v>7.2425787392199183E-3</v>
      </c>
      <c r="N45" s="40">
        <f>AVERAGE(
SUMIFS(CPI_Data[Cereals and products],CPI_Data[Sector],N$32,CPI_Data[Date],$K45),
SUMIFS(CPI_Data[Meat and fish],CPI_Data[Sector],N$32,CPI_Data[Date],$K45),
SUMIFS(CPI_Data[Egg],CPI_Data[Sector],N$32,CPI_Data[Date],$K45),
SUMIFS(CPI_Data[Milk and products],CPI_Data[Sector],N$32,CPI_Data[Date],$K45),
SUMIFS(CPI_Data[Oils and fats],CPI_Data[Sector],N$32,CPI_Data[Date],$K45),
SUMIFS(CPI_Data[Fruits],CPI_Data[Sector],N$32,CPI_Data[Date],$K45),
SUMIFS(CPI_Data[Vegetables],CPI_Data[Sector],N$32,CPI_Data[Date],$K45),
SUMIFS(CPI_Data[Pulses and products],CPI_Data[Sector],N$32,CPI_Data[Date],$K45),
SUMIFS(CPI_Data[Sugar and Confectionery],CPI_Data[Sector],N$32,CPI_Data[Date],$K45),
SUMIFS(CPI_Data[Spices],CPI_Data[Sector],N$32,CPI_Data[Date],$K45),
SUMIFS(CPI_Data[Non-alcoholic beverages],CPI_Data[Sector],N$32,CPI_Data[Date],$K45),
SUMIFS(CPI_Data[Prepared meals, snacks, sweets etc.],CPI_Data[Sector],N$32,CPI_Data[Date],$K45)
)</f>
        <v>179.33333333333334</v>
      </c>
      <c r="O45" s="41">
        <f t="shared" si="1"/>
        <v>7.6793407005055943E-3</v>
      </c>
      <c r="P45" s="40">
        <f>AVERAGE(
SUMIFS(CPI_Data[Cereals and products],CPI_Data[Sector],P$32,CPI_Data[Date],$K45),
SUMIFS(CPI_Data[Meat and fish],CPI_Data[Sector],P$32,CPI_Data[Date],$K45),
SUMIFS(CPI_Data[Egg],CPI_Data[Sector],P$32,CPI_Data[Date],$K45),
SUMIFS(CPI_Data[Milk and products],CPI_Data[Sector],P$32,CPI_Data[Date],$K45),
SUMIFS(CPI_Data[Oils and fats],CPI_Data[Sector],P$32,CPI_Data[Date],$K45),
SUMIFS(CPI_Data[Fruits],CPI_Data[Sector],P$32,CPI_Data[Date],$K45),
SUMIFS(CPI_Data[Vegetables],CPI_Data[Sector],P$32,CPI_Data[Date],$K45),
SUMIFS(CPI_Data[Pulses and products],CPI_Data[Sector],P$32,CPI_Data[Date],$K45),
SUMIFS(CPI_Data[Sugar and Confectionery],CPI_Data[Sector],P$32,CPI_Data[Date],$K45),
SUMIFS(CPI_Data[Spices],CPI_Data[Sector],P$32,CPI_Data[Date],$K45),
SUMIFS(CPI_Data[Non-alcoholic beverages],CPI_Data[Sector],P$32,CPI_Data[Date],$K45),
SUMIFS(CPI_Data[Prepared meals, snacks, sweets etc.],CPI_Data[Sector],P$32,CPI_Data[Date],$K45)
)</f>
        <v>177.31666666666669</v>
      </c>
      <c r="Q45" s="42">
        <f t="shared" si="2"/>
        <v>7.6241890420040825E-3</v>
      </c>
    </row>
    <row r="80" ht="10.199999999999999" customHeight="1" x14ac:dyDescent="0.3"/>
    <row r="81" spans="2:14" x14ac:dyDescent="0.3">
      <c r="B81" s="43" t="s">
        <v>30</v>
      </c>
      <c r="C81" s="43"/>
      <c r="D81" s="43"/>
      <c r="E81" s="43"/>
      <c r="F81" s="43"/>
      <c r="G81" s="44" t="s">
        <v>33</v>
      </c>
      <c r="H81" s="44"/>
      <c r="I81" s="44"/>
      <c r="J81" s="44"/>
      <c r="K81" s="44" t="s">
        <v>34</v>
      </c>
      <c r="L81" s="44"/>
      <c r="M81" s="44"/>
      <c r="N81" s="44"/>
    </row>
    <row r="82" spans="2:14" x14ac:dyDescent="0.3">
      <c r="B82" s="48" t="s">
        <v>127</v>
      </c>
      <c r="C82" s="49">
        <v>44713</v>
      </c>
      <c r="D82" s="49">
        <v>45047</v>
      </c>
      <c r="E82" s="50" t="s">
        <v>129</v>
      </c>
      <c r="F82" s="48" t="s">
        <v>128</v>
      </c>
      <c r="G82" s="49">
        <v>44713</v>
      </c>
      <c r="H82" s="49">
        <v>45047</v>
      </c>
      <c r="I82" s="50" t="s">
        <v>130</v>
      </c>
      <c r="J82" s="48" t="s">
        <v>128</v>
      </c>
      <c r="K82" s="49">
        <v>44713</v>
      </c>
      <c r="L82" s="49">
        <v>45047</v>
      </c>
      <c r="M82" s="50" t="s">
        <v>131</v>
      </c>
      <c r="N82" s="48" t="s">
        <v>128</v>
      </c>
    </row>
    <row r="83" spans="2:14" x14ac:dyDescent="0.3">
      <c r="B83" s="46" t="s">
        <v>12</v>
      </c>
      <c r="C83" s="46" cm="1">
        <f t="array" ref="C83">INDEX(CPI_Data[#Data],MATCH(1,(CPI_Data[Sector]=$B$81)*(CPI_Data[Date]=C$82),0),MATCH($B83,CPI_Data[#Headers],0))</f>
        <v>188.9</v>
      </c>
      <c r="D83" s="46" cm="1">
        <f t="array" ref="D83">INDEX(CPI_Data[#Data], MATCH(1,(CPI_Data[Sector]=$B$81)*(CPI_Data[Date] = $D$82),0), MATCH($B83,CPI_Data[#Headers],0))</f>
        <v>221</v>
      </c>
      <c r="E83" s="46">
        <f t="shared" ref="E83:E94" si="3">D83-C83</f>
        <v>32.099999999999994</v>
      </c>
      <c r="F83" s="47">
        <f t="shared" ref="F83:F94" si="4">(D83-C83)/C83</f>
        <v>0.16993118051879297</v>
      </c>
      <c r="G83" s="46" cm="1">
        <f t="array" ref="G83">INDEX(CPI_Data[#Data], MATCH(1,(CPI_Data[Sector] = $G$81)*(CPI_Data[Date] = G$82),0), MATCH($B83,CPI_Data[#Headers],0))</f>
        <v>183.5</v>
      </c>
      <c r="H83" s="46" cm="1">
        <f t="array" ref="H83">INDEX(CPI_Data[#Data], MATCH(1,(CPI_Data[Sector] = $G$81)*(CPI_Data[Date] = H$82),0), MATCH($B83,CPI_Data[#Headers],0))</f>
        <v>211.9</v>
      </c>
      <c r="I83" s="46">
        <f t="shared" ref="I83:I94" si="5">H83-G83</f>
        <v>28.400000000000006</v>
      </c>
      <c r="J83" s="45">
        <f t="shared" ref="J83:J94" si="6">(H83-G83)/G83</f>
        <v>0.15476839237057224</v>
      </c>
      <c r="K83" s="46" cm="1">
        <f t="array" ref="K83">INDEX(CPI_Data[#Data], MATCH(1,(CPI_Data[Sector] = $K$81)*(CPI_Data[Date] = K$82),0), MATCH($B83,CPI_Data[#Headers],0))</f>
        <v>187.1</v>
      </c>
      <c r="L83" s="46" cm="1">
        <f t="array" ref="L83">INDEX(CPI_Data[#Data], MATCH(1,(CPI_Data[Sector] = $K$81)*(CPI_Data[Date] = L$82),0), MATCH($B83,CPI_Data[#Headers],0))</f>
        <v>218</v>
      </c>
      <c r="M83" s="46">
        <f t="shared" ref="M83:M94" si="7">L83-K83</f>
        <v>30.900000000000006</v>
      </c>
      <c r="N83" s="47">
        <f t="shared" ref="N83:N94" si="8">(L83-K83)/K83</f>
        <v>0.16515232495991453</v>
      </c>
    </row>
    <row r="84" spans="2:14" x14ac:dyDescent="0.3">
      <c r="B84" s="46" t="s">
        <v>3</v>
      </c>
      <c r="C84" s="46" cm="1">
        <f t="array" ref="C84">INDEX(CPI_Data[#Data],MATCH(1,(CPI_Data[Sector]=$B$81)*(CPI_Data[Date]=C$82),0),MATCH($B84,CPI_Data[#Headers],0))</f>
        <v>153.80000000000001</v>
      </c>
      <c r="D84" s="46" cm="1">
        <f t="array" ref="D84">INDEX(CPI_Data[#Data], MATCH(1,(CPI_Data[Sector]=$B$81)*(CPI_Data[Date] = $D$82),0), MATCH($B84,CPI_Data[#Headers],0))</f>
        <v>173.2</v>
      </c>
      <c r="E84" s="46">
        <f t="shared" si="3"/>
        <v>19.399999999999977</v>
      </c>
      <c r="F84" s="47">
        <f t="shared" si="4"/>
        <v>0.12613784135240558</v>
      </c>
      <c r="G84" s="46" cm="1">
        <f t="array" ref="G84">INDEX(CPI_Data[#Data], MATCH(1,(CPI_Data[Sector] = $G$81)*(CPI_Data[Date] = G$82),0), MATCH($B84,CPI_Data[#Headers],0))</f>
        <v>157.5</v>
      </c>
      <c r="H84" s="46" cm="1">
        <f t="array" ref="H84">INDEX(CPI_Data[#Data], MATCH(1,(CPI_Data[Sector] = $G$81)*(CPI_Data[Date] = H$82),0), MATCH($B84,CPI_Data[#Headers],0))</f>
        <v>174.7</v>
      </c>
      <c r="I84" s="46">
        <f t="shared" si="5"/>
        <v>17.199999999999989</v>
      </c>
      <c r="J84" s="47">
        <f t="shared" si="6"/>
        <v>0.10920634920634914</v>
      </c>
      <c r="K84" s="46" cm="1">
        <f t="array" ref="K84">INDEX(CPI_Data[#Data], MATCH(1,(CPI_Data[Sector] = $K$81)*(CPI_Data[Date] = K$82),0), MATCH($B84,CPI_Data[#Headers],0))</f>
        <v>155</v>
      </c>
      <c r="L84" s="46" cm="1">
        <f t="array" ref="L84">INDEX(CPI_Data[#Data], MATCH(1,(CPI_Data[Sector] = $K$81)*(CPI_Data[Date] = L$82),0), MATCH($B84,CPI_Data[#Headers],0))</f>
        <v>173.7</v>
      </c>
      <c r="M84" s="46">
        <f t="shared" si="7"/>
        <v>18.699999999999989</v>
      </c>
      <c r="N84" s="47">
        <f t="shared" si="8"/>
        <v>0.1206451612903225</v>
      </c>
    </row>
    <row r="85" spans="2:14" x14ac:dyDescent="0.3">
      <c r="B85" s="46" t="s">
        <v>6</v>
      </c>
      <c r="C85" s="46" cm="1">
        <f t="array" ref="C85">INDEX(CPI_Data[#Data],MATCH(1,(CPI_Data[Sector]=$B$81)*(CPI_Data[Date]=C$82),0),MATCH($B85,CPI_Data[#Headers],0))</f>
        <v>165.4</v>
      </c>
      <c r="D85" s="46" cm="1">
        <f t="array" ref="D85">INDEX(CPI_Data[#Data], MATCH(1,(CPI_Data[Sector]=$B$81)*(CPI_Data[Date] = $D$82),0), MATCH($B85,CPI_Data[#Headers],0))</f>
        <v>179.6</v>
      </c>
      <c r="E85" s="46">
        <f t="shared" si="3"/>
        <v>14.199999999999989</v>
      </c>
      <c r="F85" s="47">
        <f t="shared" si="4"/>
        <v>8.5852478839177682E-2</v>
      </c>
      <c r="G85" s="46" cm="1">
        <f t="array" ref="G85">INDEX(CPI_Data[#Data], MATCH(1,(CPI_Data[Sector] = $G$81)*(CPI_Data[Date] = G$82),0), MATCH($B85,CPI_Data[#Headers],0))</f>
        <v>166.4</v>
      </c>
      <c r="H85" s="46" cm="1">
        <f t="array" ref="H85">INDEX(CPI_Data[#Data], MATCH(1,(CPI_Data[Sector] = $G$81)*(CPI_Data[Date] = H$82),0), MATCH($B85,CPI_Data[#Headers],0))</f>
        <v>179.4</v>
      </c>
      <c r="I85" s="46">
        <f t="shared" si="5"/>
        <v>13</v>
      </c>
      <c r="J85" s="47">
        <f t="shared" si="6"/>
        <v>7.8125E-2</v>
      </c>
      <c r="K85" s="46" cm="1">
        <f t="array" ref="K85">INDEX(CPI_Data[#Data], MATCH(1,(CPI_Data[Sector] = $K$81)*(CPI_Data[Date] = K$82),0), MATCH($B85,CPI_Data[#Headers],0))</f>
        <v>165.8</v>
      </c>
      <c r="L85" s="46" cm="1">
        <f t="array" ref="L85">INDEX(CPI_Data[#Data], MATCH(1,(CPI_Data[Sector] = $K$81)*(CPI_Data[Date] = L$82),0), MATCH($B85,CPI_Data[#Headers],0))</f>
        <v>179.5</v>
      </c>
      <c r="M85" s="46">
        <f t="shared" si="7"/>
        <v>13.699999999999989</v>
      </c>
      <c r="N85" s="47">
        <f t="shared" si="8"/>
        <v>8.2629674306393175E-2</v>
      </c>
    </row>
    <row r="86" spans="2:14" x14ac:dyDescent="0.3">
      <c r="B86" s="46" t="s">
        <v>10</v>
      </c>
      <c r="C86" s="46" cm="1">
        <f t="array" ref="C86">INDEX(CPI_Data[#Data],MATCH(1,(CPI_Data[Sector]=$B$81)*(CPI_Data[Date]=C$82),0),MATCH($B86,CPI_Data[#Headers],0))</f>
        <v>164.6</v>
      </c>
      <c r="D86" s="46" cm="1">
        <f t="array" ref="D86">INDEX(CPI_Data[#Data], MATCH(1,(CPI_Data[Sector]=$B$81)*(CPI_Data[Date] = $D$82),0), MATCH($B86,CPI_Data[#Headers],0))</f>
        <v>174.9</v>
      </c>
      <c r="E86" s="46">
        <f t="shared" si="3"/>
        <v>10.300000000000011</v>
      </c>
      <c r="F86" s="47">
        <f t="shared" si="4"/>
        <v>6.2575941676792299E-2</v>
      </c>
      <c r="G86" s="46" cm="1">
        <f t="array" ref="G86">INDEX(CPI_Data[#Data], MATCH(1,(CPI_Data[Sector] = $G$81)*(CPI_Data[Date] = G$82),0), MATCH($B86,CPI_Data[#Headers],0))</f>
        <v>163.6</v>
      </c>
      <c r="H86" s="46" cm="1">
        <f t="array" ref="H86">INDEX(CPI_Data[#Data], MATCH(1,(CPI_Data[Sector] = $G$81)*(CPI_Data[Date] = H$82),0), MATCH($B86,CPI_Data[#Headers],0))</f>
        <v>176.9</v>
      </c>
      <c r="I86" s="46">
        <f t="shared" si="5"/>
        <v>13.300000000000011</v>
      </c>
      <c r="J86" s="47">
        <f t="shared" si="6"/>
        <v>8.1295843520782465E-2</v>
      </c>
      <c r="K86" s="46" cm="1">
        <f t="array" ref="K86">INDEX(CPI_Data[#Data], MATCH(1,(CPI_Data[Sector] = $K$81)*(CPI_Data[Date] = K$82),0), MATCH($B86,CPI_Data[#Headers],0))</f>
        <v>164.3</v>
      </c>
      <c r="L86" s="46" cm="1">
        <f t="array" ref="L86">INDEX(CPI_Data[#Data], MATCH(1,(CPI_Data[Sector] = $K$81)*(CPI_Data[Date] = L$82),0), MATCH($B86,CPI_Data[#Headers],0))</f>
        <v>175.6</v>
      </c>
      <c r="M86" s="46">
        <f t="shared" si="7"/>
        <v>11.299999999999983</v>
      </c>
      <c r="N86" s="47">
        <f t="shared" si="8"/>
        <v>6.8776628119293873E-2</v>
      </c>
    </row>
    <row r="87" spans="2:14" x14ac:dyDescent="0.3">
      <c r="B87" s="46" t="s">
        <v>14</v>
      </c>
      <c r="C87" s="46" cm="1">
        <f t="array" ref="C87">INDEX(CPI_Data[#Data],MATCH(1,(CPI_Data[Sector]=$B$81)*(CPI_Data[Date]=C$82),0),MATCH($B87,CPI_Data[#Headers],0))</f>
        <v>181.9</v>
      </c>
      <c r="D87" s="46" cm="1">
        <f t="array" ref="D87">INDEX(CPI_Data[#Data], MATCH(1,(CPI_Data[Sector]=$B$81)*(CPI_Data[Date] = $D$82),0), MATCH($B87,CPI_Data[#Headers],0))</f>
        <v>191.1</v>
      </c>
      <c r="E87" s="46">
        <f t="shared" si="3"/>
        <v>9.1999999999999886</v>
      </c>
      <c r="F87" s="47">
        <f t="shared" si="4"/>
        <v>5.0577240241891086E-2</v>
      </c>
      <c r="G87" s="46" cm="1">
        <f t="array" ref="G87">INDEX(CPI_Data[#Data], MATCH(1,(CPI_Data[Sector] = $G$81)*(CPI_Data[Date] = G$82),0), MATCH($B87,CPI_Data[#Headers],0))</f>
        <v>186.3</v>
      </c>
      <c r="H87" s="46" cm="1">
        <f t="array" ref="H87">INDEX(CPI_Data[#Data], MATCH(1,(CPI_Data[Sector] = $G$81)*(CPI_Data[Date] = H$82),0), MATCH($B87,CPI_Data[#Headers],0))</f>
        <v>197.7</v>
      </c>
      <c r="I87" s="46">
        <f t="shared" si="5"/>
        <v>11.399999999999977</v>
      </c>
      <c r="J87" s="47">
        <f t="shared" si="6"/>
        <v>6.119162640901759E-2</v>
      </c>
      <c r="K87" s="46" cm="1">
        <f t="array" ref="K87">INDEX(CPI_Data[#Data], MATCH(1,(CPI_Data[Sector] = $K$81)*(CPI_Data[Date] = K$82),0), MATCH($B87,CPI_Data[#Headers],0))</f>
        <v>183.9</v>
      </c>
      <c r="L87" s="46" cm="1">
        <f t="array" ref="L87">INDEX(CPI_Data[#Data], MATCH(1,(CPI_Data[Sector] = $K$81)*(CPI_Data[Date] = L$82),0), MATCH($B87,CPI_Data[#Headers],0))</f>
        <v>194.2</v>
      </c>
      <c r="M87" s="46">
        <f t="shared" si="7"/>
        <v>10.299999999999983</v>
      </c>
      <c r="N87" s="47">
        <f t="shared" si="8"/>
        <v>5.6008700380641561E-2</v>
      </c>
    </row>
    <row r="88" spans="2:14" x14ac:dyDescent="0.3">
      <c r="B88" s="46" t="s">
        <v>13</v>
      </c>
      <c r="C88" s="46" cm="1">
        <f t="array" ref="C88">INDEX(CPI_Data[#Data],MATCH(1,(CPI_Data[Sector]=$B$81)*(CPI_Data[Date]=C$82),0),MATCH($B88,CPI_Data[#Headers],0))</f>
        <v>174.2</v>
      </c>
      <c r="D88" s="46" cm="1">
        <f t="array" ref="D88">INDEX(CPI_Data[#Data], MATCH(1,(CPI_Data[Sector]=$B$81)*(CPI_Data[Date] = $D$82),0), MATCH($B88,CPI_Data[#Headers],0))</f>
        <v>178.7</v>
      </c>
      <c r="E88" s="46">
        <f t="shared" si="3"/>
        <v>4.5</v>
      </c>
      <c r="F88" s="47">
        <f t="shared" si="4"/>
        <v>2.5832376578645237E-2</v>
      </c>
      <c r="G88" s="46" cm="1">
        <f t="array" ref="G88">INDEX(CPI_Data[#Data], MATCH(1,(CPI_Data[Sector] = $G$81)*(CPI_Data[Date] = G$82),0), MATCH($B88,CPI_Data[#Headers],0))</f>
        <v>159.1</v>
      </c>
      <c r="H88" s="46" cm="1">
        <f t="array" ref="H88">INDEX(CPI_Data[#Data], MATCH(1,(CPI_Data[Sector] = $G$81)*(CPI_Data[Date] = H$82),0), MATCH($B88,CPI_Data[#Headers],0))</f>
        <v>165.9</v>
      </c>
      <c r="I88" s="46">
        <f t="shared" si="5"/>
        <v>6.8000000000000114</v>
      </c>
      <c r="J88" s="47">
        <f t="shared" si="6"/>
        <v>4.2740414833438163E-2</v>
      </c>
      <c r="K88" s="46" cm="1">
        <f t="array" ref="K88">INDEX(CPI_Data[#Data], MATCH(1,(CPI_Data[Sector] = $K$81)*(CPI_Data[Date] = K$82),0), MATCH($B88,CPI_Data[#Headers],0))</f>
        <v>167.9</v>
      </c>
      <c r="L88" s="46" cm="1">
        <f t="array" ref="L88">INDEX(CPI_Data[#Data], MATCH(1,(CPI_Data[Sector] = $K$81)*(CPI_Data[Date] = L$82),0), MATCH($B88,CPI_Data[#Headers],0))</f>
        <v>173.4</v>
      </c>
      <c r="M88" s="46">
        <f t="shared" si="7"/>
        <v>5.5</v>
      </c>
      <c r="N88" s="47">
        <f t="shared" si="8"/>
        <v>3.2757593805836809E-2</v>
      </c>
    </row>
    <row r="89" spans="2:14" x14ac:dyDescent="0.3">
      <c r="B89" s="46" t="s">
        <v>8</v>
      </c>
      <c r="C89" s="46" cm="1">
        <f t="array" ref="C89">INDEX(CPI_Data[#Data],MATCH(1,(CPI_Data[Sector]=$B$81)*(CPI_Data[Date]=C$82),0),MATCH($B89,CPI_Data[#Headers],0))</f>
        <v>165.8</v>
      </c>
      <c r="D89" s="46" cm="1">
        <f t="array" ref="D89">INDEX(CPI_Data[#Data], MATCH(1,(CPI_Data[Sector]=$B$81)*(CPI_Data[Date] = $D$82),0), MATCH($B89,CPI_Data[#Headers],0))</f>
        <v>169</v>
      </c>
      <c r="E89" s="46">
        <f t="shared" si="3"/>
        <v>3.1999999999999886</v>
      </c>
      <c r="F89" s="47">
        <f t="shared" si="4"/>
        <v>1.9300361881785213E-2</v>
      </c>
      <c r="G89" s="46" cm="1">
        <f t="array" ref="G89">INDEX(CPI_Data[#Data], MATCH(1,(CPI_Data[Sector] = $G$81)*(CPI_Data[Date] = G$82),0), MATCH($B89,CPI_Data[#Headers],0))</f>
        <v>174.1</v>
      </c>
      <c r="H89" s="46" cm="1">
        <f t="array" ref="H89">INDEX(CPI_Data[#Data], MATCH(1,(CPI_Data[Sector] = $G$81)*(CPI_Data[Date] = H$82),0), MATCH($B89,CPI_Data[#Headers],0))</f>
        <v>175.8</v>
      </c>
      <c r="I89" s="46">
        <f t="shared" si="5"/>
        <v>1.7000000000000171</v>
      </c>
      <c r="J89" s="47">
        <f t="shared" si="6"/>
        <v>9.7645031591040623E-3</v>
      </c>
      <c r="K89" s="46" cm="1">
        <f t="array" ref="K89">INDEX(CPI_Data[#Data], MATCH(1,(CPI_Data[Sector] = $K$81)*(CPI_Data[Date] = K$82),0), MATCH($B89,CPI_Data[#Headers],0))</f>
        <v>169.7</v>
      </c>
      <c r="L89" s="46" cm="1">
        <f t="array" ref="L89">INDEX(CPI_Data[#Data], MATCH(1,(CPI_Data[Sector] = $K$81)*(CPI_Data[Date] = L$82),0), MATCH($B89,CPI_Data[#Headers],0))</f>
        <v>172.2</v>
      </c>
      <c r="M89" s="46">
        <f t="shared" si="7"/>
        <v>2.5</v>
      </c>
      <c r="N89" s="47">
        <f t="shared" si="8"/>
        <v>1.4731879787860933E-2</v>
      </c>
    </row>
    <row r="90" spans="2:14" x14ac:dyDescent="0.3">
      <c r="B90" s="46" t="s">
        <v>11</v>
      </c>
      <c r="C90" s="46" cm="1">
        <f t="array" ref="C90">INDEX(CPI_Data[#Data],MATCH(1,(CPI_Data[Sector]=$B$81)*(CPI_Data[Date]=C$82),0),MATCH($B90,CPI_Data[#Headers],0))</f>
        <v>119.1</v>
      </c>
      <c r="D90" s="46" cm="1">
        <f t="array" ref="D90">INDEX(CPI_Data[#Data], MATCH(1,(CPI_Data[Sector]=$B$81)*(CPI_Data[Date] = $D$82),0), MATCH($B90,CPI_Data[#Headers],0))</f>
        <v>121.9</v>
      </c>
      <c r="E90" s="46">
        <f t="shared" si="3"/>
        <v>2.8000000000000114</v>
      </c>
      <c r="F90" s="47">
        <f t="shared" si="4"/>
        <v>2.350965575146945E-2</v>
      </c>
      <c r="G90" s="46" cm="1">
        <f t="array" ref="G90">INDEX(CPI_Data[#Data], MATCH(1,(CPI_Data[Sector] = $G$81)*(CPI_Data[Date] = G$82),0), MATCH($B90,CPI_Data[#Headers],0))</f>
        <v>121.4</v>
      </c>
      <c r="H90" s="46" cm="1">
        <f t="array" ref="H90">INDEX(CPI_Data[#Data], MATCH(1,(CPI_Data[Sector] = $G$81)*(CPI_Data[Date] = H$82),0), MATCH($B90,CPI_Data[#Headers],0))</f>
        <v>124.2</v>
      </c>
      <c r="I90" s="46">
        <f t="shared" si="5"/>
        <v>2.7999999999999972</v>
      </c>
      <c r="J90" s="47">
        <f t="shared" si="6"/>
        <v>2.3064250411861591E-2</v>
      </c>
      <c r="K90" s="46" cm="1">
        <f t="array" ref="K90">INDEX(CPI_Data[#Data], MATCH(1,(CPI_Data[Sector] = $K$81)*(CPI_Data[Date] = K$82),0), MATCH($B90,CPI_Data[#Headers],0))</f>
        <v>119.9</v>
      </c>
      <c r="L90" s="46" cm="1">
        <f t="array" ref="L90">INDEX(CPI_Data[#Data], MATCH(1,(CPI_Data[Sector] = $K$81)*(CPI_Data[Date] = L$82),0), MATCH($B90,CPI_Data[#Headers],0))</f>
        <v>122.7</v>
      </c>
      <c r="M90" s="46">
        <f t="shared" si="7"/>
        <v>2.7999999999999972</v>
      </c>
      <c r="N90" s="47">
        <f t="shared" si="8"/>
        <v>2.3352793994995805E-2</v>
      </c>
    </row>
    <row r="91" spans="2:14" x14ac:dyDescent="0.3">
      <c r="B91" s="46" t="s">
        <v>5</v>
      </c>
      <c r="C91" s="46" cm="1">
        <f t="array" ref="C91">INDEX(CPI_Data[#Data],MATCH(1,(CPI_Data[Sector]=$B$81)*(CPI_Data[Date]=C$82),0),MATCH($B91,CPI_Data[#Headers],0))</f>
        <v>169.6</v>
      </c>
      <c r="D91" s="46" cm="1">
        <f t="array" ref="D91">INDEX(CPI_Data[#Data], MATCH(1,(CPI_Data[Sector]=$B$81)*(CPI_Data[Date] = $D$82),0), MATCH($B91,CPI_Data[#Headers],0))</f>
        <v>171</v>
      </c>
      <c r="E91" s="46">
        <f t="shared" si="3"/>
        <v>1.4000000000000057</v>
      </c>
      <c r="F91" s="47">
        <f t="shared" si="4"/>
        <v>8.2547169811321101E-3</v>
      </c>
      <c r="G91" s="46" cm="1">
        <f t="array" ref="G91">INDEX(CPI_Data[#Data], MATCH(1,(CPI_Data[Sector] = $G$81)*(CPI_Data[Date] = G$82),0), MATCH($B91,CPI_Data[#Headers],0))</f>
        <v>172.8</v>
      </c>
      <c r="H91" s="46" cm="1">
        <f t="array" ref="H91">INDEX(CPI_Data[#Data], MATCH(1,(CPI_Data[Sector] = $G$81)*(CPI_Data[Date] = H$82),0), MATCH($B91,CPI_Data[#Headers],0))</f>
        <v>176.7</v>
      </c>
      <c r="I91" s="46">
        <f t="shared" si="5"/>
        <v>3.8999999999999773</v>
      </c>
      <c r="J91" s="47">
        <f t="shared" si="6"/>
        <v>2.2569444444444312E-2</v>
      </c>
      <c r="K91" s="46" cm="1">
        <f t="array" ref="K91">INDEX(CPI_Data[#Data], MATCH(1,(CPI_Data[Sector] = $K$81)*(CPI_Data[Date] = K$82),0), MATCH($B91,CPI_Data[#Headers],0))</f>
        <v>170.8</v>
      </c>
      <c r="L91" s="46" cm="1">
        <f t="array" ref="L91">INDEX(CPI_Data[#Data], MATCH(1,(CPI_Data[Sector] = $K$81)*(CPI_Data[Date] = L$82),0), MATCH($B91,CPI_Data[#Headers],0))</f>
        <v>173.2</v>
      </c>
      <c r="M91" s="46">
        <f t="shared" si="7"/>
        <v>2.3999999999999773</v>
      </c>
      <c r="N91" s="47">
        <f t="shared" si="8"/>
        <v>1.4051522248243426E-2</v>
      </c>
    </row>
    <row r="92" spans="2:14" x14ac:dyDescent="0.3">
      <c r="B92" s="46" t="s">
        <v>4</v>
      </c>
      <c r="C92" s="46" cm="1">
        <f t="array" ref="C92">INDEX(CPI_Data[#Data],MATCH(1,(CPI_Data[Sector]=$B$81)*(CPI_Data[Date]=C$82),0),MATCH($B92,CPI_Data[#Headers],0))</f>
        <v>217.2</v>
      </c>
      <c r="D92" s="46" cm="1">
        <f t="array" ref="D92">INDEX(CPI_Data[#Data], MATCH(1,(CPI_Data[Sector]=$B$81)*(CPI_Data[Date] = $D$82),0), MATCH($B92,CPI_Data[#Headers],0))</f>
        <v>211.5</v>
      </c>
      <c r="E92" s="46">
        <f t="shared" si="3"/>
        <v>-5.6999999999999886</v>
      </c>
      <c r="F92" s="47">
        <f t="shared" si="4"/>
        <v>-2.6243093922651884E-2</v>
      </c>
      <c r="G92" s="46" cm="1">
        <f t="array" ref="G92">INDEX(CPI_Data[#Data], MATCH(1,(CPI_Data[Sector] = $G$81)*(CPI_Data[Date] = G$82),0), MATCH($B92,CPI_Data[#Headers],0))</f>
        <v>223.4</v>
      </c>
      <c r="H92" s="46" cm="1">
        <f t="array" ref="H92">INDEX(CPI_Data[#Data], MATCH(1,(CPI_Data[Sector] = $G$81)*(CPI_Data[Date] = H$82),0), MATCH($B92,CPI_Data[#Headers],0))</f>
        <v>219.4</v>
      </c>
      <c r="I92" s="46">
        <f t="shared" si="5"/>
        <v>-4</v>
      </c>
      <c r="J92" s="47">
        <f t="shared" si="6"/>
        <v>-1.7905102954341987E-2</v>
      </c>
      <c r="K92" s="46" cm="1">
        <f t="array" ref="K92">INDEX(CPI_Data[#Data], MATCH(1,(CPI_Data[Sector] = $K$81)*(CPI_Data[Date] = K$82),0), MATCH($B92,CPI_Data[#Headers],0))</f>
        <v>219.4</v>
      </c>
      <c r="L92" s="46" cm="1">
        <f t="array" ref="L92">INDEX(CPI_Data[#Data], MATCH(1,(CPI_Data[Sector] = $K$81)*(CPI_Data[Date] = L$82),0), MATCH($B92,CPI_Data[#Headers],0))</f>
        <v>214.3</v>
      </c>
      <c r="M92" s="46">
        <f t="shared" si="7"/>
        <v>-5.0999999999999943</v>
      </c>
      <c r="N92" s="47">
        <f t="shared" si="8"/>
        <v>-2.3245214220601614E-2</v>
      </c>
    </row>
    <row r="93" spans="2:14" x14ac:dyDescent="0.3">
      <c r="B93" s="46" t="s">
        <v>9</v>
      </c>
      <c r="C93" s="46" cm="1">
        <f t="array" ref="C93">INDEX(CPI_Data[#Data],MATCH(1,(CPI_Data[Sector]=$B$81)*(CPI_Data[Date]=C$82),0),MATCH($B93,CPI_Data[#Headers],0))</f>
        <v>167.3</v>
      </c>
      <c r="D93" s="46" cm="1">
        <f t="array" ref="D93">INDEX(CPI_Data[#Data], MATCH(1,(CPI_Data[Sector]=$B$81)*(CPI_Data[Date] = $D$82),0), MATCH($B93,CPI_Data[#Headers],0))</f>
        <v>148.69999999999999</v>
      </c>
      <c r="E93" s="46">
        <f t="shared" si="3"/>
        <v>-18.600000000000023</v>
      </c>
      <c r="F93" s="47">
        <f t="shared" si="4"/>
        <v>-0.11117752540346695</v>
      </c>
      <c r="G93" s="46" cm="1">
        <f t="array" ref="G93">INDEX(CPI_Data[#Data], MATCH(1,(CPI_Data[Sector] = $G$81)*(CPI_Data[Date] = G$82),0), MATCH($B93,CPI_Data[#Headers],0))</f>
        <v>211.5</v>
      </c>
      <c r="H93" s="46" cm="1">
        <f t="array" ref="H93">INDEX(CPI_Data[#Data], MATCH(1,(CPI_Data[Sector] = $G$81)*(CPI_Data[Date] = H$82),0), MATCH($B93,CPI_Data[#Headers],0))</f>
        <v>185</v>
      </c>
      <c r="I93" s="46">
        <f t="shared" si="5"/>
        <v>-26.5</v>
      </c>
      <c r="J93" s="47">
        <f t="shared" si="6"/>
        <v>-0.12529550827423167</v>
      </c>
      <c r="K93" s="46" cm="1">
        <f t="array" ref="K93">INDEX(CPI_Data[#Data], MATCH(1,(CPI_Data[Sector] = $K$81)*(CPI_Data[Date] = K$82),0), MATCH($B93,CPI_Data[#Headers],0))</f>
        <v>182.3</v>
      </c>
      <c r="L93" s="46" cm="1">
        <f t="array" ref="L93">INDEX(CPI_Data[#Data], MATCH(1,(CPI_Data[Sector] = $K$81)*(CPI_Data[Date] = L$82),0), MATCH($B93,CPI_Data[#Headers],0))</f>
        <v>161</v>
      </c>
      <c r="M93" s="46">
        <f t="shared" si="7"/>
        <v>-21.300000000000011</v>
      </c>
      <c r="N93" s="47">
        <f t="shared" si="8"/>
        <v>-0.11684037301151953</v>
      </c>
    </row>
    <row r="94" spans="2:14" x14ac:dyDescent="0.3">
      <c r="B94" s="46" t="s">
        <v>7</v>
      </c>
      <c r="C94" s="46" cm="1">
        <f t="array" ref="C94">INDEX(CPI_Data[#Data],MATCH(1,(CPI_Data[Sector]=$B$81)*(CPI_Data[Date]=C$82),0),MATCH($B94,CPI_Data[#Headers],0))</f>
        <v>208.1</v>
      </c>
      <c r="D94" s="46" cm="1">
        <f t="array" ref="D94">INDEX(CPI_Data[#Data], MATCH(1,(CPI_Data[Sector]=$B$81)*(CPI_Data[Date] = $D$82),0), MATCH($B94,CPI_Data[#Headers],0))</f>
        <v>173.3</v>
      </c>
      <c r="E94" s="46">
        <f t="shared" si="3"/>
        <v>-34.799999999999983</v>
      </c>
      <c r="F94" s="47">
        <f t="shared" si="4"/>
        <v>-0.16722729456991822</v>
      </c>
      <c r="G94" s="46" cm="1">
        <f t="array" ref="G94">INDEX(CPI_Data[#Data], MATCH(1,(CPI_Data[Sector] = $G$81)*(CPI_Data[Date] = G$82),0), MATCH($B94,CPI_Data[#Headers],0))</f>
        <v>188.6</v>
      </c>
      <c r="H94" s="46" cm="1">
        <f t="array" ref="H94">INDEX(CPI_Data[#Data], MATCH(1,(CPI_Data[Sector] = $G$81)*(CPI_Data[Date] = H$82),0), MATCH($B94,CPI_Data[#Headers],0))</f>
        <v>164.4</v>
      </c>
      <c r="I94" s="46">
        <f t="shared" si="5"/>
        <v>-24.199999999999989</v>
      </c>
      <c r="J94" s="47">
        <f t="shared" si="6"/>
        <v>-0.12831389183457045</v>
      </c>
      <c r="K94" s="46" cm="1">
        <f t="array" ref="K94">INDEX(CPI_Data[#Data], MATCH(1,(CPI_Data[Sector] = $K$81)*(CPI_Data[Date] = K$82),0), MATCH($B94,CPI_Data[#Headers],0))</f>
        <v>200.9</v>
      </c>
      <c r="L94" s="46" cm="1">
        <f t="array" ref="L94">INDEX(CPI_Data[#Data], MATCH(1,(CPI_Data[Sector] = $K$81)*(CPI_Data[Date] = L$82),0), MATCH($B94,CPI_Data[#Headers],0))</f>
        <v>170</v>
      </c>
      <c r="M94" s="46">
        <f t="shared" si="7"/>
        <v>-30.900000000000006</v>
      </c>
      <c r="N94" s="47">
        <f t="shared" si="8"/>
        <v>-0.15380786460925835</v>
      </c>
    </row>
  </sheetData>
  <autoFilter ref="B82:N94" xr:uid="{3A4CB33F-3942-4D18-B265-8A04F9E3DB7C}">
    <sortState xmlns:xlrd2="http://schemas.microsoft.com/office/spreadsheetml/2017/richdata2" ref="B83:N94">
      <sortCondition descending="1" ref="E82:E94"/>
    </sortState>
  </autoFilter>
  <conditionalFormatting sqref="E83:E94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83:F94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83:I94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83:J94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4:M45">
    <cfRule type="expression" dxfId="5" priority="12">
      <formula>M34=MIN($M$34:$M$45)</formula>
    </cfRule>
    <cfRule type="expression" dxfId="4" priority="13">
      <formula>M34=MAX($M$34:$M$45)</formula>
    </cfRule>
  </conditionalFormatting>
  <conditionalFormatting sqref="M82:M94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83:N94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4:O45">
    <cfRule type="expression" dxfId="3" priority="10">
      <formula>O34=MIN($O$34:$O$45)</formula>
    </cfRule>
    <cfRule type="expression" dxfId="2" priority="11">
      <formula>O34=MAX($O$34:$O$45)</formula>
    </cfRule>
  </conditionalFormatting>
  <conditionalFormatting sqref="Q34:Q45">
    <cfRule type="expression" dxfId="1" priority="8">
      <formula>Q34=MIN($Q$34:$Q$45)</formula>
    </cfRule>
    <cfRule type="expression" dxfId="0" priority="9">
      <formula>Q34=MAX($Q$34:$Q$45)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722A0-AE9B-456F-877A-B6B643BFB7D9}">
  <sheetPr codeName="Sheet3"/>
  <dimension ref="B51:Q145"/>
  <sheetViews>
    <sheetView showGridLines="0" zoomScaleNormal="100" workbookViewId="0"/>
  </sheetViews>
  <sheetFormatPr defaultRowHeight="14.4" x14ac:dyDescent="0.3"/>
  <cols>
    <col min="1" max="1" width="2.77734375" customWidth="1"/>
    <col min="2" max="2" width="11" customWidth="1"/>
    <col min="3" max="3" width="18.77734375" customWidth="1"/>
    <col min="4" max="4" width="17.5546875" customWidth="1"/>
    <col min="5" max="5" width="24.5546875" customWidth="1"/>
    <col min="6" max="6" width="38.77734375" customWidth="1"/>
    <col min="7" max="7" width="24.77734375" customWidth="1"/>
    <col min="8" max="8" width="19" customWidth="1"/>
    <col min="9" max="9" width="17.77734375" customWidth="1"/>
    <col min="10" max="10" width="24.77734375" customWidth="1"/>
    <col min="11" max="11" width="39" customWidth="1"/>
    <col min="12" max="12" width="25" customWidth="1"/>
    <col min="13" max="13" width="21.109375" customWidth="1"/>
    <col min="14" max="14" width="19.88671875" customWidth="1"/>
    <col min="15" max="15" width="26.88671875" customWidth="1"/>
    <col min="16" max="16" width="41.109375" customWidth="1"/>
    <col min="17" max="17" width="27.109375" customWidth="1"/>
  </cols>
  <sheetData>
    <row r="51" spans="2:2" x14ac:dyDescent="0.3">
      <c r="B51" s="17"/>
    </row>
    <row r="126" spans="2:17" ht="7.8" customHeight="1" x14ac:dyDescent="0.3"/>
    <row r="127" spans="2:17" x14ac:dyDescent="0.3">
      <c r="B127" s="1" t="s">
        <v>87</v>
      </c>
      <c r="C127" s="1" t="s">
        <v>132</v>
      </c>
      <c r="D127" s="1" t="s">
        <v>133</v>
      </c>
      <c r="E127" s="1" t="s">
        <v>134</v>
      </c>
      <c r="F127" s="1" t="s">
        <v>135</v>
      </c>
      <c r="G127" s="1" t="s">
        <v>136</v>
      </c>
      <c r="H127" s="1" t="s">
        <v>137</v>
      </c>
      <c r="I127" s="1" t="s">
        <v>138</v>
      </c>
      <c r="J127" s="1" t="s">
        <v>139</v>
      </c>
      <c r="K127" s="1" t="s">
        <v>140</v>
      </c>
      <c r="L127" s="1" t="s">
        <v>141</v>
      </c>
      <c r="M127" s="1" t="s">
        <v>142</v>
      </c>
      <c r="N127" s="1" t="s">
        <v>143</v>
      </c>
      <c r="O127" s="1" t="s">
        <v>144</v>
      </c>
      <c r="P127" s="1" t="s">
        <v>145</v>
      </c>
      <c r="Q127" s="1" t="s">
        <v>146</v>
      </c>
    </row>
    <row r="128" spans="2:17" x14ac:dyDescent="0.3">
      <c r="B128" s="3">
        <v>42430</v>
      </c>
      <c r="C128" s="15">
        <f>SUMIFS(CPI_Data[Health],CPI_Data[Sector], "Rural", CPI_Data[Date], $B128)</f>
        <v>124.8</v>
      </c>
      <c r="D128" s="15">
        <f>AVERAGE(
SUMIFS(CPI_Data[Cereals and products],CPI_Data[Sector], "Rural", CPI_Data[Date], $B128),
SUMIFS(CPI_Data[Meat and fish],CPI_Data[Sector], "Rural", CPI_Data[Date], $B128),
SUMIFS(CPI_Data[Egg],CPI_Data[Sector], "Rural", CPI_Data[Date], $B128),
SUMIFS(CPI_Data[Milk and products],CPI_Data[Sector], "Rural", CPI_Data[Date], $B128),
SUMIFS(CPI_Data[Oils and fats],CPI_Data[Sector], "Rural", CPI_Data[Date], $B128),
SUMIFS(CPI_Data[Fruits],CPI_Data[Sector], "Rural", CPI_Data[Date], $B128),
SUMIFS(CPI_Data[Vegetables],CPI_Data[Sector], "Rural", CPI_Data[Date], $B128),
SUMIFS(CPI_Data[Pulses and products],CPI_Data[Sector], "Rural", CPI_Data[Date], $B128),
SUMIFS(CPI_Data[Sugar and Confectionery],CPI_Data[Sector], "Rural", CPI_Data[Date], $B128),
SUMIFS(CPI_Data[Spices],CPI_Data[Sector], "Rural", CPI_Data[Date], $B128),
SUMIFS(CPI_Data[Non-alcoholic beverages],CPI_Data[Sector], "Rural", CPI_Data[Date], $B128),
SUMIFS(CPI_Data[Prepared meals, snacks, sweets etc.],CPI_Data[Sector], "Rural", CPI_Data[Date], $B128)
)</f>
        <v>129.35833333333335</v>
      </c>
      <c r="E128" s="14">
        <f>SUMIFS(CPI_Data[Fuel and light], CPI_Data[Sector], "Rural", CPI_Data[Date], $B128)</f>
        <v>127</v>
      </c>
      <c r="F128" s="14">
        <f>SUMIFS(CPI_Data[Transport and communication], CPI_Data[Sector], "Rural", CPI_Data[Date], $B128)</f>
        <v>113.6</v>
      </c>
      <c r="G128" s="14">
        <f>SUMIFS(CPI_Data[General index], CPI_Data[Sector], "Rural", CPI_Data[Date], $B128)</f>
        <v>128</v>
      </c>
      <c r="H128" s="14">
        <f>SUMIFS(CPI_Data[Health], CPI_Data[Sector], "Urban", CPI_Data[Date], B128)</f>
        <v>119.7</v>
      </c>
      <c r="I128" s="15">
        <f>AVERAGE(
SUMIFS(CPI_Data[Cereals and products],CPI_Data[Sector], "Urban", CPI_Data[Date], $B128),
SUMIFS(CPI_Data[Meat and fish],CPI_Data[Sector], "Urban", CPI_Data[Date], $B128),
SUMIFS(CPI_Data[Egg],CPI_Data[Sector], "Urban", CPI_Data[Date], $B128),
SUMIFS(CPI_Data[Milk and products],CPI_Data[Sector], "Urban", CPI_Data[Date], $B128),
SUMIFS(CPI_Data[Oils and fats],CPI_Data[Sector], "Urban", CPI_Data[Date], $B128),
SUMIFS(CPI_Data[Fruits],CPI_Data[Sector], "Urban", CPI_Data[Date], $B128),
SUMIFS(CPI_Data[Vegetables],CPI_Data[Sector], "Urban", CPI_Data[Date], $B128),
SUMIFS(CPI_Data[Pulses and products],CPI_Data[Sector], "Urban", CPI_Data[Date], $B128),
SUMIFS(CPI_Data[Sugar and Confectionery],CPI_Data[Sector], "Urban", CPI_Data[Date], $B128),
SUMIFS(CPI_Data[Spices],CPI_Data[Sector], "Urban", CPI_Data[Date], $B128),
SUMIFS(CPI_Data[Non-alcoholic beverages],CPI_Data[Sector], "Urban", CPI_Data[Date], $B128),
SUMIFS(CPI_Data[Prepared meals, snacks, sweets etc.],CPI_Data[Sector], "Urban", CPI_Data[Date], $B128)
)</f>
        <v>128.22499999999999</v>
      </c>
      <c r="J128" s="14">
        <f>SUMIFS(CPI_Data[Fuel and light], CPI_Data[Sector], "Urban", CPI_Data[Date], B128)</f>
        <v>114.8</v>
      </c>
      <c r="K128" s="14">
        <f>SUMIFS(CPI_Data[Transport and communication], CPI_Data[Sector], "Urban", CPI_Data[Date], B128)</f>
        <v>108.5</v>
      </c>
      <c r="L128" s="14">
        <f>SUMIFS(CPI_Data[General index], CPI_Data[Sector], "Urban", CPI_Data[Date], B128)</f>
        <v>123.8</v>
      </c>
      <c r="M128" s="14">
        <f>SUMIFS(CPI_Data[Health], CPI_Data[Sector], "Rural+Urban", CPI_Data[Date], B128)</f>
        <v>122.9</v>
      </c>
      <c r="N128" s="15">
        <f>AVERAGE(
SUMIFS(CPI_Data[Cereals and products],CPI_Data[Sector], "Rural+Urban", CPI_Data[Date], $B128),
SUMIFS(CPI_Data[Meat and fish],CPI_Data[Sector], "Rural+Urban", CPI_Data[Date], $B128),
SUMIFS(CPI_Data[Egg],CPI_Data[Sector], "Rural+Urban", CPI_Data[Date], $B128),
SUMIFS(CPI_Data[Milk and products],CPI_Data[Sector], "Rural+Urban", CPI_Data[Date], $B128),
SUMIFS(CPI_Data[Oils and fats],CPI_Data[Sector], "Rural+Urban", CPI_Data[Date], $B128),
SUMIFS(CPI_Data[Fruits],CPI_Data[Sector], "Rural+Urban", CPI_Data[Date], $B128),
SUMIFS(CPI_Data[Vegetables],CPI_Data[Sector], "Rural+Urban", CPI_Data[Date], $B128),
SUMIFS(CPI_Data[Pulses and products],CPI_Data[Sector], "Rural+Urban", CPI_Data[Date], $B128),
SUMIFS(CPI_Data[Sugar and Confectionery],CPI_Data[Sector], "Rural+Urban", CPI_Data[Date], $B128),
SUMIFS(CPI_Data[Spices],CPI_Data[Sector], "Rural+Urban", CPI_Data[Date], $B128),
SUMIFS(CPI_Data[Non-alcoholic beverages],CPI_Data[Sector], "Rural+Urban", CPI_Data[Date], $B128),
SUMIFS(CPI_Data[Prepared meals, snacks, sweets etc.],CPI_Data[Sector], "Rural+Urban", CPI_Data[Date], $B128)
)</f>
        <v>128.78333333333333</v>
      </c>
      <c r="O128" s="14">
        <f>SUMIFS(CPI_Data[Fuel and light], CPI_Data[Sector], "Rural+Urban", CPI_Data[Date], B128)</f>
        <v>122.4</v>
      </c>
      <c r="P128" s="14">
        <f>SUMIFS(CPI_Data[Transport and communication], CPI_Data[Sector], "Rural+Urban", CPI_Data[Date], B128)</f>
        <v>110.9</v>
      </c>
      <c r="Q128" s="14">
        <f>SUMIFS(CPI_Data[General index], CPI_Data[Sector], "Rural+Urban", CPI_Data[Date], B128)</f>
        <v>126</v>
      </c>
    </row>
    <row r="129" spans="2:17" x14ac:dyDescent="0.3">
      <c r="B129" s="3">
        <v>42795</v>
      </c>
      <c r="C129" s="15">
        <f>SUMIFS(CPI_Data[Health],CPI_Data[Sector], "Rural", CPI_Data[Date], $B129)</f>
        <v>130.6</v>
      </c>
      <c r="D129" s="15">
        <f>AVERAGE(
SUMIFS(CPI_Data[Cereals and products],CPI_Data[Sector], "Rural", CPI_Data[Date], $B129),
SUMIFS(CPI_Data[Meat and fish],CPI_Data[Sector], "Rural", CPI_Data[Date], $B129),
SUMIFS(CPI_Data[Egg],CPI_Data[Sector], "Rural", CPI_Data[Date], $B129),
SUMIFS(CPI_Data[Milk and products],CPI_Data[Sector], "Rural", CPI_Data[Date], $B129),
SUMIFS(CPI_Data[Oils and fats],CPI_Data[Sector], "Rural", CPI_Data[Date], $B129),
SUMIFS(CPI_Data[Fruits],CPI_Data[Sector], "Rural", CPI_Data[Date], $B129),
SUMIFS(CPI_Data[Vegetables],CPI_Data[Sector], "Rural", CPI_Data[Date], $B129),
SUMIFS(CPI_Data[Pulses and products],CPI_Data[Sector], "Rural", CPI_Data[Date], $B129),
SUMIFS(CPI_Data[Sugar and Confectionery],CPI_Data[Sector], "Rural", CPI_Data[Date], $B129),
SUMIFS(CPI_Data[Spices],CPI_Data[Sector], "Rural", CPI_Data[Date], $B129),
SUMIFS(CPI_Data[Non-alcoholic beverages],CPI_Data[Sector], "Rural", CPI_Data[Date], $B129),
SUMIFS(CPI_Data[Prepared meals, snacks, sweets etc.],CPI_Data[Sector], "Rural", CPI_Data[Date], $B129)
)</f>
        <v>132.92500000000001</v>
      </c>
      <c r="E129" s="14">
        <f>SUMIFS(CPI_Data[Fuel and light], CPI_Data[Sector], "Rural", CPI_Data[Date], $B129)</f>
        <v>134.19999999999999</v>
      </c>
      <c r="F129" s="14">
        <f>SUMIFS(CPI_Data[Transport and communication], CPI_Data[Sector], "Rural", CPI_Data[Date], $B129)</f>
        <v>119.8</v>
      </c>
      <c r="G129" s="14">
        <f>SUMIFS(CPI_Data[General index], CPI_Data[Sector], "Rural", CPI_Data[Date], $B129)</f>
        <v>132.80000000000001</v>
      </c>
      <c r="H129" s="14">
        <f>SUMIFS(CPI_Data[Health], CPI_Data[Sector], "Urban", CPI_Data[Date], B129)</f>
        <v>123.1</v>
      </c>
      <c r="I129" s="15">
        <f>AVERAGE(
SUMIFS(CPI_Data[Cereals and products],CPI_Data[Sector], "Urban", CPI_Data[Date], $B129),
SUMIFS(CPI_Data[Meat and fish],CPI_Data[Sector], "Urban", CPI_Data[Date], $B129),
SUMIFS(CPI_Data[Egg],CPI_Data[Sector], "Urban", CPI_Data[Date], $B129),
SUMIFS(CPI_Data[Milk and products],CPI_Data[Sector], "Urban", CPI_Data[Date], $B129),
SUMIFS(CPI_Data[Oils and fats],CPI_Data[Sector], "Urban", CPI_Data[Date], $B129),
SUMIFS(CPI_Data[Fruits],CPI_Data[Sector], "Urban", CPI_Data[Date], $B129),
SUMIFS(CPI_Data[Vegetables],CPI_Data[Sector], "Urban", CPI_Data[Date], $B129),
SUMIFS(CPI_Data[Pulses and products],CPI_Data[Sector], "Urban", CPI_Data[Date], $B129),
SUMIFS(CPI_Data[Sugar and Confectionery],CPI_Data[Sector], "Urban", CPI_Data[Date], $B129),
SUMIFS(CPI_Data[Spices],CPI_Data[Sector], "Urban", CPI_Data[Date], $B129),
SUMIFS(CPI_Data[Non-alcoholic beverages],CPI_Data[Sector], "Urban", CPI_Data[Date], $B129),
SUMIFS(CPI_Data[Prepared meals, snacks, sweets etc.],CPI_Data[Sector], "Urban", CPI_Data[Date], $B129)
)</f>
        <v>131.09166666666667</v>
      </c>
      <c r="J129" s="14">
        <f>SUMIFS(CPI_Data[Fuel and light], CPI_Data[Sector], "Urban", CPI_Data[Date], B129)</f>
        <v>120.8</v>
      </c>
      <c r="K129" s="14">
        <f>SUMIFS(CPI_Data[Transport and communication], CPI_Data[Sector], "Urban", CPI_Data[Date], B129)</f>
        <v>115.6</v>
      </c>
      <c r="L129" s="14">
        <f>SUMIFS(CPI_Data[General index], CPI_Data[Sector], "Urban", CPI_Data[Date], B129)</f>
        <v>128.69999999999999</v>
      </c>
      <c r="M129" s="14">
        <f>SUMIFS(CPI_Data[Health], CPI_Data[Sector], "Rural+Urban", CPI_Data[Date], B129)</f>
        <v>127.8</v>
      </c>
      <c r="N129" s="15">
        <f>AVERAGE(
SUMIFS(CPI_Data[Cereals and products],CPI_Data[Sector], "Rural+Urban", CPI_Data[Date], $B129),
SUMIFS(CPI_Data[Meat and fish],CPI_Data[Sector], "Rural+Urban", CPI_Data[Date], $B129),
SUMIFS(CPI_Data[Egg],CPI_Data[Sector], "Rural+Urban", CPI_Data[Date], $B129),
SUMIFS(CPI_Data[Milk and products],CPI_Data[Sector], "Rural+Urban", CPI_Data[Date], $B129),
SUMIFS(CPI_Data[Oils and fats],CPI_Data[Sector], "Rural+Urban", CPI_Data[Date], $B129),
SUMIFS(CPI_Data[Fruits],CPI_Data[Sector], "Rural+Urban", CPI_Data[Date], $B129),
SUMIFS(CPI_Data[Vegetables],CPI_Data[Sector], "Rural+Urban", CPI_Data[Date], $B129),
SUMIFS(CPI_Data[Pulses and products],CPI_Data[Sector], "Rural+Urban", CPI_Data[Date], $B129),
SUMIFS(CPI_Data[Sugar and Confectionery],CPI_Data[Sector], "Rural+Urban", CPI_Data[Date], $B129),
SUMIFS(CPI_Data[Spices],CPI_Data[Sector], "Rural+Urban", CPI_Data[Date], $B129),
SUMIFS(CPI_Data[Non-alcoholic beverages],CPI_Data[Sector], "Rural+Urban", CPI_Data[Date], $B129),
SUMIFS(CPI_Data[Prepared meals, snacks, sweets etc.],CPI_Data[Sector], "Rural+Urban", CPI_Data[Date], $B129)
)</f>
        <v>132.15</v>
      </c>
      <c r="O129" s="14">
        <f>SUMIFS(CPI_Data[Fuel and light], CPI_Data[Sector], "Rural+Urban", CPI_Data[Date], B129)</f>
        <v>129.1</v>
      </c>
      <c r="P129" s="14">
        <f>SUMIFS(CPI_Data[Transport and communication], CPI_Data[Sector], "Rural+Urban", CPI_Data[Date], B129)</f>
        <v>117.6</v>
      </c>
      <c r="Q129" s="14">
        <f>SUMIFS(CPI_Data[General index], CPI_Data[Sector], "Rural+Urban", CPI_Data[Date], B129)</f>
        <v>130.9</v>
      </c>
    </row>
    <row r="130" spans="2:17" x14ac:dyDescent="0.3">
      <c r="B130" s="3">
        <v>43160</v>
      </c>
      <c r="C130" s="15">
        <f>SUMIFS(CPI_Data[Health],CPI_Data[Sector], "Rural", CPI_Data[Date], $B130)</f>
        <v>136.69999999999999</v>
      </c>
      <c r="D130" s="15">
        <f>AVERAGE(
SUMIFS(CPI_Data[Cereals and products],CPI_Data[Sector], "Rural", CPI_Data[Date], $B130),
SUMIFS(CPI_Data[Meat and fish],CPI_Data[Sector], "Rural", CPI_Data[Date], $B130),
SUMIFS(CPI_Data[Egg],CPI_Data[Sector], "Rural", CPI_Data[Date], $B130),
SUMIFS(CPI_Data[Milk and products],CPI_Data[Sector], "Rural", CPI_Data[Date], $B130),
SUMIFS(CPI_Data[Oils and fats],CPI_Data[Sector], "Rural", CPI_Data[Date], $B130),
SUMIFS(CPI_Data[Fruits],CPI_Data[Sector], "Rural", CPI_Data[Date], $B130),
SUMIFS(CPI_Data[Vegetables],CPI_Data[Sector], "Rural", CPI_Data[Date], $B130),
SUMIFS(CPI_Data[Pulses and products],CPI_Data[Sector], "Rural", CPI_Data[Date], $B130),
SUMIFS(CPI_Data[Sugar and Confectionery],CPI_Data[Sector], "Rural", CPI_Data[Date], $B130),
SUMIFS(CPI_Data[Spices],CPI_Data[Sector], "Rural", CPI_Data[Date], $B130),
SUMIFS(CPI_Data[Non-alcoholic beverages],CPI_Data[Sector], "Rural", CPI_Data[Date], $B130),
SUMIFS(CPI_Data[Prepared meals, snacks, sweets etc.],CPI_Data[Sector], "Rural", CPI_Data[Date], $B130)
)</f>
        <v>136.94999999999999</v>
      </c>
      <c r="E130" s="14">
        <f>SUMIFS(CPI_Data[Fuel and light], CPI_Data[Sector], "Rural", CPI_Data[Date], $B130)</f>
        <v>142.6</v>
      </c>
      <c r="F130" s="14">
        <f>SUMIFS(CPI_Data[Transport and communication], CPI_Data[Sector], "Rural", CPI_Data[Date], $B130)</f>
        <v>124.6</v>
      </c>
      <c r="G130" s="14">
        <f>SUMIFS(CPI_Data[General index], CPI_Data[Sector], "Rural", CPI_Data[Date], $B130)</f>
        <v>138.69999999999999</v>
      </c>
      <c r="H130" s="14">
        <f>SUMIFS(CPI_Data[Health], CPI_Data[Sector], "Urban", CPI_Data[Date], B130)</f>
        <v>130.5</v>
      </c>
      <c r="I130" s="15">
        <f>AVERAGE(
SUMIFS(CPI_Data[Cereals and products],CPI_Data[Sector], "Urban", CPI_Data[Date], $B130),
SUMIFS(CPI_Data[Meat and fish],CPI_Data[Sector], "Urban", CPI_Data[Date], $B130),
SUMIFS(CPI_Data[Egg],CPI_Data[Sector], "Urban", CPI_Data[Date], $B130),
SUMIFS(CPI_Data[Milk and products],CPI_Data[Sector], "Urban", CPI_Data[Date], $B130),
SUMIFS(CPI_Data[Oils and fats],CPI_Data[Sector], "Urban", CPI_Data[Date], $B130),
SUMIFS(CPI_Data[Fruits],CPI_Data[Sector], "Urban", CPI_Data[Date], $B130),
SUMIFS(CPI_Data[Vegetables],CPI_Data[Sector], "Urban", CPI_Data[Date], $B130),
SUMIFS(CPI_Data[Pulses and products],CPI_Data[Sector], "Urban", CPI_Data[Date], $B130),
SUMIFS(CPI_Data[Sugar and Confectionery],CPI_Data[Sector], "Urban", CPI_Data[Date], $B130),
SUMIFS(CPI_Data[Spices],CPI_Data[Sector], "Urban", CPI_Data[Date], $B130),
SUMIFS(CPI_Data[Non-alcoholic beverages],CPI_Data[Sector], "Urban", CPI_Data[Date], $B130),
SUMIFS(CPI_Data[Prepared meals, snacks, sweets etc.],CPI_Data[Sector], "Urban", CPI_Data[Date], $B130)
)</f>
        <v>131.72499999999999</v>
      </c>
      <c r="J130" s="14">
        <f>SUMIFS(CPI_Data[Fuel and light], CPI_Data[Sector], "Urban", CPI_Data[Date], B130)</f>
        <v>126.4</v>
      </c>
      <c r="K130" s="14">
        <f>SUMIFS(CPI_Data[Transport and communication], CPI_Data[Sector], "Urban", CPI_Data[Date], B130)</f>
        <v>117.8</v>
      </c>
      <c r="L130" s="14">
        <f>SUMIFS(CPI_Data[General index], CPI_Data[Sector], "Urban", CPI_Data[Date], B130)</f>
        <v>134</v>
      </c>
      <c r="M130" s="14">
        <f>SUMIFS(CPI_Data[Health], CPI_Data[Sector], "Rural+Urban", CPI_Data[Date], B130)</f>
        <v>134.30000000000001</v>
      </c>
      <c r="N130" s="15">
        <f>AVERAGE(
SUMIFS(CPI_Data[Cereals and products],CPI_Data[Sector], "Rural+Urban", CPI_Data[Date], $B130),
SUMIFS(CPI_Data[Meat and fish],CPI_Data[Sector], "Rural+Urban", CPI_Data[Date], $B130),
SUMIFS(CPI_Data[Egg],CPI_Data[Sector], "Rural+Urban", CPI_Data[Date], $B130),
SUMIFS(CPI_Data[Milk and products],CPI_Data[Sector], "Rural+Urban", CPI_Data[Date], $B130),
SUMIFS(CPI_Data[Oils and fats],CPI_Data[Sector], "Rural+Urban", CPI_Data[Date], $B130),
SUMIFS(CPI_Data[Fruits],CPI_Data[Sector], "Rural+Urban", CPI_Data[Date], $B130),
SUMIFS(CPI_Data[Vegetables],CPI_Data[Sector], "Rural+Urban", CPI_Data[Date], $B130),
SUMIFS(CPI_Data[Pulses and products],CPI_Data[Sector], "Rural+Urban", CPI_Data[Date], $B130),
SUMIFS(CPI_Data[Sugar and Confectionery],CPI_Data[Sector], "Rural+Urban", CPI_Data[Date], $B130),
SUMIFS(CPI_Data[Spices],CPI_Data[Sector], "Rural+Urban", CPI_Data[Date], $B130),
SUMIFS(CPI_Data[Non-alcoholic beverages],CPI_Data[Sector], "Rural+Urban", CPI_Data[Date], $B130),
SUMIFS(CPI_Data[Prepared meals, snacks, sweets etc.],CPI_Data[Sector], "Rural+Urban", CPI_Data[Date], $B130)
)</f>
        <v>134.9</v>
      </c>
      <c r="O130" s="14">
        <f>SUMIFS(CPI_Data[Fuel and light], CPI_Data[Sector], "Rural+Urban", CPI_Data[Date], B130)</f>
        <v>136.5</v>
      </c>
      <c r="P130" s="14">
        <f>SUMIFS(CPI_Data[Transport and communication], CPI_Data[Sector], "Rural+Urban", CPI_Data[Date], B130)</f>
        <v>121</v>
      </c>
      <c r="Q130" s="14">
        <f>SUMIFS(CPI_Data[General index], CPI_Data[Sector], "Rural+Urban", CPI_Data[Date], B130)</f>
        <v>136.5</v>
      </c>
    </row>
    <row r="131" spans="2:17" x14ac:dyDescent="0.3">
      <c r="B131" s="3">
        <v>43525</v>
      </c>
      <c r="C131" s="15">
        <f>SUMIFS(CPI_Data[Health],CPI_Data[Sector], "Rural", CPI_Data[Date], $B131)</f>
        <v>150.4</v>
      </c>
      <c r="D131" s="15">
        <f>AVERAGE(
SUMIFS(CPI_Data[Cereals and products],CPI_Data[Sector], "Rural", CPI_Data[Date], $B131),
SUMIFS(CPI_Data[Meat and fish],CPI_Data[Sector], "Rural", CPI_Data[Date], $B131),
SUMIFS(CPI_Data[Egg],CPI_Data[Sector], "Rural", CPI_Data[Date], $B131),
SUMIFS(CPI_Data[Milk and products],CPI_Data[Sector], "Rural", CPI_Data[Date], $B131),
SUMIFS(CPI_Data[Oils and fats],CPI_Data[Sector], "Rural", CPI_Data[Date], $B131),
SUMIFS(CPI_Data[Fruits],CPI_Data[Sector], "Rural", CPI_Data[Date], $B131),
SUMIFS(CPI_Data[Vegetables],CPI_Data[Sector], "Rural", CPI_Data[Date], $B131),
SUMIFS(CPI_Data[Pulses and products],CPI_Data[Sector], "Rural", CPI_Data[Date], $B131),
SUMIFS(CPI_Data[Sugar and Confectionery],CPI_Data[Sector], "Rural", CPI_Data[Date], $B131),
SUMIFS(CPI_Data[Spices],CPI_Data[Sector], "Rural", CPI_Data[Date], $B131),
SUMIFS(CPI_Data[Non-alcoholic beverages],CPI_Data[Sector], "Rural", CPI_Data[Date], $B131),
SUMIFS(CPI_Data[Prepared meals, snacks, sweets etc.],CPI_Data[Sector], "Rural", CPI_Data[Date], $B131)
)</f>
        <v>135.32500000000002</v>
      </c>
      <c r="E131" s="14">
        <f>SUMIFS(CPI_Data[Fuel and light], CPI_Data[Sector], "Rural", CPI_Data[Date], $B131)</f>
        <v>146.4</v>
      </c>
      <c r="F131" s="14">
        <f>SUMIFS(CPI_Data[Transport and communication], CPI_Data[Sector], "Rural", CPI_Data[Date], $B131)</f>
        <v>129.9</v>
      </c>
      <c r="G131" s="14">
        <f>SUMIFS(CPI_Data[General index], CPI_Data[Sector], "Rural", CPI_Data[Date], $B131)</f>
        <v>141.19999999999999</v>
      </c>
      <c r="H131" s="14">
        <f>SUMIFS(CPI_Data[Health], CPI_Data[Sector], "Urban", CPI_Data[Date], B131)</f>
        <v>139.19999999999999</v>
      </c>
      <c r="I131" s="15">
        <f>AVERAGE(
SUMIFS(CPI_Data[Cereals and products],CPI_Data[Sector], "Urban", CPI_Data[Date], $B131),
SUMIFS(CPI_Data[Meat and fish],CPI_Data[Sector], "Urban", CPI_Data[Date], $B131),
SUMIFS(CPI_Data[Egg],CPI_Data[Sector], "Urban", CPI_Data[Date], $B131),
SUMIFS(CPI_Data[Milk and products],CPI_Data[Sector], "Urban", CPI_Data[Date], $B131),
SUMIFS(CPI_Data[Oils and fats],CPI_Data[Sector], "Urban", CPI_Data[Date], $B131),
SUMIFS(CPI_Data[Fruits],CPI_Data[Sector], "Urban", CPI_Data[Date], $B131),
SUMIFS(CPI_Data[Vegetables],CPI_Data[Sector], "Urban", CPI_Data[Date], $B131),
SUMIFS(CPI_Data[Pulses and products],CPI_Data[Sector], "Urban", CPI_Data[Date], $B131),
SUMIFS(CPI_Data[Sugar and Confectionery],CPI_Data[Sector], "Urban", CPI_Data[Date], $B131),
SUMIFS(CPI_Data[Spices],CPI_Data[Sector], "Urban", CPI_Data[Date], $B131),
SUMIFS(CPI_Data[Non-alcoholic beverages],CPI_Data[Sector], "Urban", CPI_Data[Date], $B131),
SUMIFS(CPI_Data[Prepared meals, snacks, sweets etc.],CPI_Data[Sector], "Urban", CPI_Data[Date], $B131)
)</f>
        <v>135.73333333333335</v>
      </c>
      <c r="J131" s="14">
        <f>SUMIFS(CPI_Data[Fuel and light], CPI_Data[Sector], "Urban", CPI_Data[Date], B131)</f>
        <v>128.80000000000001</v>
      </c>
      <c r="K131" s="14">
        <f>SUMIFS(CPI_Data[Transport and communication], CPI_Data[Sector], "Urban", CPI_Data[Date], B131)</f>
        <v>119.9</v>
      </c>
      <c r="L131" s="14">
        <f>SUMIFS(CPI_Data[General index], CPI_Data[Sector], "Urban", CPI_Data[Date], B131)</f>
        <v>139.5</v>
      </c>
      <c r="M131" s="14">
        <f>SUMIFS(CPI_Data[Health], CPI_Data[Sector], "Rural+Urban", CPI_Data[Date], B131)</f>
        <v>146.19999999999999</v>
      </c>
      <c r="N131" s="15">
        <f>AVERAGE(
SUMIFS(CPI_Data[Cereals and products],CPI_Data[Sector], "Rural+Urban", CPI_Data[Date], $B131),
SUMIFS(CPI_Data[Meat and fish],CPI_Data[Sector], "Rural+Urban", CPI_Data[Date], $B131),
SUMIFS(CPI_Data[Egg],CPI_Data[Sector], "Rural+Urban", CPI_Data[Date], $B131),
SUMIFS(CPI_Data[Milk and products],CPI_Data[Sector], "Rural+Urban", CPI_Data[Date], $B131),
SUMIFS(CPI_Data[Oils and fats],CPI_Data[Sector], "Rural+Urban", CPI_Data[Date], $B131),
SUMIFS(CPI_Data[Fruits],CPI_Data[Sector], "Rural+Urban", CPI_Data[Date], $B131),
SUMIFS(CPI_Data[Vegetables],CPI_Data[Sector], "Rural+Urban", CPI_Data[Date], $B131),
SUMIFS(CPI_Data[Pulses and products],CPI_Data[Sector], "Rural+Urban", CPI_Data[Date], $B131),
SUMIFS(CPI_Data[Sugar and Confectionery],CPI_Data[Sector], "Rural+Urban", CPI_Data[Date], $B131),
SUMIFS(CPI_Data[Spices],CPI_Data[Sector], "Rural+Urban", CPI_Data[Date], $B131),
SUMIFS(CPI_Data[Non-alcoholic beverages],CPI_Data[Sector], "Rural+Urban", CPI_Data[Date], $B131),
SUMIFS(CPI_Data[Prepared meals, snacks, sweets etc.],CPI_Data[Sector], "Rural+Urban", CPI_Data[Date], $B131)
)</f>
        <v>135.4</v>
      </c>
      <c r="O131" s="14">
        <f>SUMIFS(CPI_Data[Fuel and light], CPI_Data[Sector], "Rural+Urban", CPI_Data[Date], B131)</f>
        <v>139.69999999999999</v>
      </c>
      <c r="P131" s="14">
        <f>SUMIFS(CPI_Data[Transport and communication], CPI_Data[Sector], "Rural+Urban", CPI_Data[Date], B131)</f>
        <v>124.6</v>
      </c>
      <c r="Q131" s="14">
        <f>SUMIFS(CPI_Data[General index], CPI_Data[Sector], "Rural+Urban", CPI_Data[Date], B131)</f>
        <v>140.4</v>
      </c>
    </row>
    <row r="132" spans="2:17" x14ac:dyDescent="0.3">
      <c r="B132" s="3">
        <v>43891</v>
      </c>
      <c r="C132" s="15">
        <f>SUMIFS(CPI_Data[Health],CPI_Data[Sector], "Rural", CPI_Data[Date], $B132)</f>
        <v>156.69999999999999</v>
      </c>
      <c r="D132" s="15">
        <f>AVERAGE(
SUMIFS(CPI_Data[Cereals and products],CPI_Data[Sector], "Rural", CPI_Data[Date], $B132),
SUMIFS(CPI_Data[Meat and fish],CPI_Data[Sector], "Rural", CPI_Data[Date], $B132),
SUMIFS(CPI_Data[Egg],CPI_Data[Sector], "Rural", CPI_Data[Date], $B132),
SUMIFS(CPI_Data[Milk and products],CPI_Data[Sector], "Rural", CPI_Data[Date], $B132),
SUMIFS(CPI_Data[Oils and fats],CPI_Data[Sector], "Rural", CPI_Data[Date], $B132),
SUMIFS(CPI_Data[Fruits],CPI_Data[Sector], "Rural", CPI_Data[Date], $B132),
SUMIFS(CPI_Data[Vegetables],CPI_Data[Sector], "Rural", CPI_Data[Date], $B132),
SUMIFS(CPI_Data[Pulses and products],CPI_Data[Sector], "Rural", CPI_Data[Date], $B132),
SUMIFS(CPI_Data[Sugar and Confectionery],CPI_Data[Sector], "Rural", CPI_Data[Date], $B132),
SUMIFS(CPI_Data[Spices],CPI_Data[Sector], "Rural", CPI_Data[Date], $B132),
SUMIFS(CPI_Data[Non-alcoholic beverages],CPI_Data[Sector], "Rural", CPI_Data[Date], $B132),
SUMIFS(CPI_Data[Prepared meals, snacks, sweets etc.],CPI_Data[Sector], "Rural", CPI_Data[Date], $B132)
)</f>
        <v>145.5333333333333</v>
      </c>
      <c r="E132" s="14">
        <f>SUMIFS(CPI_Data[Fuel and light], CPI_Data[Sector], "Rural", CPI_Data[Date], $B132)</f>
        <v>153.4</v>
      </c>
      <c r="F132" s="14">
        <f>SUMIFS(CPI_Data[Transport and communication], CPI_Data[Sector], "Rural", CPI_Data[Date], $B132)</f>
        <v>135.80000000000001</v>
      </c>
      <c r="G132" s="14">
        <f>SUMIFS(CPI_Data[General index], CPI_Data[Sector], "Rural", CPI_Data[Date], $B132)</f>
        <v>149.80000000000001</v>
      </c>
      <c r="H132" s="14">
        <f>SUMIFS(CPI_Data[Health], CPI_Data[Sector], "Urban", CPI_Data[Date], B132)</f>
        <v>145</v>
      </c>
      <c r="I132" s="15">
        <f>AVERAGE(
SUMIFS(CPI_Data[Cereals and products],CPI_Data[Sector], "Urban", CPI_Data[Date], $B132),
SUMIFS(CPI_Data[Meat and fish],CPI_Data[Sector], "Urban", CPI_Data[Date], $B132),
SUMIFS(CPI_Data[Egg],CPI_Data[Sector], "Urban", CPI_Data[Date], $B132),
SUMIFS(CPI_Data[Milk and products],CPI_Data[Sector], "Urban", CPI_Data[Date], $B132),
SUMIFS(CPI_Data[Oils and fats],CPI_Data[Sector], "Urban", CPI_Data[Date], $B132),
SUMIFS(CPI_Data[Fruits],CPI_Data[Sector], "Urban", CPI_Data[Date], $B132),
SUMIFS(CPI_Data[Vegetables],CPI_Data[Sector], "Urban", CPI_Data[Date], $B132),
SUMIFS(CPI_Data[Pulses and products],CPI_Data[Sector], "Urban", CPI_Data[Date], $B132),
SUMIFS(CPI_Data[Sugar and Confectionery],CPI_Data[Sector], "Urban", CPI_Data[Date], $B132),
SUMIFS(CPI_Data[Spices],CPI_Data[Sector], "Urban", CPI_Data[Date], $B132),
SUMIFS(CPI_Data[Non-alcoholic beverages],CPI_Data[Sector], "Urban", CPI_Data[Date], $B132),
SUMIFS(CPI_Data[Prepared meals, snacks, sweets etc.],CPI_Data[Sector], "Urban", CPI_Data[Date], $B132)
)</f>
        <v>145.70000000000002</v>
      </c>
      <c r="J132" s="14">
        <f>SUMIFS(CPI_Data[Fuel and light], CPI_Data[Sector], "Urban", CPI_Data[Date], B132)</f>
        <v>141.4</v>
      </c>
      <c r="K132" s="14">
        <f>SUMIFS(CPI_Data[Transport and communication], CPI_Data[Sector], "Urban", CPI_Data[Date], B132)</f>
        <v>124.6</v>
      </c>
      <c r="L132" s="14">
        <f>SUMIFS(CPI_Data[General index], CPI_Data[Sector], "Urban", CPI_Data[Date], B132)</f>
        <v>147.30000000000001</v>
      </c>
      <c r="M132" s="14">
        <f>SUMIFS(CPI_Data[Health], CPI_Data[Sector], "Rural+Urban", CPI_Data[Date], B132)</f>
        <v>152.30000000000001</v>
      </c>
      <c r="N132" s="15">
        <f>AVERAGE(
SUMIFS(CPI_Data[Cereals and products],CPI_Data[Sector], "Rural+Urban", CPI_Data[Date], $B132),
SUMIFS(CPI_Data[Meat and fish],CPI_Data[Sector], "Rural+Urban", CPI_Data[Date], $B132),
SUMIFS(CPI_Data[Egg],CPI_Data[Sector], "Rural+Urban", CPI_Data[Date], $B132),
SUMIFS(CPI_Data[Milk and products],CPI_Data[Sector], "Rural+Urban", CPI_Data[Date], $B132),
SUMIFS(CPI_Data[Oils and fats],CPI_Data[Sector], "Rural+Urban", CPI_Data[Date], $B132),
SUMIFS(CPI_Data[Fruits],CPI_Data[Sector], "Rural+Urban", CPI_Data[Date], $B132),
SUMIFS(CPI_Data[Vegetables],CPI_Data[Sector], "Rural+Urban", CPI_Data[Date], $B132),
SUMIFS(CPI_Data[Pulses and products],CPI_Data[Sector], "Rural+Urban", CPI_Data[Date], $B132),
SUMIFS(CPI_Data[Sugar and Confectionery],CPI_Data[Sector], "Rural+Urban", CPI_Data[Date], $B132),
SUMIFS(CPI_Data[Spices],CPI_Data[Sector], "Rural+Urban", CPI_Data[Date], $B132),
SUMIFS(CPI_Data[Non-alcoholic beverages],CPI_Data[Sector], "Rural+Urban", CPI_Data[Date], $B132),
SUMIFS(CPI_Data[Prepared meals, snacks, sweets etc.],CPI_Data[Sector], "Rural+Urban", CPI_Data[Date], $B132)
)</f>
        <v>145.54166666666666</v>
      </c>
      <c r="O132" s="14">
        <f>SUMIFS(CPI_Data[Fuel and light], CPI_Data[Sector], "Rural+Urban", CPI_Data[Date], B132)</f>
        <v>148.9</v>
      </c>
      <c r="P132" s="14">
        <f>SUMIFS(CPI_Data[Transport and communication], CPI_Data[Sector], "Rural+Urban", CPI_Data[Date], B132)</f>
        <v>129.9</v>
      </c>
      <c r="Q132" s="14">
        <f>SUMIFS(CPI_Data[General index], CPI_Data[Sector], "Rural+Urban", CPI_Data[Date], B132)</f>
        <v>148.6</v>
      </c>
    </row>
    <row r="133" spans="2:17" x14ac:dyDescent="0.3">
      <c r="B133" s="3">
        <v>44256</v>
      </c>
      <c r="C133" s="15">
        <f>SUMIFS(CPI_Data[Health],CPI_Data[Sector], "Rural", CPI_Data[Date], $B133)</f>
        <v>164.6</v>
      </c>
      <c r="D133" s="15">
        <f>AVERAGE(
SUMIFS(CPI_Data[Cereals and products],CPI_Data[Sector], "Rural", CPI_Data[Date], $B133),
SUMIFS(CPI_Data[Meat and fish],CPI_Data[Sector], "Rural", CPI_Data[Date], $B133),
SUMIFS(CPI_Data[Egg],CPI_Data[Sector], "Rural", CPI_Data[Date], $B133),
SUMIFS(CPI_Data[Milk and products],CPI_Data[Sector], "Rural", CPI_Data[Date], $B133),
SUMIFS(CPI_Data[Oils and fats],CPI_Data[Sector], "Rural", CPI_Data[Date], $B133),
SUMIFS(CPI_Data[Fruits],CPI_Data[Sector], "Rural", CPI_Data[Date], $B133),
SUMIFS(CPI_Data[Vegetables],CPI_Data[Sector], "Rural", CPI_Data[Date], $B133),
SUMIFS(CPI_Data[Pulses and products],CPI_Data[Sector], "Rural", CPI_Data[Date], $B133),
SUMIFS(CPI_Data[Sugar and Confectionery],CPI_Data[Sector], "Rural", CPI_Data[Date], $B133),
SUMIFS(CPI_Data[Spices],CPI_Data[Sector], "Rural", CPI_Data[Date], $B133),
SUMIFS(CPI_Data[Non-alcoholic beverages],CPI_Data[Sector], "Rural", CPI_Data[Date], $B133),
SUMIFS(CPI_Data[Prepared meals, snacks, sweets etc.],CPI_Data[Sector], "Rural", CPI_Data[Date], $B133)
)</f>
        <v>155.93333333333334</v>
      </c>
      <c r="E133" s="14">
        <f>SUMIFS(CPI_Data[Fuel and light], CPI_Data[Sector], "Rural", CPI_Data[Date], $B133)</f>
        <v>156</v>
      </c>
      <c r="F133" s="14">
        <f>SUMIFS(CPI_Data[Transport and communication], CPI_Data[Sector], "Rural", CPI_Data[Date], $B133)</f>
        <v>151.30000000000001</v>
      </c>
      <c r="G133" s="14">
        <f>SUMIFS(CPI_Data[General index], CPI_Data[Sector], "Rural", CPI_Data[Date], $B133)</f>
        <v>156.69999999999999</v>
      </c>
      <c r="H133" s="14">
        <f>SUMIFS(CPI_Data[Health], CPI_Data[Sector], "Urban", CPI_Data[Date], B133)</f>
        <v>156.9</v>
      </c>
      <c r="I133" s="15">
        <f>AVERAGE(
SUMIFS(CPI_Data[Cereals and products],CPI_Data[Sector], "Urban", CPI_Data[Date], $B133),
SUMIFS(CPI_Data[Meat and fish],CPI_Data[Sector], "Urban", CPI_Data[Date], $B133),
SUMIFS(CPI_Data[Egg],CPI_Data[Sector], "Urban", CPI_Data[Date], $B133),
SUMIFS(CPI_Data[Milk and products],CPI_Data[Sector], "Urban", CPI_Data[Date], $B133),
SUMIFS(CPI_Data[Oils and fats],CPI_Data[Sector], "Urban", CPI_Data[Date], $B133),
SUMIFS(CPI_Data[Fruits],CPI_Data[Sector], "Urban", CPI_Data[Date], $B133),
SUMIFS(CPI_Data[Vegetables],CPI_Data[Sector], "Urban", CPI_Data[Date], $B133),
SUMIFS(CPI_Data[Pulses and products],CPI_Data[Sector], "Urban", CPI_Data[Date], $B133),
SUMIFS(CPI_Data[Sugar and Confectionery],CPI_Data[Sector], "Urban", CPI_Data[Date], $B133),
SUMIFS(CPI_Data[Spices],CPI_Data[Sector], "Urban", CPI_Data[Date], $B133),
SUMIFS(CPI_Data[Non-alcoholic beverages],CPI_Data[Sector], "Urban", CPI_Data[Date], $B133),
SUMIFS(CPI_Data[Prepared meals, snacks, sweets etc.],CPI_Data[Sector], "Urban", CPI_Data[Date], $B133)
)</f>
        <v>158.67499999999998</v>
      </c>
      <c r="J133" s="14">
        <f>SUMIFS(CPI_Data[Fuel and light], CPI_Data[Sector], "Urban", CPI_Data[Date], B133)</f>
        <v>154.80000000000001</v>
      </c>
      <c r="K133" s="14">
        <f>SUMIFS(CPI_Data[Transport and communication], CPI_Data[Sector], "Urban", CPI_Data[Date], B133)</f>
        <v>141.69999999999999</v>
      </c>
      <c r="L133" s="14">
        <f>SUMIFS(CPI_Data[General index], CPI_Data[Sector], "Urban", CPI_Data[Date], B133)</f>
        <v>156.9</v>
      </c>
      <c r="M133" s="14">
        <f>SUMIFS(CPI_Data[Health], CPI_Data[Sector], "Rural+Urban", CPI_Data[Date], B133)</f>
        <v>161.69999999999999</v>
      </c>
      <c r="N133" s="15">
        <f>AVERAGE(
SUMIFS(CPI_Data[Cereals and products],CPI_Data[Sector], "Rural+Urban", CPI_Data[Date], $B133),
SUMIFS(CPI_Data[Meat and fish],CPI_Data[Sector], "Rural+Urban", CPI_Data[Date], $B133),
SUMIFS(CPI_Data[Egg],CPI_Data[Sector], "Rural+Urban", CPI_Data[Date], $B133),
SUMIFS(CPI_Data[Milk and products],CPI_Data[Sector], "Rural+Urban", CPI_Data[Date], $B133),
SUMIFS(CPI_Data[Oils and fats],CPI_Data[Sector], "Rural+Urban", CPI_Data[Date], $B133),
SUMIFS(CPI_Data[Fruits],CPI_Data[Sector], "Rural+Urban", CPI_Data[Date], $B133),
SUMIFS(CPI_Data[Vegetables],CPI_Data[Sector], "Rural+Urban", CPI_Data[Date], $B133),
SUMIFS(CPI_Data[Pulses and products],CPI_Data[Sector], "Rural+Urban", CPI_Data[Date], $B133),
SUMIFS(CPI_Data[Sugar and Confectionery],CPI_Data[Sector], "Rural+Urban", CPI_Data[Date], $B133),
SUMIFS(CPI_Data[Spices],CPI_Data[Sector], "Rural+Urban", CPI_Data[Date], $B133),
SUMIFS(CPI_Data[Non-alcoholic beverages],CPI_Data[Sector], "Rural+Urban", CPI_Data[Date], $B133),
SUMIFS(CPI_Data[Prepared meals, snacks, sweets etc.],CPI_Data[Sector], "Rural+Urban", CPI_Data[Date], $B133)
)</f>
        <v>156.89166666666665</v>
      </c>
      <c r="O133" s="14">
        <f>SUMIFS(CPI_Data[Fuel and light], CPI_Data[Sector], "Rural+Urban", CPI_Data[Date], B133)</f>
        <v>155.5</v>
      </c>
      <c r="P133" s="14">
        <f>SUMIFS(CPI_Data[Transport and communication], CPI_Data[Sector], "Rural+Urban", CPI_Data[Date], B133)</f>
        <v>146.19999999999999</v>
      </c>
      <c r="Q133" s="14">
        <f>SUMIFS(CPI_Data[General index], CPI_Data[Sector], "Rural+Urban", CPI_Data[Date], B133)</f>
        <v>156.80000000000001</v>
      </c>
    </row>
    <row r="134" spans="2:17" x14ac:dyDescent="0.3">
      <c r="B134" s="3">
        <v>44621</v>
      </c>
      <c r="C134" s="15">
        <f>SUMIFS(CPI_Data[Health],CPI_Data[Sector], "Rural", CPI_Data[Date], $B134)</f>
        <v>176</v>
      </c>
      <c r="D134" s="15">
        <f>AVERAGE(
SUMIFS(CPI_Data[Cereals and products],CPI_Data[Sector], "Rural", CPI_Data[Date], $B134),
SUMIFS(CPI_Data[Meat and fish],CPI_Data[Sector], "Rural", CPI_Data[Date], $B134),
SUMIFS(CPI_Data[Egg],CPI_Data[Sector], "Rural", CPI_Data[Date], $B134),
SUMIFS(CPI_Data[Milk and products],CPI_Data[Sector], "Rural", CPI_Data[Date], $B134),
SUMIFS(CPI_Data[Oils and fats],CPI_Data[Sector], "Rural", CPI_Data[Date], $B134),
SUMIFS(CPI_Data[Fruits],CPI_Data[Sector], "Rural", CPI_Data[Date], $B134),
SUMIFS(CPI_Data[Vegetables],CPI_Data[Sector], "Rural", CPI_Data[Date], $B134),
SUMIFS(CPI_Data[Pulses and products],CPI_Data[Sector], "Rural", CPI_Data[Date], $B134),
SUMIFS(CPI_Data[Sugar and Confectionery],CPI_Data[Sector], "Rural", CPI_Data[Date], $B134),
SUMIFS(CPI_Data[Spices],CPI_Data[Sector], "Rural", CPI_Data[Date], $B134),
SUMIFS(CPI_Data[Non-alcoholic beverages],CPI_Data[Sector], "Rural", CPI_Data[Date], $B134),
SUMIFS(CPI_Data[Prepared meals, snacks, sweets etc.],CPI_Data[Sector], "Rural", CPI_Data[Date], $B134)
)</f>
        <v>167.70833333333334</v>
      </c>
      <c r="E134" s="14">
        <f>SUMIFS(CPI_Data[Fuel and light], CPI_Data[Sector], "Rural", CPI_Data[Date], $B134)</f>
        <v>168.9</v>
      </c>
      <c r="F134" s="14">
        <f>SUMIFS(CPI_Data[Transport and communication], CPI_Data[Sector], "Rural", CPI_Data[Date], $B134)</f>
        <v>162</v>
      </c>
      <c r="G134" s="14">
        <f>SUMIFS(CPI_Data[General index], CPI_Data[Sector], "Rural", CPI_Data[Date], $B134)</f>
        <v>168.7</v>
      </c>
      <c r="H134" s="14">
        <f>SUMIFS(CPI_Data[Health], CPI_Data[Sector], "Urban", CPI_Data[Date], B134)</f>
        <v>168.2</v>
      </c>
      <c r="I134" s="15">
        <f>AVERAGE(
SUMIFS(CPI_Data[Cereals and products],CPI_Data[Sector], "Urban", CPI_Data[Date], $B134),
SUMIFS(CPI_Data[Meat and fish],CPI_Data[Sector], "Urban", CPI_Data[Date], $B134),
SUMIFS(CPI_Data[Egg],CPI_Data[Sector], "Urban", CPI_Data[Date], $B134),
SUMIFS(CPI_Data[Milk and products],CPI_Data[Sector], "Urban", CPI_Data[Date], $B134),
SUMIFS(CPI_Data[Oils and fats],CPI_Data[Sector], "Urban", CPI_Data[Date], $B134),
SUMIFS(CPI_Data[Fruits],CPI_Data[Sector], "Urban", CPI_Data[Date], $B134),
SUMIFS(CPI_Data[Vegetables],CPI_Data[Sector], "Urban", CPI_Data[Date], $B134),
SUMIFS(CPI_Data[Pulses and products],CPI_Data[Sector], "Urban", CPI_Data[Date], $B134),
SUMIFS(CPI_Data[Sugar and Confectionery],CPI_Data[Sector], "Urban", CPI_Data[Date], $B134),
SUMIFS(CPI_Data[Spices],CPI_Data[Sector], "Urban", CPI_Data[Date], $B134),
SUMIFS(CPI_Data[Non-alcoholic beverages],CPI_Data[Sector], "Urban", CPI_Data[Date], $B134),
SUMIFS(CPI_Data[Prepared meals, snacks, sweets etc.],CPI_Data[Sector], "Urban", CPI_Data[Date], $B134)
)</f>
        <v>168.73333333333335</v>
      </c>
      <c r="J134" s="14">
        <f>SUMIFS(CPI_Data[Fuel and light], CPI_Data[Sector], "Urban", CPI_Data[Date], B134)</f>
        <v>164.5</v>
      </c>
      <c r="K134" s="14">
        <f>SUMIFS(CPI_Data[Transport and communication], CPI_Data[Sector], "Urban", CPI_Data[Date], B134)</f>
        <v>154.19999999999999</v>
      </c>
      <c r="L134" s="14">
        <f>SUMIFS(CPI_Data[General index], CPI_Data[Sector], "Urban", CPI_Data[Date], B134)</f>
        <v>166.5</v>
      </c>
      <c r="M134" s="14">
        <f>SUMIFS(CPI_Data[Health], CPI_Data[Sector], "Rural+Urban", CPI_Data[Date], B134)</f>
        <v>173</v>
      </c>
      <c r="N134" s="15">
        <f>AVERAGE(
SUMIFS(CPI_Data[Cereals and products],CPI_Data[Sector], "Rural+Urban", CPI_Data[Date], $B134),
SUMIFS(CPI_Data[Meat and fish],CPI_Data[Sector], "Rural+Urban", CPI_Data[Date], $B134),
SUMIFS(CPI_Data[Egg],CPI_Data[Sector], "Rural+Urban", CPI_Data[Date], $B134),
SUMIFS(CPI_Data[Milk and products],CPI_Data[Sector], "Rural+Urban", CPI_Data[Date], $B134),
SUMIFS(CPI_Data[Oils and fats],CPI_Data[Sector], "Rural+Urban", CPI_Data[Date], $B134),
SUMIFS(CPI_Data[Fruits],CPI_Data[Sector], "Rural+Urban", CPI_Data[Date], $B134),
SUMIFS(CPI_Data[Vegetables],CPI_Data[Sector], "Rural+Urban", CPI_Data[Date], $B134),
SUMIFS(CPI_Data[Pulses and products],CPI_Data[Sector], "Rural+Urban", CPI_Data[Date], $B134),
SUMIFS(CPI_Data[Sugar and Confectionery],CPI_Data[Sector], "Rural+Urban", CPI_Data[Date], $B134),
SUMIFS(CPI_Data[Spices],CPI_Data[Sector], "Rural+Urban", CPI_Data[Date], $B134),
SUMIFS(CPI_Data[Non-alcoholic beverages],CPI_Data[Sector], "Rural+Urban", CPI_Data[Date], $B134),
SUMIFS(CPI_Data[Prepared meals, snacks, sweets etc.],CPI_Data[Sector], "Rural+Urban", CPI_Data[Date], $B134)
)</f>
        <v>167.98333333333335</v>
      </c>
      <c r="O134" s="14">
        <f>SUMIFS(CPI_Data[Fuel and light], CPI_Data[Sector], "Rural+Urban", CPI_Data[Date], B134)</f>
        <v>167.2</v>
      </c>
      <c r="P134" s="14">
        <f>SUMIFS(CPI_Data[Transport and communication], CPI_Data[Sector], "Rural+Urban", CPI_Data[Date], B134)</f>
        <v>157.9</v>
      </c>
      <c r="Q134" s="14">
        <f>SUMIFS(CPI_Data[General index], CPI_Data[Sector], "Rural+Urban", CPI_Data[Date], B134)</f>
        <v>167.7</v>
      </c>
    </row>
    <row r="135" spans="2:17" x14ac:dyDescent="0.3">
      <c r="B135" s="3">
        <v>44986</v>
      </c>
      <c r="C135" s="15">
        <f>SUMIFS(CPI_Data[Health],CPI_Data[Sector], "Rural", CPI_Data[Date], $B135)</f>
        <v>186.6</v>
      </c>
      <c r="D135" s="15">
        <f>AVERAGE(
SUMIFS(CPI_Data[Cereals and products],CPI_Data[Sector], "Rural", CPI_Data[Date], $B135),
SUMIFS(CPI_Data[Meat and fish],CPI_Data[Sector], "Rural", CPI_Data[Date], $B135),
SUMIFS(CPI_Data[Egg],CPI_Data[Sector], "Rural", CPI_Data[Date], $B135),
SUMIFS(CPI_Data[Milk and products],CPI_Data[Sector], "Rural", CPI_Data[Date], $B135),
SUMIFS(CPI_Data[Oils and fats],CPI_Data[Sector], "Rural", CPI_Data[Date], $B135),
SUMIFS(CPI_Data[Fruits],CPI_Data[Sector], "Rural", CPI_Data[Date], $B135),
SUMIFS(CPI_Data[Vegetables],CPI_Data[Sector], "Rural", CPI_Data[Date], $B135),
SUMIFS(CPI_Data[Pulses and products],CPI_Data[Sector], "Rural", CPI_Data[Date], $B135),
SUMIFS(CPI_Data[Sugar and Confectionery],CPI_Data[Sector], "Rural", CPI_Data[Date], $B135),
SUMIFS(CPI_Data[Spices],CPI_Data[Sector], "Rural", CPI_Data[Date], $B135),
SUMIFS(CPI_Data[Non-alcoholic beverages],CPI_Data[Sector], "Rural", CPI_Data[Date], $B135),
SUMIFS(CPI_Data[Prepared meals, snacks, sweets etc.],CPI_Data[Sector], "Rural", CPI_Data[Date], $B135)
)</f>
        <v>174.25</v>
      </c>
      <c r="E135" s="14">
        <f>SUMIFS(CPI_Data[Fuel and light], CPI_Data[Sector], "Rural", CPI_Data[Date], $B135)</f>
        <v>181.4</v>
      </c>
      <c r="F135" s="14">
        <f>SUMIFS(CPI_Data[Transport and communication], CPI_Data[Sector], "Rural", CPI_Data[Date], $B135)</f>
        <v>169</v>
      </c>
      <c r="G135" s="14">
        <f>SUMIFS(CPI_Data[General index], CPI_Data[Sector], "Rural", CPI_Data[Date], $B135)</f>
        <v>178</v>
      </c>
      <c r="H135" s="14">
        <f>SUMIFS(CPI_Data[Health], CPI_Data[Sector], "Urban", CPI_Data[Date], B135)</f>
        <v>180.8</v>
      </c>
      <c r="I135" s="15">
        <f>AVERAGE(
SUMIFS(CPI_Data[Cereals and products],CPI_Data[Sector], "Urban", CPI_Data[Date], $B135),
SUMIFS(CPI_Data[Meat and fish],CPI_Data[Sector], "Urban", CPI_Data[Date], $B135),
SUMIFS(CPI_Data[Egg],CPI_Data[Sector], "Urban", CPI_Data[Date], $B135),
SUMIFS(CPI_Data[Milk and products],CPI_Data[Sector], "Urban", CPI_Data[Date], $B135),
SUMIFS(CPI_Data[Oils and fats],CPI_Data[Sector], "Urban", CPI_Data[Date], $B135),
SUMIFS(CPI_Data[Fruits],CPI_Data[Sector], "Urban", CPI_Data[Date], $B135),
SUMIFS(CPI_Data[Vegetables],CPI_Data[Sector], "Urban", CPI_Data[Date], $B135),
SUMIFS(CPI_Data[Pulses and products],CPI_Data[Sector], "Urban", CPI_Data[Date], $B135),
SUMIFS(CPI_Data[Sugar and Confectionery],CPI_Data[Sector], "Urban", CPI_Data[Date], $B135),
SUMIFS(CPI_Data[Spices],CPI_Data[Sector], "Urban", CPI_Data[Date], $B135),
SUMIFS(CPI_Data[Non-alcoholic beverages],CPI_Data[Sector], "Urban", CPI_Data[Date], $B135),
SUMIFS(CPI_Data[Prepared meals, snacks, sweets etc.],CPI_Data[Sector], "Urban", CPI_Data[Date], $B135)
)</f>
        <v>176.88333333333333</v>
      </c>
      <c r="J135" s="14">
        <f>SUMIFS(CPI_Data[Fuel and light], CPI_Data[Sector], "Urban", CPI_Data[Date], B135)</f>
        <v>182.6</v>
      </c>
      <c r="K135" s="14">
        <f>SUMIFS(CPI_Data[Transport and communication], CPI_Data[Sector], "Urban", CPI_Data[Date], B135)</f>
        <v>159.80000000000001</v>
      </c>
      <c r="L135" s="14">
        <f>SUMIFS(CPI_Data[General index], CPI_Data[Sector], "Urban", CPI_Data[Date], B135)</f>
        <v>176.3</v>
      </c>
      <c r="M135" s="14">
        <f>SUMIFS(CPI_Data[Health], CPI_Data[Sector], "Rural+Urban", CPI_Data[Date], B135)</f>
        <v>184.4</v>
      </c>
      <c r="N135" s="15">
        <f>AVERAGE(
SUMIFS(CPI_Data[Cereals and products],CPI_Data[Sector], "Rural+Urban", CPI_Data[Date], $B135),
SUMIFS(CPI_Data[Meat and fish],CPI_Data[Sector], "Rural+Urban", CPI_Data[Date], $B135),
SUMIFS(CPI_Data[Egg],CPI_Data[Sector], "Rural+Urban", CPI_Data[Date], $B135),
SUMIFS(CPI_Data[Milk and products],CPI_Data[Sector], "Rural+Urban", CPI_Data[Date], $B135),
SUMIFS(CPI_Data[Oils and fats],CPI_Data[Sector], "Rural+Urban", CPI_Data[Date], $B135),
SUMIFS(CPI_Data[Fruits],CPI_Data[Sector], "Rural+Urban", CPI_Data[Date], $B135),
SUMIFS(CPI_Data[Vegetables],CPI_Data[Sector], "Rural+Urban", CPI_Data[Date], $B135),
SUMIFS(CPI_Data[Pulses and products],CPI_Data[Sector], "Rural+Urban", CPI_Data[Date], $B135),
SUMIFS(CPI_Data[Sugar and Confectionery],CPI_Data[Sector], "Rural+Urban", CPI_Data[Date], $B135),
SUMIFS(CPI_Data[Spices],CPI_Data[Sector], "Rural+Urban", CPI_Data[Date], $B135),
SUMIFS(CPI_Data[Non-alcoholic beverages],CPI_Data[Sector], "Rural+Urban", CPI_Data[Date], $B135),
SUMIFS(CPI_Data[Prepared meals, snacks, sweets etc.],CPI_Data[Sector], "Rural+Urban", CPI_Data[Date], $B135)
)</f>
        <v>175.18333333333331</v>
      </c>
      <c r="O135" s="14">
        <f>SUMIFS(CPI_Data[Fuel and light], CPI_Data[Sector], "Rural+Urban", CPI_Data[Date], B135)</f>
        <v>181.9</v>
      </c>
      <c r="P135" s="14">
        <f>SUMIFS(CPI_Data[Transport and communication], CPI_Data[Sector], "Rural+Urban", CPI_Data[Date], B135)</f>
        <v>164.2</v>
      </c>
      <c r="Q135" s="14">
        <f>SUMIFS(CPI_Data[General index], CPI_Data[Sector], "Rural+Urban", CPI_Data[Date], B135)</f>
        <v>177.2</v>
      </c>
    </row>
    <row r="137" spans="2:17" ht="21.6" customHeight="1" x14ac:dyDescent="0.3"/>
    <row r="138" spans="2:17" x14ac:dyDescent="0.3">
      <c r="B138" s="1" t="s">
        <v>87</v>
      </c>
      <c r="C138" s="1" t="s">
        <v>147</v>
      </c>
      <c r="D138" s="1" t="s">
        <v>148</v>
      </c>
      <c r="E138" s="1" t="s">
        <v>149</v>
      </c>
      <c r="F138" s="1" t="s">
        <v>150</v>
      </c>
      <c r="G138" s="1" t="s">
        <v>151</v>
      </c>
      <c r="H138" s="1" t="s">
        <v>152</v>
      </c>
      <c r="I138" s="1" t="s">
        <v>153</v>
      </c>
      <c r="J138" s="1" t="s">
        <v>154</v>
      </c>
      <c r="K138" s="1" t="s">
        <v>155</v>
      </c>
      <c r="L138" s="1" t="s">
        <v>156</v>
      </c>
      <c r="M138" s="1" t="s">
        <v>157</v>
      </c>
      <c r="N138" s="1" t="s">
        <v>158</v>
      </c>
      <c r="O138" s="1" t="s">
        <v>159</v>
      </c>
      <c r="P138" s="1" t="s">
        <v>160</v>
      </c>
      <c r="Q138" s="1" t="s">
        <v>161</v>
      </c>
    </row>
    <row r="139" spans="2:17" x14ac:dyDescent="0.3">
      <c r="B139" s="3">
        <v>42795</v>
      </c>
      <c r="C139" s="16">
        <f t="shared" ref="C139:Q139" si="0">(C129-C128)/C128</f>
        <v>4.6474358974358955E-2</v>
      </c>
      <c r="D139" s="16">
        <f t="shared" si="0"/>
        <v>2.7571989950396152E-2</v>
      </c>
      <c r="E139" s="16">
        <f t="shared" si="0"/>
        <v>5.6692913385826681E-2</v>
      </c>
      <c r="F139" s="16">
        <f t="shared" si="0"/>
        <v>5.4577464788732419E-2</v>
      </c>
      <c r="G139" s="16">
        <f t="shared" si="0"/>
        <v>3.7500000000000089E-2</v>
      </c>
      <c r="H139" s="16">
        <f t="shared" si="0"/>
        <v>2.8404344193817807E-2</v>
      </c>
      <c r="I139" s="16">
        <f t="shared" si="0"/>
        <v>2.2356534737115807E-2</v>
      </c>
      <c r="J139" s="16">
        <f t="shared" si="0"/>
        <v>5.2264808362369339E-2</v>
      </c>
      <c r="K139" s="16">
        <f t="shared" si="0"/>
        <v>6.5437788018433127E-2</v>
      </c>
      <c r="L139" s="16">
        <f t="shared" si="0"/>
        <v>3.9579967689822228E-2</v>
      </c>
      <c r="M139" s="16">
        <f t="shared" si="0"/>
        <v>3.9869812855980402E-2</v>
      </c>
      <c r="N139" s="16">
        <f t="shared" si="0"/>
        <v>2.6142099132910632E-2</v>
      </c>
      <c r="O139" s="16">
        <f t="shared" si="0"/>
        <v>5.4738562091503171E-2</v>
      </c>
      <c r="P139" s="16">
        <f t="shared" si="0"/>
        <v>6.0414788097384924E-2</v>
      </c>
      <c r="Q139" s="16">
        <f t="shared" si="0"/>
        <v>3.8888888888888931E-2</v>
      </c>
    </row>
    <row r="140" spans="2:17" x14ac:dyDescent="0.3">
      <c r="B140" s="3">
        <v>43160</v>
      </c>
      <c r="C140" s="16">
        <f t="shared" ref="C140:Q140" si="1">(C130-C129)/C129</f>
        <v>4.6707503828483876E-2</v>
      </c>
      <c r="D140" s="16">
        <f t="shared" si="1"/>
        <v>3.0280233214218372E-2</v>
      </c>
      <c r="E140" s="16">
        <f t="shared" si="1"/>
        <v>6.2593144560357722E-2</v>
      </c>
      <c r="F140" s="16">
        <f t="shared" si="1"/>
        <v>4.0066777963272099E-2</v>
      </c>
      <c r="G140" s="16">
        <f t="shared" si="1"/>
        <v>4.4427710843373318E-2</v>
      </c>
      <c r="H140" s="16">
        <f t="shared" si="1"/>
        <v>6.0113728675873321E-2</v>
      </c>
      <c r="I140" s="16">
        <f t="shared" si="1"/>
        <v>4.8312249698047862E-3</v>
      </c>
      <c r="J140" s="16">
        <f t="shared" si="1"/>
        <v>4.6357615894039805E-2</v>
      </c>
      <c r="K140" s="16">
        <f t="shared" si="1"/>
        <v>1.9031141868512135E-2</v>
      </c>
      <c r="L140" s="16">
        <f t="shared" si="1"/>
        <v>4.1181041181041274E-2</v>
      </c>
      <c r="M140" s="16">
        <f t="shared" si="1"/>
        <v>5.0860719874804491E-2</v>
      </c>
      <c r="N140" s="16">
        <f t="shared" si="1"/>
        <v>2.0809685962920921E-2</v>
      </c>
      <c r="O140" s="16">
        <f t="shared" si="1"/>
        <v>5.7319907048799426E-2</v>
      </c>
      <c r="P140" s="16">
        <f t="shared" si="1"/>
        <v>2.891156462585039E-2</v>
      </c>
      <c r="Q140" s="16">
        <f t="shared" si="1"/>
        <v>4.278074866310156E-2</v>
      </c>
    </row>
    <row r="141" spans="2:17" x14ac:dyDescent="0.3">
      <c r="B141" s="3">
        <v>43525</v>
      </c>
      <c r="C141" s="13">
        <f t="shared" ref="C141:Q141" si="2">(C131-C130)/C130</f>
        <v>0.10021945866861755</v>
      </c>
      <c r="D141" s="16">
        <f t="shared" si="2"/>
        <v>-1.1865644395764671E-2</v>
      </c>
      <c r="E141" s="16">
        <f t="shared" si="2"/>
        <v>2.6647966339411019E-2</v>
      </c>
      <c r="F141" s="16">
        <f t="shared" si="2"/>
        <v>4.2536115569823528E-2</v>
      </c>
      <c r="G141" s="16">
        <f t="shared" si="2"/>
        <v>1.8024513338139873E-2</v>
      </c>
      <c r="H141" s="16">
        <f t="shared" si="2"/>
        <v>6.6666666666666582E-2</v>
      </c>
      <c r="I141" s="16">
        <f t="shared" si="2"/>
        <v>3.0429556525590089E-2</v>
      </c>
      <c r="J141" s="16">
        <f t="shared" si="2"/>
        <v>1.8987341772151944E-2</v>
      </c>
      <c r="K141" s="16">
        <f t="shared" si="2"/>
        <v>1.7826825127334536E-2</v>
      </c>
      <c r="L141" s="16">
        <f t="shared" si="2"/>
        <v>4.1044776119402986E-2</v>
      </c>
      <c r="M141" s="16">
        <f t="shared" si="2"/>
        <v>8.8607594936708681E-2</v>
      </c>
      <c r="N141" s="16">
        <f t="shared" si="2"/>
        <v>3.7064492216456633E-3</v>
      </c>
      <c r="O141" s="16">
        <f t="shared" si="2"/>
        <v>2.344322344322336E-2</v>
      </c>
      <c r="P141" s="16">
        <f t="shared" si="2"/>
        <v>2.9752066115702431E-2</v>
      </c>
      <c r="Q141" s="16">
        <f t="shared" si="2"/>
        <v>2.8571428571428612E-2</v>
      </c>
    </row>
    <row r="142" spans="2:17" x14ac:dyDescent="0.3">
      <c r="B142" s="3">
        <v>43891</v>
      </c>
      <c r="C142" s="13">
        <f t="shared" ref="C142:Q142" si="3">(C132-C131)/C131</f>
        <v>4.1888297872340309E-2</v>
      </c>
      <c r="D142" s="16">
        <f t="shared" si="3"/>
        <v>7.5435679536916933E-2</v>
      </c>
      <c r="E142" s="16">
        <f t="shared" si="3"/>
        <v>4.7814207650273222E-2</v>
      </c>
      <c r="F142" s="16">
        <f t="shared" si="3"/>
        <v>4.5419553502694422E-2</v>
      </c>
      <c r="G142" s="16">
        <f t="shared" si="3"/>
        <v>6.090651558073671E-2</v>
      </c>
      <c r="H142" s="16">
        <f t="shared" si="3"/>
        <v>4.1666666666666755E-2</v>
      </c>
      <c r="I142" s="16">
        <f t="shared" si="3"/>
        <v>7.3428290766208257E-2</v>
      </c>
      <c r="J142" s="16">
        <f t="shared" si="3"/>
        <v>9.7826086956521688E-2</v>
      </c>
      <c r="K142" s="16">
        <f t="shared" si="3"/>
        <v>3.9199332777314334E-2</v>
      </c>
      <c r="L142" s="16">
        <f t="shared" si="3"/>
        <v>5.5913978494623741E-2</v>
      </c>
      <c r="M142" s="16">
        <f t="shared" si="3"/>
        <v>4.1723666210670474E-2</v>
      </c>
      <c r="N142" s="16">
        <f t="shared" si="3"/>
        <v>7.4901526341703481E-2</v>
      </c>
      <c r="O142" s="16">
        <f t="shared" si="3"/>
        <v>6.585540443808173E-2</v>
      </c>
      <c r="P142" s="16">
        <f t="shared" si="3"/>
        <v>4.2536115569823528E-2</v>
      </c>
      <c r="Q142" s="16">
        <f t="shared" si="3"/>
        <v>5.840455840455832E-2</v>
      </c>
    </row>
    <row r="143" spans="2:17" x14ac:dyDescent="0.3">
      <c r="B143" s="3">
        <v>44256</v>
      </c>
      <c r="C143" s="13">
        <f t="shared" ref="C143:Q143" si="4">(C133-C132)/C132</f>
        <v>5.0414805360561622E-2</v>
      </c>
      <c r="D143" s="16">
        <f t="shared" si="4"/>
        <v>7.1461291800275106E-2</v>
      </c>
      <c r="E143" s="16">
        <f t="shared" si="4"/>
        <v>1.6949152542372843E-2</v>
      </c>
      <c r="F143" s="16">
        <f t="shared" si="4"/>
        <v>0.11413843888070692</v>
      </c>
      <c r="G143" s="16">
        <f t="shared" si="4"/>
        <v>4.6061415220293569E-2</v>
      </c>
      <c r="H143" s="16">
        <f t="shared" si="4"/>
        <v>8.2068965517241424E-2</v>
      </c>
      <c r="I143" s="16">
        <f t="shared" si="4"/>
        <v>8.9052848318462344E-2</v>
      </c>
      <c r="J143" s="16">
        <f t="shared" si="4"/>
        <v>9.4766619519094805E-2</v>
      </c>
      <c r="K143" s="16">
        <f t="shared" si="4"/>
        <v>0.13723916532905292</v>
      </c>
      <c r="L143" s="16">
        <f t="shared" si="4"/>
        <v>6.5173116089612987E-2</v>
      </c>
      <c r="M143" s="16">
        <f t="shared" si="4"/>
        <v>6.1720288903479817E-2</v>
      </c>
      <c r="N143" s="16">
        <f t="shared" si="4"/>
        <v>7.7984540509590569E-2</v>
      </c>
      <c r="O143" s="16">
        <f t="shared" si="4"/>
        <v>4.4325050369375382E-2</v>
      </c>
      <c r="P143" s="16">
        <f t="shared" si="4"/>
        <v>0.12548113933795213</v>
      </c>
      <c r="Q143" s="16">
        <f t="shared" si="4"/>
        <v>5.5181695827725558E-2</v>
      </c>
    </row>
    <row r="144" spans="2:17" x14ac:dyDescent="0.3">
      <c r="B144" s="3">
        <v>44621</v>
      </c>
      <c r="C144" s="13">
        <f t="shared" ref="C144:Q144" si="5">(C134-C133)/C133</f>
        <v>6.9258809234507931E-2</v>
      </c>
      <c r="D144" s="16">
        <f t="shared" si="5"/>
        <v>7.5513039760581477E-2</v>
      </c>
      <c r="E144" s="16">
        <f t="shared" si="5"/>
        <v>8.2692307692307732E-2</v>
      </c>
      <c r="F144" s="16">
        <f t="shared" si="5"/>
        <v>7.0720423000660865E-2</v>
      </c>
      <c r="G144" s="16">
        <f t="shared" si="5"/>
        <v>7.6579451180599875E-2</v>
      </c>
      <c r="H144" s="16">
        <f t="shared" si="5"/>
        <v>7.2020395156150302E-2</v>
      </c>
      <c r="I144" s="16">
        <f t="shared" si="5"/>
        <v>6.3389527860931882E-2</v>
      </c>
      <c r="J144" s="16">
        <f t="shared" si="5"/>
        <v>6.2661498708010258E-2</v>
      </c>
      <c r="K144" s="16">
        <f t="shared" si="5"/>
        <v>8.8214537755822164E-2</v>
      </c>
      <c r="L144" s="16">
        <f t="shared" si="5"/>
        <v>6.1185468451242793E-2</v>
      </c>
      <c r="M144" s="16">
        <f t="shared" si="5"/>
        <v>6.9882498453927105E-2</v>
      </c>
      <c r="N144" s="16">
        <f t="shared" si="5"/>
        <v>7.069634036224591E-2</v>
      </c>
      <c r="O144" s="16">
        <f t="shared" si="5"/>
        <v>7.5241157556270019E-2</v>
      </c>
      <c r="P144" s="16">
        <f t="shared" si="5"/>
        <v>8.0027359781121868E-2</v>
      </c>
      <c r="Q144" s="16">
        <f t="shared" si="5"/>
        <v>6.9515306122448828E-2</v>
      </c>
    </row>
    <row r="145" spans="2:17" x14ac:dyDescent="0.3">
      <c r="B145" s="3">
        <v>44986</v>
      </c>
      <c r="C145" s="13">
        <f t="shared" ref="C145:Q145" si="6">(C135-C134)/C134</f>
        <v>6.0227272727272692E-2</v>
      </c>
      <c r="D145" s="16">
        <f t="shared" si="6"/>
        <v>3.9006211180124165E-2</v>
      </c>
      <c r="E145" s="16">
        <f t="shared" si="6"/>
        <v>7.4008288928359978E-2</v>
      </c>
      <c r="F145" s="16">
        <f t="shared" si="6"/>
        <v>4.3209876543209874E-2</v>
      </c>
      <c r="G145" s="16">
        <f t="shared" si="6"/>
        <v>5.5127445168939013E-2</v>
      </c>
      <c r="H145" s="16">
        <f t="shared" si="6"/>
        <v>7.4910820451843191E-2</v>
      </c>
      <c r="I145" s="16">
        <f t="shared" si="6"/>
        <v>4.8301066772026731E-2</v>
      </c>
      <c r="J145" s="16">
        <f t="shared" si="6"/>
        <v>0.11003039513677808</v>
      </c>
      <c r="K145" s="16">
        <f t="shared" si="6"/>
        <v>3.6316472114137632E-2</v>
      </c>
      <c r="L145" s="16">
        <f t="shared" si="6"/>
        <v>5.8858858858858928E-2</v>
      </c>
      <c r="M145" s="16">
        <f t="shared" si="6"/>
        <v>6.589595375722547E-2</v>
      </c>
      <c r="N145" s="16">
        <f t="shared" si="6"/>
        <v>4.286139497966044E-2</v>
      </c>
      <c r="O145" s="16">
        <f t="shared" si="6"/>
        <v>8.7918660287081452E-2</v>
      </c>
      <c r="P145" s="16">
        <f t="shared" si="6"/>
        <v>3.9898670044331744E-2</v>
      </c>
      <c r="Q145" s="16">
        <f t="shared" si="6"/>
        <v>5.6648777579010143E-2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5E458-D347-4527-9E7A-7D4BE09D2658}">
  <sheetPr codeName="Sheet2"/>
  <dimension ref="B2:AD130"/>
  <sheetViews>
    <sheetView showGridLines="0" zoomScaleNormal="100" workbookViewId="0"/>
  </sheetViews>
  <sheetFormatPr defaultRowHeight="14.4" x14ac:dyDescent="0.3"/>
  <cols>
    <col min="1" max="1" width="2.77734375" customWidth="1"/>
    <col min="2" max="2" width="36" customWidth="1"/>
    <col min="3" max="3" width="33.6640625" bestFit="1" customWidth="1"/>
    <col min="4" max="4" width="29.33203125" customWidth="1"/>
    <col min="5" max="5" width="21.88671875" customWidth="1"/>
    <col min="6" max="6" width="13.33203125" customWidth="1"/>
    <col min="7" max="7" width="25.5546875" customWidth="1"/>
    <col min="8" max="8" width="20.5546875" customWidth="1"/>
    <col min="9" max="9" width="14.88671875" customWidth="1"/>
    <col min="10" max="10" width="19.5546875" customWidth="1"/>
    <col min="11" max="11" width="27.109375" customWidth="1"/>
    <col min="12" max="12" width="31.109375" customWidth="1"/>
    <col min="13" max="13" width="15.5546875" customWidth="1"/>
    <col min="14" max="14" width="31" customWidth="1"/>
    <col min="15" max="15" width="40.109375" customWidth="1"/>
    <col min="16" max="16" width="27.21875" customWidth="1"/>
    <col min="17" max="17" width="34.5546875" customWidth="1"/>
    <col min="18" max="18" width="17.33203125" customWidth="1"/>
    <col min="19" max="19" width="18.21875" customWidth="1"/>
    <col min="20" max="20" width="29.109375" customWidth="1"/>
    <col min="21" max="21" width="17.109375" customWidth="1"/>
    <col min="22" max="22" width="21.5546875" customWidth="1"/>
    <col min="23" max="23" width="35.5546875" customWidth="1"/>
    <col min="24" max="24" width="15.77734375" customWidth="1"/>
    <col min="25" max="25" width="35.77734375" customWidth="1"/>
    <col min="26" max="26" width="33.44140625" customWidth="1"/>
    <col min="27" max="27" width="18.77734375" customWidth="1"/>
    <col min="28" max="28" width="31.33203125" customWidth="1"/>
    <col min="29" max="29" width="22.21875" customWidth="1"/>
    <col min="30" max="30" width="21.77734375" customWidth="1"/>
  </cols>
  <sheetData>
    <row r="2" spans="2:2" x14ac:dyDescent="0.3">
      <c r="B2" s="1"/>
    </row>
    <row r="35" spans="2:4" ht="16.8" customHeight="1" x14ac:dyDescent="0.3"/>
    <row r="36" spans="2:4" x14ac:dyDescent="0.3">
      <c r="B36" t="s">
        <v>192</v>
      </c>
      <c r="C36" t="s">
        <v>193</v>
      </c>
      <c r="D36" s="51" t="s">
        <v>216</v>
      </c>
    </row>
    <row r="37" spans="2:4" x14ac:dyDescent="0.3">
      <c r="B37" s="4" t="s">
        <v>7</v>
      </c>
      <c r="C37" s="53">
        <f>CORREL(Table4[Oil Price change], Table4[Oils and fats inflation])</f>
        <v>0.40456504998927784</v>
      </c>
      <c r="D37" s="53">
        <f>Table5[[#This Row],[Correlation with Imported Crude Oil]]</f>
        <v>0.40456504998927784</v>
      </c>
    </row>
    <row r="38" spans="2:4" x14ac:dyDescent="0.3">
      <c r="B38" s="4" t="s">
        <v>4</v>
      </c>
      <c r="C38" s="53">
        <f>CORREL(Table4[Oil Price change],Table4[Meat and fish inflation])</f>
        <v>0.37458490024896307</v>
      </c>
      <c r="D38" s="53">
        <f>Table5[[#This Row],[Correlation with Imported Crude Oil]]</f>
        <v>0.37458490024896307</v>
      </c>
    </row>
    <row r="39" spans="2:4" x14ac:dyDescent="0.3">
      <c r="B39" s="4" t="s">
        <v>13</v>
      </c>
      <c r="C39" s="53">
        <f>CORREL(Table4[Oil Price change], Table4[Non-alcoholic beverages inflation])</f>
        <v>0.23652440450669523</v>
      </c>
      <c r="D39" s="53">
        <f>Table5[[#This Row],[Correlation with Imported Crude Oil]]</f>
        <v>0.23652440450669523</v>
      </c>
    </row>
    <row r="40" spans="2:4" x14ac:dyDescent="0.3">
      <c r="B40" s="4" t="s">
        <v>16</v>
      </c>
      <c r="C40" s="53">
        <f>CORREL(Table4[Oil Price change], Table4[Pan, tobacco and intoxicants inflation])</f>
        <v>0.18028143743209044</v>
      </c>
      <c r="D40" s="53">
        <f>Table5[[#This Row],[Correlation with Imported Crude Oil]]</f>
        <v>0.18028143743209044</v>
      </c>
    </row>
    <row r="41" spans="2:4" x14ac:dyDescent="0.3">
      <c r="B41" s="4" t="s">
        <v>18</v>
      </c>
      <c r="C41" s="53">
        <f>CORREL(Table4[Oil Price change], Table4[Footwear inflation])</f>
        <v>0.16266408297771645</v>
      </c>
      <c r="D41" s="53">
        <f>Table5[[#This Row],[Correlation with Imported Crude Oil]]</f>
        <v>0.16266408297771645</v>
      </c>
    </row>
    <row r="42" spans="2:4" x14ac:dyDescent="0.3">
      <c r="B42" s="4" t="s">
        <v>21</v>
      </c>
      <c r="C42" s="53">
        <f>CORREL(Table4[Oil Price change], Table4[Fuel and light inflation])</f>
        <v>0.16050751039461716</v>
      </c>
      <c r="D42" s="53">
        <f>Table5[[#This Row],[Correlation with Imported Crude Oil]]</f>
        <v>0.16050751039461716</v>
      </c>
    </row>
    <row r="43" spans="2:4" x14ac:dyDescent="0.3">
      <c r="B43" s="4" t="s">
        <v>25</v>
      </c>
      <c r="C43" s="53">
        <f>CORREL(Table4[Oil Price change], Table4[Recreation and amusement inflation])</f>
        <v>0.14963439758570957</v>
      </c>
      <c r="D43" s="53">
        <f>Table5[[#This Row],[Correlation with Imported Crude Oil]]</f>
        <v>0.14963439758570957</v>
      </c>
    </row>
    <row r="44" spans="2:4" x14ac:dyDescent="0.3">
      <c r="B44" s="4" t="s">
        <v>24</v>
      </c>
      <c r="C44" s="53">
        <f>CORREL(Table4[Oil Price change], Table4[Transport and communication inflation])</f>
        <v>0.11767179545618119</v>
      </c>
      <c r="D44" s="53">
        <f>Table5[[#This Row],[Correlation with Imported Crude Oil]]</f>
        <v>0.11767179545618119</v>
      </c>
    </row>
    <row r="45" spans="2:4" x14ac:dyDescent="0.3">
      <c r="B45" s="4" t="s">
        <v>19</v>
      </c>
      <c r="C45" s="53">
        <f>CORREL(Table4[Oil Price change], Table4[Clothing and footwear inflation])</f>
        <v>0.10364372436504027</v>
      </c>
      <c r="D45" s="53">
        <f>Table5[[#This Row],[Correlation with Imported Crude Oil]]</f>
        <v>0.10364372436504027</v>
      </c>
    </row>
    <row r="46" spans="2:4" x14ac:dyDescent="0.3">
      <c r="B46" s="4" t="s">
        <v>23</v>
      </c>
      <c r="C46" s="53">
        <f>CORREL(Table4[Oil Price change], Table4[Health inflation])</f>
        <v>8.9523718647472772E-2</v>
      </c>
      <c r="D46" s="53">
        <f>Table5[[#This Row],[Correlation with Imported Crude Oil]]</f>
        <v>8.9523718647472772E-2</v>
      </c>
    </row>
    <row r="47" spans="2:4" x14ac:dyDescent="0.3">
      <c r="B47" s="4" t="s">
        <v>14</v>
      </c>
      <c r="C47" s="53">
        <f>CORREL(Table4[Oil Price change], Table4[Prepared meals, snacks, sweets etc. inflation])</f>
        <v>8.9416301013637747E-2</v>
      </c>
      <c r="D47" s="53">
        <f>Table5[[#This Row],[Correlation with Imported Crude Oil]]</f>
        <v>8.9416301013637747E-2</v>
      </c>
    </row>
    <row r="48" spans="2:4" x14ac:dyDescent="0.3">
      <c r="B48" s="4" t="s">
        <v>28</v>
      </c>
      <c r="C48" s="53">
        <f>CORREL(Table4[Oil Price change], Table4[Miscellaneous inflation])</f>
        <v>8.6597424465471362E-2</v>
      </c>
      <c r="D48" s="53">
        <f>Table5[[#This Row],[Correlation with Imported Crude Oil]]</f>
        <v>8.6597424465471362E-2</v>
      </c>
    </row>
    <row r="49" spans="2:10" x14ac:dyDescent="0.3">
      <c r="B49" s="4" t="s">
        <v>17</v>
      </c>
      <c r="C49" s="53">
        <f>CORREL(Table4[Oil Price change], Table4[Clothing inflation])</f>
        <v>7.7276759603151099E-2</v>
      </c>
      <c r="D49" s="53">
        <f>Table5[[#This Row],[Correlation with Imported Crude Oil]]</f>
        <v>7.7276759603151099E-2</v>
      </c>
      <c r="J49" t="s">
        <v>217</v>
      </c>
    </row>
    <row r="50" spans="2:10" x14ac:dyDescent="0.3">
      <c r="B50" s="4" t="s">
        <v>8</v>
      </c>
      <c r="C50" s="53">
        <f>CORREL(Table4[Oil Price change], Table4[Fruits inflation])</f>
        <v>7.1051677185187775E-2</v>
      </c>
      <c r="D50" s="53">
        <f>Table5[[#This Row],[Correlation with Imported Crude Oil]]</f>
        <v>7.1051677185187775E-2</v>
      </c>
    </row>
    <row r="51" spans="2:10" x14ac:dyDescent="0.3">
      <c r="B51" s="4" t="s">
        <v>20</v>
      </c>
      <c r="C51" s="53">
        <f>CORREL(Table4[Oil Price change], Table4[Housing inflation])</f>
        <v>6.728945984643038E-2</v>
      </c>
      <c r="D51" s="53">
        <f>Table5[[#This Row],[Correlation with Imported Crude Oil]]</f>
        <v>6.728945984643038E-2</v>
      </c>
    </row>
    <row r="52" spans="2:10" x14ac:dyDescent="0.3">
      <c r="B52" s="4" t="s">
        <v>29</v>
      </c>
      <c r="C52" s="53">
        <f>CORREL(Table4[Oil Price change], Table4[General index inflation])</f>
        <v>1.7252377947013741E-2</v>
      </c>
      <c r="D52" s="53">
        <f>Table5[[#This Row],[Correlation with Imported Crude Oil]]</f>
        <v>1.7252377947013741E-2</v>
      </c>
    </row>
    <row r="53" spans="2:10" x14ac:dyDescent="0.3">
      <c r="B53" s="4" t="s">
        <v>27</v>
      </c>
      <c r="C53" s="53">
        <f>CORREL(Table4[Oil Price change], Table4[Personal care and effects inflation])</f>
        <v>-1.0557838687770977E-2</v>
      </c>
      <c r="D53" s="53">
        <f>Table5[[#This Row],[Correlation with Imported Crude Oil]]</f>
        <v>-1.0557838687770977E-2</v>
      </c>
    </row>
    <row r="54" spans="2:10" x14ac:dyDescent="0.3">
      <c r="B54" s="4" t="s">
        <v>15</v>
      </c>
      <c r="C54" s="53">
        <f>CORREL(Table4[Oil Price change], Table4[Food and beverages inflation])</f>
        <v>-1.1741139191838609E-2</v>
      </c>
      <c r="D54" s="53">
        <f>Table5[[#This Row],[Correlation with Imported Crude Oil]]</f>
        <v>-1.1741139191838609E-2</v>
      </c>
    </row>
    <row r="55" spans="2:10" x14ac:dyDescent="0.3">
      <c r="B55" s="4" t="s">
        <v>22</v>
      </c>
      <c r="C55" s="53">
        <f>CORREL(Table4[Oil Price change], Table4[Household goods and services inflation])</f>
        <v>-2.646993127090886E-2</v>
      </c>
      <c r="D55" s="53">
        <f>Table5[[#This Row],[Correlation with Imported Crude Oil]]</f>
        <v>-2.646993127090886E-2</v>
      </c>
    </row>
    <row r="56" spans="2:10" x14ac:dyDescent="0.3">
      <c r="B56" s="4" t="s">
        <v>9</v>
      </c>
      <c r="C56" s="53">
        <f>CORREL(Table4[Oil Price change], Table4[Vegetables inflation])</f>
        <v>-4.6686398171739266E-2</v>
      </c>
      <c r="D56" s="53">
        <f>Table5[[#This Row],[Correlation with Imported Crude Oil]]</f>
        <v>-4.6686398171739266E-2</v>
      </c>
    </row>
    <row r="57" spans="2:10" x14ac:dyDescent="0.3">
      <c r="B57" s="4" t="s">
        <v>26</v>
      </c>
      <c r="C57" s="53">
        <f>CORREL(Table4[Oil Price change], Table4[Education inflation])</f>
        <v>-0.16459429056602154</v>
      </c>
      <c r="D57" s="53">
        <f>Table5[[#This Row],[Correlation with Imported Crude Oil]]</f>
        <v>-0.16459429056602154</v>
      </c>
    </row>
    <row r="58" spans="2:10" x14ac:dyDescent="0.3">
      <c r="B58" s="4" t="s">
        <v>12</v>
      </c>
      <c r="C58" s="53">
        <f>CORREL(Table4[Oil Price change], Table4[Spices inflation])</f>
        <v>-0.18651775055476805</v>
      </c>
      <c r="D58" s="53">
        <f>Table5[[#This Row],[Correlation with Imported Crude Oil]]</f>
        <v>-0.18651775055476805</v>
      </c>
    </row>
    <row r="59" spans="2:10" x14ac:dyDescent="0.3">
      <c r="B59" s="4" t="s">
        <v>11</v>
      </c>
      <c r="C59" s="53">
        <f>CORREL(Table4[Oil Price change], Table4[Sugar and Confectionery inflation])</f>
        <v>-0.21310276300143885</v>
      </c>
      <c r="D59" s="53">
        <f>Table5[[#This Row],[Correlation with Imported Crude Oil]]</f>
        <v>-0.21310276300143885</v>
      </c>
    </row>
    <row r="60" spans="2:10" x14ac:dyDescent="0.3">
      <c r="B60" s="4" t="s">
        <v>10</v>
      </c>
      <c r="C60" s="53">
        <f>CORREL(Table4[Oil Price change], Table4[Pulses and products inflation])</f>
        <v>-0.21327999310201615</v>
      </c>
      <c r="D60" s="53">
        <f>Table5[[#This Row],[Correlation with Imported Crude Oil]]</f>
        <v>-0.21327999310201615</v>
      </c>
    </row>
    <row r="61" spans="2:10" x14ac:dyDescent="0.3">
      <c r="B61" s="4" t="s">
        <v>5</v>
      </c>
      <c r="C61" s="53">
        <f>CORREL(Table4[Oil Price change],Table4[Egg inflation])</f>
        <v>-0.23585559324293745</v>
      </c>
      <c r="D61" s="53">
        <f>Table5[[#This Row],[Correlation with Imported Crude Oil]]</f>
        <v>-0.23585559324293745</v>
      </c>
    </row>
    <row r="62" spans="2:10" x14ac:dyDescent="0.3">
      <c r="B62" s="4" t="s">
        <v>3</v>
      </c>
      <c r="C62" s="53">
        <f>CORREL(Table4[Oil Price change],Table4[Cereals and products inflation])</f>
        <v>-0.27557439823012708</v>
      </c>
      <c r="D62" s="53">
        <f>Table5[[#This Row],[Correlation with Imported Crude Oil]]</f>
        <v>-0.27557439823012708</v>
      </c>
    </row>
    <row r="63" spans="2:10" x14ac:dyDescent="0.3">
      <c r="B63" s="4" t="s">
        <v>6</v>
      </c>
      <c r="C63" s="53">
        <f>CORREL(Table4[Oil Price change], Table4[Milk and products inflation])</f>
        <v>-0.28956707618768684</v>
      </c>
      <c r="D63" s="53">
        <f>Table5[[#This Row],[Correlation with Imported Crude Oil]]</f>
        <v>-0.28956707618768684</v>
      </c>
    </row>
    <row r="65" spans="2:30" x14ac:dyDescent="0.3">
      <c r="B65" s="3"/>
    </row>
    <row r="66" spans="2:30" ht="8.4" customHeight="1" x14ac:dyDescent="0.3">
      <c r="B66" s="3"/>
    </row>
    <row r="67" spans="2:30" x14ac:dyDescent="0.3">
      <c r="B67" s="1" t="s">
        <v>87</v>
      </c>
      <c r="C67" s="1" t="s">
        <v>162</v>
      </c>
      <c r="D67" s="22" t="s">
        <v>3</v>
      </c>
      <c r="E67" s="22" t="s">
        <v>4</v>
      </c>
      <c r="F67" s="22" t="s">
        <v>5</v>
      </c>
      <c r="G67" s="22" t="s">
        <v>6</v>
      </c>
      <c r="H67" s="22" t="s">
        <v>7</v>
      </c>
      <c r="I67" s="22" t="s">
        <v>8</v>
      </c>
      <c r="J67" s="22" t="s">
        <v>9</v>
      </c>
      <c r="K67" s="22" t="s">
        <v>10</v>
      </c>
      <c r="L67" s="22" t="s">
        <v>11</v>
      </c>
      <c r="M67" s="22" t="s">
        <v>12</v>
      </c>
      <c r="N67" s="22" t="s">
        <v>13</v>
      </c>
      <c r="O67" s="22" t="s">
        <v>14</v>
      </c>
      <c r="P67" s="22" t="s">
        <v>15</v>
      </c>
      <c r="Q67" s="22" t="s">
        <v>16</v>
      </c>
      <c r="R67" s="22" t="s">
        <v>17</v>
      </c>
      <c r="S67" s="22" t="s">
        <v>18</v>
      </c>
      <c r="T67" s="22" t="s">
        <v>19</v>
      </c>
      <c r="U67" s="22" t="s">
        <v>20</v>
      </c>
      <c r="V67" s="22" t="s">
        <v>21</v>
      </c>
      <c r="W67" s="22" t="s">
        <v>22</v>
      </c>
      <c r="X67" s="22" t="s">
        <v>23</v>
      </c>
      <c r="Y67" s="22" t="s">
        <v>24</v>
      </c>
      <c r="Z67" s="22" t="s">
        <v>25</v>
      </c>
      <c r="AA67" s="22" t="s">
        <v>26</v>
      </c>
      <c r="AB67" s="22" t="s">
        <v>27</v>
      </c>
      <c r="AC67" s="22" t="s">
        <v>28</v>
      </c>
      <c r="AD67" s="23" t="s">
        <v>29</v>
      </c>
    </row>
    <row r="68" spans="2:30" x14ac:dyDescent="0.3">
      <c r="B68" s="20">
        <v>44166</v>
      </c>
      <c r="C68" s="18">
        <v>49.839816952380943</v>
      </c>
      <c r="D68" s="4">
        <f>SUMIFS(CPI_Data[Cereals and products], CPI_Data[Sector], "Rural+Urban", CPI_Data[Date],B68)</f>
        <v>146</v>
      </c>
      <c r="E68" s="4">
        <f>SUMIFS(CPI_Data[Meat and fish], CPI_Data[Sector], "Rural+Urban", CPI_Data[Date],B68)</f>
        <v>191</v>
      </c>
      <c r="F68" s="4">
        <f>SUMIFS(CPI_Data[Egg], CPI_Data[Sector], "Rural+Urban", CPI_Data[Date],B68)</f>
        <v>175.3</v>
      </c>
      <c r="G68" s="4">
        <f>SUMIFS(CPI_Data[Milk and products], CPI_Data[Sector], "Rural+Urban", CPI_Data[Date],B68)</f>
        <v>154.1</v>
      </c>
      <c r="H68" s="4">
        <f>SUMIFS(CPI_Data[Oils and fats], CPI_Data[Sector], "Rural+Urban", CPI_Data[Date],B68)</f>
        <v>146.6</v>
      </c>
      <c r="I68" s="4">
        <f>SUMIFS(CPI_Data[Fruits], CPI_Data[Sector], "Rural+Urban", CPI_Data[Date],B68)</f>
        <v>147.69999999999999</v>
      </c>
      <c r="J68" s="4">
        <f>SUMIFS(CPI_Data[Vegetables], CPI_Data[Sector], "Rural+Urban", CPI_Data[Date],B68)</f>
        <v>230.5</v>
      </c>
      <c r="K68" s="4">
        <f>SUMIFS(CPI_Data[Pulses and products], CPI_Data[Sector], "Rural+Urban", CPI_Data[Date],B68)</f>
        <v>160.19999999999999</v>
      </c>
      <c r="L68" s="4">
        <f>SUMIFS(CPI_Data[Sugar and Confectionery], CPI_Data[Sector], "Rural+Urban", CPI_Data[Date],B68)</f>
        <v>115.3</v>
      </c>
      <c r="M68" s="4">
        <f>SUMIFS(CPI_Data[Spices], CPI_Data[Sector], "Rural+Urban", CPI_Data[Date],B68)</f>
        <v>163</v>
      </c>
      <c r="N68" s="4">
        <f>SUMIFS(CPI_Data[Non-alcoholic beverages], CPI_Data[Sector], "Rural+Urban", CPI_Data[Date],B68)</f>
        <v>149.19999999999999</v>
      </c>
      <c r="O68" s="4">
        <f>SUMIFS(CPI_Data[Prepared meals, snacks, sweets etc.], CPI_Data[Sector], "Rural+Urban", CPI_Data[Date],B68)</f>
        <v>164.8</v>
      </c>
      <c r="P68" s="4">
        <f>SUMIFS(CPI_Data[Food and beverages], CPI_Data[Sector], "Rural+Urban", CPI_Data[Date],B68)</f>
        <v>165.4</v>
      </c>
      <c r="Q68" s="4">
        <f>SUMIFS(CPI_Data[Pan, tobacco and intoxicants], CPI_Data[Sector], "Rural+Urban", CPI_Data[Date],B68)</f>
        <v>185.4</v>
      </c>
      <c r="R68" s="4">
        <f>SUMIFS(CPI_Data[Clothing], CPI_Data[Sector], "Rural+Urban", CPI_Data[Date],B68)</f>
        <v>155</v>
      </c>
      <c r="S68" s="4">
        <f>SUMIFS(CPI_Data[Footwear], CPI_Data[Sector], "Rural+Urban", CPI_Data[Date],B68)</f>
        <v>145.4</v>
      </c>
      <c r="T68" s="4">
        <f>SUMIFS(CPI_Data[Clothing and footwear], CPI_Data[Sector], "Rural+Urban", CPI_Data[Date],B68)</f>
        <v>153.6</v>
      </c>
      <c r="U68" s="4">
        <f>SUMIFS(CPI_Data[Housing], CPI_Data[Sector], "Rural+Urban", CPI_Data[Date],B68)</f>
        <v>158.4</v>
      </c>
      <c r="V68" s="4">
        <f>SUMIFS(CPI_Data[Fuel and light], CPI_Data[Sector], "Rural+Urban", CPI_Data[Date],B68)</f>
        <v>144.6</v>
      </c>
      <c r="W68" s="4">
        <f>SUMIFS(CPI_Data[Household goods and services], CPI_Data[Sector], "Rural+Urban", CPI_Data[Date],B68)</f>
        <v>149.69999999999999</v>
      </c>
      <c r="X68" s="4">
        <f>SUMIFS(CPI_Data[Health], CPI_Data[Sector], "Rural+Urban", CPI_Data[Date],B68)</f>
        <v>158.30000000000001</v>
      </c>
      <c r="Y68" s="4">
        <f>SUMIFS(CPI_Data[Transport and communication], CPI_Data[Sector], "Rural+Urban", CPI_Data[Date],B68)</f>
        <v>140.69999999999999</v>
      </c>
      <c r="Z68" s="4">
        <f>SUMIFS(CPI_Data[Recreation and amusement], CPI_Data[Sector], "Rural+Urban", CPI_Data[Date],B68)</f>
        <v>148.5</v>
      </c>
      <c r="AA68" s="4">
        <f>SUMIFS(CPI_Data[Education], CPI_Data[Sector], "Rural+Urban", CPI_Data[Date],B68)</f>
        <v>159.4</v>
      </c>
      <c r="AB68" s="4">
        <f>SUMIFS(CPI_Data[Personal care and effects], CPI_Data[Sector], "Rural+Urban", CPI_Data[Date],B68)</f>
        <v>157.1</v>
      </c>
      <c r="AC68" s="4">
        <f>SUMIFS(CPI_Data[Miscellaneous], CPI_Data[Sector], "Rural+Urban", CPI_Data[Date],B68)</f>
        <v>151.19999999999999</v>
      </c>
      <c r="AD68" s="4">
        <f>SUMIFS(CPI_Data[General index], CPI_Data[Sector], "Rural+Urban", CPI_Data[Date],B68)</f>
        <v>158.9</v>
      </c>
    </row>
    <row r="69" spans="2:30" x14ac:dyDescent="0.3">
      <c r="B69" s="20">
        <v>44197</v>
      </c>
      <c r="C69" s="18">
        <v>54.794569624999994</v>
      </c>
      <c r="D69" s="4">
        <f>SUMIFS(CPI_Data[Cereals and products], CPI_Data[Sector], "Rural+Urban", CPI_Data[Date],B69)</f>
        <v>144.9</v>
      </c>
      <c r="E69" s="4">
        <f>SUMIFS(CPI_Data[Meat and fish], CPI_Data[Sector], "Rural+Urban", CPI_Data[Date],B69)</f>
        <v>190.1</v>
      </c>
      <c r="F69" s="4">
        <f>SUMIFS(CPI_Data[Egg], CPI_Data[Sector], "Rural+Urban", CPI_Data[Date],B69)</f>
        <v>175.3</v>
      </c>
      <c r="G69" s="4">
        <f>SUMIFS(CPI_Data[Milk and products], CPI_Data[Sector], "Rural+Urban", CPI_Data[Date],B69)</f>
        <v>154.1</v>
      </c>
      <c r="H69" s="4">
        <f>SUMIFS(CPI_Data[Oils and fats], CPI_Data[Sector], "Rural+Urban", CPI_Data[Date],B69)</f>
        <v>150.9</v>
      </c>
      <c r="I69" s="24">
        <f>SUMIFS(CPI_Data[Fruits], CPI_Data[Sector], "Rural+Urban", CPI_Data[Date],B69)</f>
        <v>149.6</v>
      </c>
      <c r="J69" s="4">
        <f>SUMIFS(CPI_Data[Vegetables], CPI_Data[Sector], "Rural+Urban", CPI_Data[Date],B69)</f>
        <v>194.2</v>
      </c>
      <c r="K69" s="4">
        <f>SUMIFS(CPI_Data[Pulses and products], CPI_Data[Sector], "Rural+Urban", CPI_Data[Date],B69)</f>
        <v>160.4</v>
      </c>
      <c r="L69" s="4">
        <f>SUMIFS(CPI_Data[Sugar and Confectionery], CPI_Data[Sector], "Rural+Urban", CPI_Data[Date],B69)</f>
        <v>114.6</v>
      </c>
      <c r="M69" s="4">
        <f>SUMIFS(CPI_Data[Spices], CPI_Data[Sector], "Rural+Urban", CPI_Data[Date],B69)</f>
        <v>164</v>
      </c>
      <c r="N69" s="4">
        <f>SUMIFS(CPI_Data[Non-alcoholic beverages], CPI_Data[Sector], "Rural+Urban", CPI_Data[Date],B69)</f>
        <v>151.80000000000001</v>
      </c>
      <c r="O69" s="4">
        <f>SUMIFS(CPI_Data[Prepared meals, snacks, sweets etc.], CPI_Data[Sector], "Rural+Urban", CPI_Data[Date],B69)</f>
        <v>165.6</v>
      </c>
      <c r="P69" s="4">
        <f>SUMIFS(CPI_Data[Food and beverages], CPI_Data[Sector], "Rural+Urban", CPI_Data[Date],B69)</f>
        <v>161</v>
      </c>
      <c r="Q69" s="4">
        <f>SUMIFS(CPI_Data[Pan, tobacco and intoxicants], CPI_Data[Sector], "Rural+Urban", CPI_Data[Date],B69)</f>
        <v>186.5</v>
      </c>
      <c r="R69" s="4">
        <f>SUMIFS(CPI_Data[Clothing], CPI_Data[Sector], "Rural+Urban", CPI_Data[Date],B69)</f>
        <v>155.5</v>
      </c>
      <c r="S69" s="4">
        <f>SUMIFS(CPI_Data[Footwear], CPI_Data[Sector], "Rural+Urban", CPI_Data[Date],B69)</f>
        <v>146.1</v>
      </c>
      <c r="T69" s="4">
        <f>SUMIFS(CPI_Data[Clothing and footwear], CPI_Data[Sector], "Rural+Urban", CPI_Data[Date],B69)</f>
        <v>154.19999999999999</v>
      </c>
      <c r="U69" s="4">
        <f>SUMIFS(CPI_Data[Housing], CPI_Data[Sector], "Rural+Urban", CPI_Data[Date],B69)</f>
        <v>157.69999999999999</v>
      </c>
      <c r="V69" s="4">
        <f>SUMIFS(CPI_Data[Fuel and light], CPI_Data[Sector], "Rural+Urban", CPI_Data[Date],B69)</f>
        <v>147.9</v>
      </c>
      <c r="W69" s="4">
        <f>SUMIFS(CPI_Data[Household goods and services], CPI_Data[Sector], "Rural+Urban", CPI_Data[Date],B69)</f>
        <v>150</v>
      </c>
      <c r="X69" s="4">
        <f>SUMIFS(CPI_Data[Health], CPI_Data[Sector], "Rural+Urban", CPI_Data[Date],B69)</f>
        <v>159.30000000000001</v>
      </c>
      <c r="Y69" s="4">
        <f>SUMIFS(CPI_Data[Transport and communication], CPI_Data[Sector], "Rural+Urban", CPI_Data[Date],B69)</f>
        <v>141.9</v>
      </c>
      <c r="Z69" s="4">
        <f>SUMIFS(CPI_Data[Recreation and amusement], CPI_Data[Sector], "Rural+Urban", CPI_Data[Date],B69)</f>
        <v>149.6</v>
      </c>
      <c r="AA69" s="4">
        <f>SUMIFS(CPI_Data[Education], CPI_Data[Sector], "Rural+Urban", CPI_Data[Date],B69)</f>
        <v>159.19999999999999</v>
      </c>
      <c r="AB69" s="4">
        <f>SUMIFS(CPI_Data[Personal care and effects], CPI_Data[Sector], "Rural+Urban", CPI_Data[Date],B69)</f>
        <v>156.80000000000001</v>
      </c>
      <c r="AC69" s="4">
        <f>SUMIFS(CPI_Data[Miscellaneous], CPI_Data[Sector], "Rural+Urban", CPI_Data[Date],B69)</f>
        <v>151.9</v>
      </c>
      <c r="AD69" s="4">
        <f>SUMIFS(CPI_Data[General index], CPI_Data[Sector], "Rural+Urban", CPI_Data[Date],B69)</f>
        <v>157.30000000000001</v>
      </c>
    </row>
    <row r="70" spans="2:30" x14ac:dyDescent="0.3">
      <c r="B70" s="20">
        <v>44228</v>
      </c>
      <c r="C70" s="18">
        <v>61.216117289473672</v>
      </c>
      <c r="D70" s="4">
        <f>SUMIFS(CPI_Data[Cereals and products], CPI_Data[Sector], "Rural+Urban", CPI_Data[Date],B70)</f>
        <v>144.30000000000001</v>
      </c>
      <c r="E70" s="4">
        <f>SUMIFS(CPI_Data[Meat and fish], CPI_Data[Sector], "Rural+Urban", CPI_Data[Date],B70)</f>
        <v>186.5</v>
      </c>
      <c r="F70" s="4">
        <f>SUMIFS(CPI_Data[Egg], CPI_Data[Sector], "Rural+Urban", CPI_Data[Date],B70)</f>
        <v>168.7</v>
      </c>
      <c r="G70" s="4">
        <f>SUMIFS(CPI_Data[Milk and products], CPI_Data[Sector], "Rural+Urban", CPI_Data[Date],B70)</f>
        <v>154.69999999999999</v>
      </c>
      <c r="H70" s="4">
        <f>SUMIFS(CPI_Data[Oils and fats], CPI_Data[Sector], "Rural+Urban", CPI_Data[Date],B70)</f>
        <v>158.69999999999999</v>
      </c>
      <c r="I70" s="4">
        <f>SUMIFS(CPI_Data[Fruits], CPI_Data[Sector], "Rural+Urban", CPI_Data[Date],B70)</f>
        <v>150.69999999999999</v>
      </c>
      <c r="J70" s="4">
        <f>SUMIFS(CPI_Data[Vegetables], CPI_Data[Sector], "Rural+Urban", CPI_Data[Date],B70)</f>
        <v>160</v>
      </c>
      <c r="K70" s="4">
        <f>SUMIFS(CPI_Data[Pulses and products], CPI_Data[Sector], "Rural+Urban", CPI_Data[Date],B70)</f>
        <v>158.80000000000001</v>
      </c>
      <c r="L70" s="4">
        <f>SUMIFS(CPI_Data[Sugar and Confectionery], CPI_Data[Sector], "Rural+Urban", CPI_Data[Date],B70)</f>
        <v>112.8</v>
      </c>
      <c r="M70" s="4">
        <f>SUMIFS(CPI_Data[Spices], CPI_Data[Sector], "Rural+Urban", CPI_Data[Date],B70)</f>
        <v>164.2</v>
      </c>
      <c r="N70" s="4">
        <f>SUMIFS(CPI_Data[Non-alcoholic beverages], CPI_Data[Sector], "Rural+Urban", CPI_Data[Date],B70)</f>
        <v>155.5</v>
      </c>
      <c r="O70" s="4">
        <f>SUMIFS(CPI_Data[Prepared meals, snacks, sweets etc.], CPI_Data[Sector], "Rural+Urban", CPI_Data[Date],B70)</f>
        <v>167.5</v>
      </c>
      <c r="P70" s="4">
        <f>SUMIFS(CPI_Data[Food and beverages], CPI_Data[Sector], "Rural+Urban", CPI_Data[Date],B70)</f>
        <v>156.9</v>
      </c>
      <c r="Q70" s="4">
        <f>SUMIFS(CPI_Data[Pan, tobacco and intoxicants], CPI_Data[Sector], "Rural+Urban", CPI_Data[Date],B70)</f>
        <v>188.3</v>
      </c>
      <c r="R70" s="4">
        <f>SUMIFS(CPI_Data[Clothing], CPI_Data[Sector], "Rural+Urban", CPI_Data[Date],B70)</f>
        <v>157.19999999999999</v>
      </c>
      <c r="S70" s="4">
        <f>SUMIFS(CPI_Data[Footwear], CPI_Data[Sector], "Rural+Urban", CPI_Data[Date],B70)</f>
        <v>147.4</v>
      </c>
      <c r="T70" s="4">
        <f>SUMIFS(CPI_Data[Clothing and footwear], CPI_Data[Sector], "Rural+Urban", CPI_Data[Date],B70)</f>
        <v>155.80000000000001</v>
      </c>
      <c r="U70" s="4">
        <f>SUMIFS(CPI_Data[Housing], CPI_Data[Sector], "Rural+Urban", CPI_Data[Date],B70)</f>
        <v>159.80000000000001</v>
      </c>
      <c r="V70" s="4">
        <f>SUMIFS(CPI_Data[Fuel and light], CPI_Data[Sector], "Rural+Urban", CPI_Data[Date],B70)</f>
        <v>152.4</v>
      </c>
      <c r="W70" s="4">
        <f>SUMIFS(CPI_Data[Household goods and services], CPI_Data[Sector], "Rural+Urban", CPI_Data[Date],B70)</f>
        <v>150.9</v>
      </c>
      <c r="X70" s="4">
        <f>SUMIFS(CPI_Data[Health], CPI_Data[Sector], "Rural+Urban", CPI_Data[Date],B70)</f>
        <v>161.30000000000001</v>
      </c>
      <c r="Y70" s="4">
        <f>SUMIFS(CPI_Data[Transport and communication], CPI_Data[Sector], "Rural+Urban", CPI_Data[Date],B70)</f>
        <v>145.1</v>
      </c>
      <c r="Z70" s="4">
        <f>SUMIFS(CPI_Data[Recreation and amusement], CPI_Data[Sector], "Rural+Urban", CPI_Data[Date],B70)</f>
        <v>151.5</v>
      </c>
      <c r="AA70" s="4">
        <f>SUMIFS(CPI_Data[Education], CPI_Data[Sector], "Rural+Urban", CPI_Data[Date],B70)</f>
        <v>159.5</v>
      </c>
      <c r="AB70" s="4">
        <f>SUMIFS(CPI_Data[Personal care and effects], CPI_Data[Sector], "Rural+Urban", CPI_Data[Date],B70)</f>
        <v>155.80000000000001</v>
      </c>
      <c r="AC70" s="4">
        <f>SUMIFS(CPI_Data[Miscellaneous], CPI_Data[Sector], "Rural+Urban", CPI_Data[Date],B70)</f>
        <v>153.4</v>
      </c>
      <c r="AD70" s="4">
        <f>SUMIFS(CPI_Data[General index], CPI_Data[Sector], "Rural+Urban", CPI_Data[Date],B70)</f>
        <v>156.6</v>
      </c>
    </row>
    <row r="71" spans="2:30" x14ac:dyDescent="0.3">
      <c r="B71" s="20">
        <v>44256</v>
      </c>
      <c r="C71" s="18">
        <v>64.729496782608663</v>
      </c>
      <c r="D71" s="4">
        <f>SUMIFS(CPI_Data[Cereals and products], CPI_Data[Sector], "Rural+Urban", CPI_Data[Date],B71)</f>
        <v>144.1</v>
      </c>
      <c r="E71" s="4">
        <f>SUMIFS(CPI_Data[Meat and fish], CPI_Data[Sector], "Rural+Urban", CPI_Data[Date],B71)</f>
        <v>192.2</v>
      </c>
      <c r="F71" s="4">
        <f>SUMIFS(CPI_Data[Egg], CPI_Data[Sector], "Rural+Urban", CPI_Data[Date],B71)</f>
        <v>163.80000000000001</v>
      </c>
      <c r="G71" s="4">
        <f>SUMIFS(CPI_Data[Milk and products], CPI_Data[Sector], "Rural+Urban", CPI_Data[Date],B71)</f>
        <v>154.9</v>
      </c>
      <c r="H71" s="4">
        <f>SUMIFS(CPI_Data[Oils and fats], CPI_Data[Sector], "Rural+Urban", CPI_Data[Date],B71)</f>
        <v>163.9</v>
      </c>
      <c r="I71" s="4">
        <f>SUMIFS(CPI_Data[Fruits], CPI_Data[Sector], "Rural+Urban", CPI_Data[Date],B71)</f>
        <v>153.69999999999999</v>
      </c>
      <c r="J71" s="4">
        <f>SUMIFS(CPI_Data[Vegetables], CPI_Data[Sector], "Rural+Urban", CPI_Data[Date],B71)</f>
        <v>149.5</v>
      </c>
      <c r="K71" s="4">
        <f>SUMIFS(CPI_Data[Pulses and products], CPI_Data[Sector], "Rural+Urban", CPI_Data[Date],B71)</f>
        <v>159.80000000000001</v>
      </c>
      <c r="L71" s="4">
        <f>SUMIFS(CPI_Data[Sugar and Confectionery], CPI_Data[Sector], "Rural+Urban", CPI_Data[Date],B71)</f>
        <v>112.6</v>
      </c>
      <c r="M71" s="4">
        <f>SUMIFS(CPI_Data[Spices], CPI_Data[Sector], "Rural+Urban", CPI_Data[Date],B71)</f>
        <v>163.5</v>
      </c>
      <c r="N71" s="4">
        <f>SUMIFS(CPI_Data[Non-alcoholic beverages], CPI_Data[Sector], "Rural+Urban", CPI_Data[Date],B71)</f>
        <v>156.5</v>
      </c>
      <c r="O71" s="4">
        <f>SUMIFS(CPI_Data[Prepared meals, snacks, sweets etc.], CPI_Data[Sector], "Rural+Urban", CPI_Data[Date],B71)</f>
        <v>168.2</v>
      </c>
      <c r="P71" s="4">
        <f>SUMIFS(CPI_Data[Food and beverages], CPI_Data[Sector], "Rural+Urban", CPI_Data[Date],B71)</f>
        <v>156.69999999999999</v>
      </c>
      <c r="Q71" s="4">
        <f>SUMIFS(CPI_Data[Pan, tobacco and intoxicants], CPI_Data[Sector], "Rural+Urban", CPI_Data[Date],B71)</f>
        <v>188.1</v>
      </c>
      <c r="R71" s="4">
        <f>SUMIFS(CPI_Data[Clothing], CPI_Data[Sector], "Rural+Urban", CPI_Data[Date],B71)</f>
        <v>157.80000000000001</v>
      </c>
      <c r="S71" s="4">
        <f>SUMIFS(CPI_Data[Footwear], CPI_Data[Sector], "Rural+Urban", CPI_Data[Date],B71)</f>
        <v>147.9</v>
      </c>
      <c r="T71" s="4">
        <f>SUMIFS(CPI_Data[Clothing and footwear], CPI_Data[Sector], "Rural+Urban", CPI_Data[Date],B71)</f>
        <v>156.4</v>
      </c>
      <c r="U71" s="4">
        <f>SUMIFS(CPI_Data[Housing], CPI_Data[Sector], "Rural+Urban", CPI_Data[Date],B71)</f>
        <v>159.9</v>
      </c>
      <c r="V71" s="4">
        <f>SUMIFS(CPI_Data[Fuel and light], CPI_Data[Sector], "Rural+Urban", CPI_Data[Date],B71)</f>
        <v>155.5</v>
      </c>
      <c r="W71" s="4">
        <f>SUMIFS(CPI_Data[Household goods and services], CPI_Data[Sector], "Rural+Urban", CPI_Data[Date],B71)</f>
        <v>151.19999999999999</v>
      </c>
      <c r="X71" s="4">
        <f>SUMIFS(CPI_Data[Health], CPI_Data[Sector], "Rural+Urban", CPI_Data[Date],B71)</f>
        <v>161.69999999999999</v>
      </c>
      <c r="Y71" s="4">
        <f>SUMIFS(CPI_Data[Transport and communication], CPI_Data[Sector], "Rural+Urban", CPI_Data[Date],B71)</f>
        <v>146.19999999999999</v>
      </c>
      <c r="Z71" s="4">
        <f>SUMIFS(CPI_Data[Recreation and amusement], CPI_Data[Sector], "Rural+Urban", CPI_Data[Date],B71)</f>
        <v>152.6</v>
      </c>
      <c r="AA71" s="4">
        <f>SUMIFS(CPI_Data[Education], CPI_Data[Sector], "Rural+Urban", CPI_Data[Date],B71)</f>
        <v>160.19999999999999</v>
      </c>
      <c r="AB71" s="4">
        <f>SUMIFS(CPI_Data[Personal care and effects], CPI_Data[Sector], "Rural+Urban", CPI_Data[Date],B71)</f>
        <v>153.80000000000001</v>
      </c>
      <c r="AC71" s="4">
        <f>SUMIFS(CPI_Data[Miscellaneous], CPI_Data[Sector], "Rural+Urban", CPI_Data[Date],B71)</f>
        <v>153.80000000000001</v>
      </c>
      <c r="AD71" s="4">
        <f>SUMIFS(CPI_Data[General index], CPI_Data[Sector], "Rural+Urban", CPI_Data[Date],B71)</f>
        <v>156.80000000000001</v>
      </c>
    </row>
    <row r="72" spans="2:30" x14ac:dyDescent="0.3">
      <c r="B72" s="20">
        <v>44287</v>
      </c>
      <c r="C72" s="18">
        <v>63.396976500000008</v>
      </c>
      <c r="D72" s="4">
        <f>SUMIFS(CPI_Data[Cereals and products], CPI_Data[Sector], "Rural+Urban", CPI_Data[Date],B72)</f>
        <v>144.30000000000001</v>
      </c>
      <c r="E72" s="4">
        <f>SUMIFS(CPI_Data[Meat and fish], CPI_Data[Sector], "Rural+Urban", CPI_Data[Date],B72)</f>
        <v>198</v>
      </c>
      <c r="F72" s="4">
        <f>SUMIFS(CPI_Data[Egg], CPI_Data[Sector], "Rural+Urban", CPI_Data[Date],B72)</f>
        <v>164.6</v>
      </c>
      <c r="G72" s="4">
        <f>SUMIFS(CPI_Data[Milk and products], CPI_Data[Sector], "Rural+Urban", CPI_Data[Date],B72)</f>
        <v>155.4</v>
      </c>
      <c r="H72" s="4">
        <f>SUMIFS(CPI_Data[Oils and fats], CPI_Data[Sector], "Rural+Urban", CPI_Data[Date],B72)</f>
        <v>170.1</v>
      </c>
      <c r="I72" s="4">
        <f>SUMIFS(CPI_Data[Fruits], CPI_Data[Sector], "Rural+Urban", CPI_Data[Date],B72)</f>
        <v>164.4</v>
      </c>
      <c r="J72" s="4">
        <f>SUMIFS(CPI_Data[Vegetables], CPI_Data[Sector], "Rural+Urban", CPI_Data[Date],B72)</f>
        <v>144.1</v>
      </c>
      <c r="K72" s="4">
        <f>SUMIFS(CPI_Data[Pulses and products], CPI_Data[Sector], "Rural+Urban", CPI_Data[Date],B72)</f>
        <v>161.69999999999999</v>
      </c>
      <c r="L72" s="4">
        <f>SUMIFS(CPI_Data[Sugar and Confectionery], CPI_Data[Sector], "Rural+Urban", CPI_Data[Date],B72)</f>
        <v>113.1</v>
      </c>
      <c r="M72" s="4">
        <f>SUMIFS(CPI_Data[Spices], CPI_Data[Sector], "Rural+Urban", CPI_Data[Date],B72)</f>
        <v>163.9</v>
      </c>
      <c r="N72" s="4">
        <f>SUMIFS(CPI_Data[Non-alcoholic beverages], CPI_Data[Sector], "Rural+Urban", CPI_Data[Date],B72)</f>
        <v>157.6</v>
      </c>
      <c r="O72" s="4">
        <f>SUMIFS(CPI_Data[Prepared meals, snacks, sweets etc.], CPI_Data[Sector], "Rural+Urban", CPI_Data[Date],B72)</f>
        <v>168.9</v>
      </c>
      <c r="P72" s="4">
        <f>SUMIFS(CPI_Data[Food and beverages], CPI_Data[Sector], "Rural+Urban", CPI_Data[Date],B72)</f>
        <v>158</v>
      </c>
      <c r="Q72" s="4">
        <f>SUMIFS(CPI_Data[Pan, tobacco and intoxicants], CPI_Data[Sector], "Rural+Urban", CPI_Data[Date],B72)</f>
        <v>188.8</v>
      </c>
      <c r="R72" s="4">
        <f>SUMIFS(CPI_Data[Clothing], CPI_Data[Sector], "Rural+Urban", CPI_Data[Date],B72)</f>
        <v>158.80000000000001</v>
      </c>
      <c r="S72" s="4">
        <f>SUMIFS(CPI_Data[Footwear], CPI_Data[Sector], "Rural+Urban", CPI_Data[Date],B72)</f>
        <v>148.5</v>
      </c>
      <c r="T72" s="4">
        <f>SUMIFS(CPI_Data[Clothing and footwear], CPI_Data[Sector], "Rural+Urban", CPI_Data[Date],B72)</f>
        <v>157.30000000000001</v>
      </c>
      <c r="U72" s="4">
        <f>SUMIFS(CPI_Data[Housing], CPI_Data[Sector], "Rural+Urban", CPI_Data[Date],B72)</f>
        <v>161.4</v>
      </c>
      <c r="V72" s="4">
        <f>SUMIFS(CPI_Data[Fuel and light], CPI_Data[Sector], "Rural+Urban", CPI_Data[Date],B72)</f>
        <v>155.6</v>
      </c>
      <c r="W72" s="4">
        <f>SUMIFS(CPI_Data[Household goods and services], CPI_Data[Sector], "Rural+Urban", CPI_Data[Date],B72)</f>
        <v>151.80000000000001</v>
      </c>
      <c r="X72" s="4">
        <f>SUMIFS(CPI_Data[Health], CPI_Data[Sector], "Rural+Urban", CPI_Data[Date],B72)</f>
        <v>162.30000000000001</v>
      </c>
      <c r="Y72" s="4">
        <f>SUMIFS(CPI_Data[Transport and communication], CPI_Data[Sector], "Rural+Urban", CPI_Data[Date],B72)</f>
        <v>146.6</v>
      </c>
      <c r="Z72" s="4">
        <f>SUMIFS(CPI_Data[Recreation and amusement], CPI_Data[Sector], "Rural+Urban", CPI_Data[Date],B72)</f>
        <v>153.19999999999999</v>
      </c>
      <c r="AA72" s="4">
        <f>SUMIFS(CPI_Data[Education], CPI_Data[Sector], "Rural+Urban", CPI_Data[Date],B72)</f>
        <v>160.30000000000001</v>
      </c>
      <c r="AB72" s="4">
        <f>SUMIFS(CPI_Data[Personal care and effects], CPI_Data[Sector], "Rural+Urban", CPI_Data[Date],B72)</f>
        <v>155.4</v>
      </c>
      <c r="AC72" s="4">
        <f>SUMIFS(CPI_Data[Miscellaneous], CPI_Data[Sector], "Rural+Urban", CPI_Data[Date],B72)</f>
        <v>154.4</v>
      </c>
      <c r="AD72" s="4">
        <f>SUMIFS(CPI_Data[General index], CPI_Data[Sector], "Rural+Urban", CPI_Data[Date],B72)</f>
        <v>157.80000000000001</v>
      </c>
    </row>
    <row r="73" spans="2:30" x14ac:dyDescent="0.3">
      <c r="B73" s="20">
        <v>44317</v>
      </c>
      <c r="C73" s="18">
        <v>66.953084852941174</v>
      </c>
      <c r="D73" s="4">
        <f>SUMIFS(CPI_Data[Cereals and products], CPI_Data[Sector], "Rural+Urban", CPI_Data[Date],B73)</f>
        <v>146.30000000000001</v>
      </c>
      <c r="E73" s="4">
        <f>SUMIFS(CPI_Data[Meat and fish], CPI_Data[Sector], "Rural+Urban", CPI_Data[Date],B73)</f>
        <v>200.5</v>
      </c>
      <c r="F73" s="4">
        <f>SUMIFS(CPI_Data[Egg], CPI_Data[Sector], "Rural+Urban", CPI_Data[Date],B73)</f>
        <v>170.3</v>
      </c>
      <c r="G73" s="4">
        <f>SUMIFS(CPI_Data[Milk and products], CPI_Data[Sector], "Rural+Urban", CPI_Data[Date],B73)</f>
        <v>156.1</v>
      </c>
      <c r="H73" s="4">
        <f>SUMIFS(CPI_Data[Oils and fats], CPI_Data[Sector], "Rural+Urban", CPI_Data[Date],B73)</f>
        <v>178.7</v>
      </c>
      <c r="I73" s="4">
        <f>SUMIFS(CPI_Data[Fruits], CPI_Data[Sector], "Rural+Urban", CPI_Data[Date],B73)</f>
        <v>167.1</v>
      </c>
      <c r="J73" s="4">
        <f>SUMIFS(CPI_Data[Vegetables], CPI_Data[Sector], "Rural+Urban", CPI_Data[Date],B73)</f>
        <v>147.9</v>
      </c>
      <c r="K73" s="4">
        <f>SUMIFS(CPI_Data[Pulses and products], CPI_Data[Sector], "Rural+Urban", CPI_Data[Date],B73)</f>
        <v>165.4</v>
      </c>
      <c r="L73" s="4">
        <f>SUMIFS(CPI_Data[Sugar and Confectionery], CPI_Data[Sector], "Rural+Urban", CPI_Data[Date],B73)</f>
        <v>114.8</v>
      </c>
      <c r="M73" s="4">
        <f>SUMIFS(CPI_Data[Spices], CPI_Data[Sector], "Rural+Urban", CPI_Data[Date],B73)</f>
        <v>168.2</v>
      </c>
      <c r="N73" s="4">
        <f>SUMIFS(CPI_Data[Non-alcoholic beverages], CPI_Data[Sector], "Rural+Urban", CPI_Data[Date],B73)</f>
        <v>159.30000000000001</v>
      </c>
      <c r="O73" s="4">
        <f>SUMIFS(CPI_Data[Prepared meals, snacks, sweets etc.], CPI_Data[Sector], "Rural+Urban", CPI_Data[Date],B73)</f>
        <v>170.4</v>
      </c>
      <c r="P73" s="4">
        <f>SUMIFS(CPI_Data[Food and beverages], CPI_Data[Sector], "Rural+Urban", CPI_Data[Date],B73)</f>
        <v>160.69999999999999</v>
      </c>
      <c r="Q73" s="4">
        <f>SUMIFS(CPI_Data[Pan, tobacco and intoxicants], CPI_Data[Sector], "Rural+Urban", CPI_Data[Date],B73)</f>
        <v>191.9</v>
      </c>
      <c r="R73" s="4">
        <f>SUMIFS(CPI_Data[Clothing], CPI_Data[Sector], "Rural+Urban", CPI_Data[Date],B73)</f>
        <v>161.80000000000001</v>
      </c>
      <c r="S73" s="4">
        <f>SUMIFS(CPI_Data[Footwear], CPI_Data[Sector], "Rural+Urban", CPI_Data[Date],B73)</f>
        <v>152.1</v>
      </c>
      <c r="T73" s="4">
        <f>SUMIFS(CPI_Data[Clothing and footwear], CPI_Data[Sector], "Rural+Urban", CPI_Data[Date],B73)</f>
        <v>160.4</v>
      </c>
      <c r="U73" s="4">
        <f>SUMIFS(CPI_Data[Housing], CPI_Data[Sector], "Rural+Urban", CPI_Data[Date],B73)</f>
        <v>161.6</v>
      </c>
      <c r="V73" s="4">
        <f>SUMIFS(CPI_Data[Fuel and light], CPI_Data[Sector], "Rural+Urban", CPI_Data[Date],B73)</f>
        <v>159.4</v>
      </c>
      <c r="W73" s="4">
        <f>SUMIFS(CPI_Data[Household goods and services], CPI_Data[Sector], "Rural+Urban", CPI_Data[Date],B73)</f>
        <v>154.69999999999999</v>
      </c>
      <c r="X73" s="4">
        <f>SUMIFS(CPI_Data[Health], CPI_Data[Sector], "Rural+Urban", CPI_Data[Date],B73)</f>
        <v>165.8</v>
      </c>
      <c r="Y73" s="4">
        <f>SUMIFS(CPI_Data[Transport and communication], CPI_Data[Sector], "Rural+Urban", CPI_Data[Date],B73)</f>
        <v>148.9</v>
      </c>
      <c r="Z73" s="4">
        <f>SUMIFS(CPI_Data[Recreation and amusement], CPI_Data[Sector], "Rural+Urban", CPI_Data[Date],B73)</f>
        <v>155.80000000000001</v>
      </c>
      <c r="AA73" s="4">
        <f>SUMIFS(CPI_Data[Education], CPI_Data[Sector], "Rural+Urban", CPI_Data[Date],B73)</f>
        <v>161.19999999999999</v>
      </c>
      <c r="AB73" s="4">
        <f>SUMIFS(CPI_Data[Personal care and effects], CPI_Data[Sector], "Rural+Urban", CPI_Data[Date],B73)</f>
        <v>158.6</v>
      </c>
      <c r="AC73" s="4">
        <f>SUMIFS(CPI_Data[Miscellaneous], CPI_Data[Sector], "Rural+Urban", CPI_Data[Date],B73)</f>
        <v>156.80000000000001</v>
      </c>
      <c r="AD73" s="4">
        <f>SUMIFS(CPI_Data[General index], CPI_Data[Sector], "Rural+Urban", CPI_Data[Date],B73)</f>
        <v>160.4</v>
      </c>
    </row>
    <row r="74" spans="2:30" x14ac:dyDescent="0.3">
      <c r="B74" s="20">
        <v>44348</v>
      </c>
      <c r="C74" s="18">
        <v>71.982647477272721</v>
      </c>
      <c r="D74" s="4">
        <f>SUMIFS(CPI_Data[Cereals and products], CPI_Data[Sector], "Rural+Urban", CPI_Data[Date],B74)</f>
        <v>146.69999999999999</v>
      </c>
      <c r="E74" s="4">
        <f>SUMIFS(CPI_Data[Meat and fish], CPI_Data[Sector], "Rural+Urban", CPI_Data[Date],B74)</f>
        <v>202</v>
      </c>
      <c r="F74" s="4">
        <f>SUMIFS(CPI_Data[Egg], CPI_Data[Sector], "Rural+Urban", CPI_Data[Date],B74)</f>
        <v>180.7</v>
      </c>
      <c r="G74" s="4">
        <f>SUMIFS(CPI_Data[Milk and products], CPI_Data[Sector], "Rural+Urban", CPI_Data[Date],B74)</f>
        <v>156.19999999999999</v>
      </c>
      <c r="H74" s="4">
        <f>SUMIFS(CPI_Data[Oils and fats], CPI_Data[Sector], "Rural+Urban", CPI_Data[Date],B74)</f>
        <v>183.7</v>
      </c>
      <c r="I74" s="4">
        <f>SUMIFS(CPI_Data[Fruits], CPI_Data[Sector], "Rural+Urban", CPI_Data[Date],B74)</f>
        <v>164.6</v>
      </c>
      <c r="J74" s="4">
        <f>SUMIFS(CPI_Data[Vegetables], CPI_Data[Sector], "Rural+Urban", CPI_Data[Date],B74)</f>
        <v>155.4</v>
      </c>
      <c r="K74" s="4">
        <f>SUMIFS(CPI_Data[Pulses and products], CPI_Data[Sector], "Rural+Urban", CPI_Data[Date],B74)</f>
        <v>166</v>
      </c>
      <c r="L74" s="4">
        <f>SUMIFS(CPI_Data[Sugar and Confectionery], CPI_Data[Sector], "Rural+Urban", CPI_Data[Date],B74)</f>
        <v>115.1</v>
      </c>
      <c r="M74" s="4">
        <f>SUMIFS(CPI_Data[Spices], CPI_Data[Sector], "Rural+Urban", CPI_Data[Date],B74)</f>
        <v>168.5</v>
      </c>
      <c r="N74" s="4">
        <f>SUMIFS(CPI_Data[Non-alcoholic beverages], CPI_Data[Sector], "Rural+Urban", CPI_Data[Date],B74)</f>
        <v>160</v>
      </c>
      <c r="O74" s="4">
        <f>SUMIFS(CPI_Data[Prepared meals, snacks, sweets etc.], CPI_Data[Sector], "Rural+Urban", CPI_Data[Date],B74)</f>
        <v>172.4</v>
      </c>
      <c r="P74" s="4">
        <f>SUMIFS(CPI_Data[Food and beverages], CPI_Data[Sector], "Rural+Urban", CPI_Data[Date],B74)</f>
        <v>162.6</v>
      </c>
      <c r="Q74" s="4">
        <f>SUMIFS(CPI_Data[Pan, tobacco and intoxicants], CPI_Data[Sector], "Rural+Urban", CPI_Data[Date],B74)</f>
        <v>190.8</v>
      </c>
      <c r="R74" s="4">
        <f>SUMIFS(CPI_Data[Clothing], CPI_Data[Sector], "Rural+Urban", CPI_Data[Date],B74)</f>
        <v>162.19999999999999</v>
      </c>
      <c r="S74" s="4">
        <f>SUMIFS(CPI_Data[Footwear], CPI_Data[Sector], "Rural+Urban", CPI_Data[Date],B74)</f>
        <v>151.80000000000001</v>
      </c>
      <c r="T74" s="4">
        <f>SUMIFS(CPI_Data[Clothing and footwear], CPI_Data[Sector], "Rural+Urban", CPI_Data[Date],B74)</f>
        <v>160.69999999999999</v>
      </c>
      <c r="U74" s="4">
        <f>SUMIFS(CPI_Data[Housing], CPI_Data[Sector], "Rural+Urban", CPI_Data[Date],B74)</f>
        <v>160.5</v>
      </c>
      <c r="V74" s="4">
        <f>SUMIFS(CPI_Data[Fuel and light], CPI_Data[Sector], "Rural+Urban", CPI_Data[Date],B74)</f>
        <v>159.80000000000001</v>
      </c>
      <c r="W74" s="4">
        <f>SUMIFS(CPI_Data[Household goods and services], CPI_Data[Sector], "Rural+Urban", CPI_Data[Date],B74)</f>
        <v>154.80000000000001</v>
      </c>
      <c r="X74" s="4">
        <f>SUMIFS(CPI_Data[Health], CPI_Data[Sector], "Rural+Urban", CPI_Data[Date],B74)</f>
        <v>166.3</v>
      </c>
      <c r="Y74" s="4">
        <f>SUMIFS(CPI_Data[Transport and communication], CPI_Data[Sector], "Rural+Urban", CPI_Data[Date],B74)</f>
        <v>150.69999999999999</v>
      </c>
      <c r="Z74" s="4">
        <f>SUMIFS(CPI_Data[Recreation and amusement], CPI_Data[Sector], "Rural+Urban", CPI_Data[Date],B74)</f>
        <v>154.9</v>
      </c>
      <c r="AA74" s="4">
        <f>SUMIFS(CPI_Data[Education], CPI_Data[Sector], "Rural+Urban", CPI_Data[Date],B74)</f>
        <v>161.69999999999999</v>
      </c>
      <c r="AB74" s="4">
        <f>SUMIFS(CPI_Data[Personal care and effects], CPI_Data[Sector], "Rural+Urban", CPI_Data[Date],B74)</f>
        <v>158.80000000000001</v>
      </c>
      <c r="AC74" s="4">
        <f>SUMIFS(CPI_Data[Miscellaneous], CPI_Data[Sector], "Rural+Urban", CPI_Data[Date],B74)</f>
        <v>157.6</v>
      </c>
      <c r="AD74" s="4">
        <f>SUMIFS(CPI_Data[General index], CPI_Data[Sector], "Rural+Urban", CPI_Data[Date],B74)</f>
        <v>161.30000000000001</v>
      </c>
    </row>
    <row r="75" spans="2:30" x14ac:dyDescent="0.3">
      <c r="B75" s="20">
        <v>44378</v>
      </c>
      <c r="C75" s="18">
        <v>73.539060523809511</v>
      </c>
      <c r="D75" s="4">
        <f>SUMIFS(CPI_Data[Cereals and products], CPI_Data[Sector], "Rural+Urban", CPI_Data[Date],B75)</f>
        <v>146.4</v>
      </c>
      <c r="E75" s="4">
        <f>SUMIFS(CPI_Data[Meat and fish], CPI_Data[Sector], "Rural+Urban", CPI_Data[Date],B75)</f>
        <v>206.8</v>
      </c>
      <c r="F75" s="4">
        <f>SUMIFS(CPI_Data[Egg], CPI_Data[Sector], "Rural+Urban", CPI_Data[Date],B75)</f>
        <v>182.2</v>
      </c>
      <c r="G75" s="4">
        <f>SUMIFS(CPI_Data[Milk and products], CPI_Data[Sector], "Rural+Urban", CPI_Data[Date],B75)</f>
        <v>157.5</v>
      </c>
      <c r="H75" s="4">
        <f>SUMIFS(CPI_Data[Oils and fats], CPI_Data[Sector], "Rural+Urban", CPI_Data[Date],B75)</f>
        <v>182.1</v>
      </c>
      <c r="I75" s="4">
        <f>SUMIFS(CPI_Data[Fruits], CPI_Data[Sector], "Rural+Urban", CPI_Data[Date],B75)</f>
        <v>163.9</v>
      </c>
      <c r="J75" s="4">
        <f>SUMIFS(CPI_Data[Vegetables], CPI_Data[Sector], "Rural+Urban", CPI_Data[Date],B75)</f>
        <v>164.2</v>
      </c>
      <c r="K75" s="4">
        <f>SUMIFS(CPI_Data[Pulses and products], CPI_Data[Sector], "Rural+Urban", CPI_Data[Date],B75)</f>
        <v>164</v>
      </c>
      <c r="L75" s="4">
        <f>SUMIFS(CPI_Data[Sugar and Confectionery], CPI_Data[Sector], "Rural+Urban", CPI_Data[Date],B75)</f>
        <v>114.5</v>
      </c>
      <c r="M75" s="4">
        <f>SUMIFS(CPI_Data[Spices], CPI_Data[Sector], "Rural+Urban", CPI_Data[Date],B75)</f>
        <v>168.3</v>
      </c>
      <c r="N75" s="4">
        <f>SUMIFS(CPI_Data[Non-alcoholic beverages], CPI_Data[Sector], "Rural+Urban", CPI_Data[Date],B75)</f>
        <v>160.9</v>
      </c>
      <c r="O75" s="4">
        <f>SUMIFS(CPI_Data[Prepared meals, snacks, sweets etc.], CPI_Data[Sector], "Rural+Urban", CPI_Data[Date],B75)</f>
        <v>172.2</v>
      </c>
      <c r="P75" s="4">
        <f>SUMIFS(CPI_Data[Food and beverages], CPI_Data[Sector], "Rural+Urban", CPI_Data[Date],B75)</f>
        <v>164</v>
      </c>
      <c r="Q75" s="4">
        <f>SUMIFS(CPI_Data[Pan, tobacco and intoxicants], CPI_Data[Sector], "Rural+Urban", CPI_Data[Date],B75)</f>
        <v>191.2</v>
      </c>
      <c r="R75" s="4">
        <f>SUMIFS(CPI_Data[Clothing], CPI_Data[Sector], "Rural+Urban", CPI_Data[Date],B75)</f>
        <v>162.80000000000001</v>
      </c>
      <c r="S75" s="4">
        <f>SUMIFS(CPI_Data[Footwear], CPI_Data[Sector], "Rural+Urban", CPI_Data[Date],B75)</f>
        <v>153.1</v>
      </c>
      <c r="T75" s="4">
        <f>SUMIFS(CPI_Data[Clothing and footwear], CPI_Data[Sector], "Rural+Urban", CPI_Data[Date],B75)</f>
        <v>161.4</v>
      </c>
      <c r="U75" s="4">
        <f>SUMIFS(CPI_Data[Housing], CPI_Data[Sector], "Rural+Urban", CPI_Data[Date],B75)</f>
        <v>161.5</v>
      </c>
      <c r="V75" s="4">
        <f>SUMIFS(CPI_Data[Fuel and light], CPI_Data[Sector], "Rural+Urban", CPI_Data[Date],B75)</f>
        <v>160.69999999999999</v>
      </c>
      <c r="W75" s="4">
        <f>SUMIFS(CPI_Data[Household goods and services], CPI_Data[Sector], "Rural+Urban", CPI_Data[Date],B75)</f>
        <v>155.80000000000001</v>
      </c>
      <c r="X75" s="4">
        <f>SUMIFS(CPI_Data[Health], CPI_Data[Sector], "Rural+Urban", CPI_Data[Date],B75)</f>
        <v>167</v>
      </c>
      <c r="Y75" s="4">
        <f>SUMIFS(CPI_Data[Transport and communication], CPI_Data[Sector], "Rural+Urban", CPI_Data[Date],B75)</f>
        <v>153.1</v>
      </c>
      <c r="Z75" s="4">
        <f>SUMIFS(CPI_Data[Recreation and amusement], CPI_Data[Sector], "Rural+Urban", CPI_Data[Date],B75)</f>
        <v>155.30000000000001</v>
      </c>
      <c r="AA75" s="4">
        <f>SUMIFS(CPI_Data[Education], CPI_Data[Sector], "Rural+Urban", CPI_Data[Date],B75)</f>
        <v>163.19999999999999</v>
      </c>
      <c r="AB75" s="4">
        <f>SUMIFS(CPI_Data[Personal care and effects], CPI_Data[Sector], "Rural+Urban", CPI_Data[Date],B75)</f>
        <v>160.1</v>
      </c>
      <c r="AC75" s="4">
        <f>SUMIFS(CPI_Data[Miscellaneous], CPI_Data[Sector], "Rural+Urban", CPI_Data[Date],B75)</f>
        <v>159</v>
      </c>
      <c r="AD75" s="4">
        <f>SUMIFS(CPI_Data[General index], CPI_Data[Sector], "Rural+Urban", CPI_Data[Date],B75)</f>
        <v>162.5</v>
      </c>
    </row>
    <row r="76" spans="2:30" x14ac:dyDescent="0.3">
      <c r="B76" s="20">
        <v>44409</v>
      </c>
      <c r="C76" s="18">
        <v>69.804724424999989</v>
      </c>
      <c r="D76" s="4">
        <f>SUMIFS(CPI_Data[Cereals and products], CPI_Data[Sector], "Rural+Urban", CPI_Data[Date],B76)</f>
        <v>146.6</v>
      </c>
      <c r="E76" s="4">
        <f>SUMIFS(CPI_Data[Meat and fish], CPI_Data[Sector], "Rural+Urban", CPI_Data[Date],B76)</f>
        <v>204</v>
      </c>
      <c r="F76" s="4">
        <f>SUMIFS(CPI_Data[Egg], CPI_Data[Sector], "Rural+Urban", CPI_Data[Date],B76)</f>
        <v>172.8</v>
      </c>
      <c r="G76" s="4">
        <f>SUMIFS(CPI_Data[Milk and products], CPI_Data[Sector], "Rural+Urban", CPI_Data[Date],B76)</f>
        <v>158.4</v>
      </c>
      <c r="H76" s="4">
        <f>SUMIFS(CPI_Data[Oils and fats], CPI_Data[Sector], "Rural+Urban", CPI_Data[Date],B76)</f>
        <v>188</v>
      </c>
      <c r="I76" s="4">
        <f>SUMIFS(CPI_Data[Fruits], CPI_Data[Sector], "Rural+Urban", CPI_Data[Date],B76)</f>
        <v>156.80000000000001</v>
      </c>
      <c r="J76" s="4">
        <f>SUMIFS(CPI_Data[Vegetables], CPI_Data[Sector], "Rural+Urban", CPI_Data[Date],B76)</f>
        <v>162.19999999999999</v>
      </c>
      <c r="K76" s="4">
        <f>SUMIFS(CPI_Data[Pulses and products], CPI_Data[Sector], "Rural+Urban", CPI_Data[Date],B76)</f>
        <v>164.1</v>
      </c>
      <c r="L76" s="4">
        <f>SUMIFS(CPI_Data[Sugar and Confectionery], CPI_Data[Sector], "Rural+Urban", CPI_Data[Date],B76)</f>
        <v>119.7</v>
      </c>
      <c r="M76" s="4">
        <f>SUMIFS(CPI_Data[Spices], CPI_Data[Sector], "Rural+Urban", CPI_Data[Date],B76)</f>
        <v>168.8</v>
      </c>
      <c r="N76" s="4">
        <f>SUMIFS(CPI_Data[Non-alcoholic beverages], CPI_Data[Sector], "Rural+Urban", CPI_Data[Date],B76)</f>
        <v>162.69999999999999</v>
      </c>
      <c r="O76" s="4">
        <f>SUMIFS(CPI_Data[Prepared meals, snacks, sweets etc.], CPI_Data[Sector], "Rural+Urban", CPI_Data[Date],B76)</f>
        <v>173.9</v>
      </c>
      <c r="P76" s="4">
        <f>SUMIFS(CPI_Data[Food and beverages], CPI_Data[Sector], "Rural+Urban", CPI_Data[Date],B76)</f>
        <v>164</v>
      </c>
      <c r="Q76" s="4">
        <f>SUMIFS(CPI_Data[Pan, tobacco and intoxicants], CPI_Data[Sector], "Rural+Urban", CPI_Data[Date],B76)</f>
        <v>192.1</v>
      </c>
      <c r="R76" s="4">
        <f>SUMIFS(CPI_Data[Clothing], CPI_Data[Sector], "Rural+Urban", CPI_Data[Date],B76)</f>
        <v>164.5</v>
      </c>
      <c r="S76" s="4">
        <f>SUMIFS(CPI_Data[Footwear], CPI_Data[Sector], "Rural+Urban", CPI_Data[Date],B76)</f>
        <v>155.30000000000001</v>
      </c>
      <c r="T76" s="4">
        <f>SUMIFS(CPI_Data[Clothing and footwear], CPI_Data[Sector], "Rural+Urban", CPI_Data[Date],B76)</f>
        <v>163.19999999999999</v>
      </c>
      <c r="U76" s="4">
        <f>SUMIFS(CPI_Data[Housing], CPI_Data[Sector], "Rural+Urban", CPI_Data[Date],B76)</f>
        <v>162.1</v>
      </c>
      <c r="V76" s="4">
        <f>SUMIFS(CPI_Data[Fuel and light], CPI_Data[Sector], "Rural+Urban", CPI_Data[Date],B76)</f>
        <v>162.6</v>
      </c>
      <c r="W76" s="4">
        <f>SUMIFS(CPI_Data[Household goods and services], CPI_Data[Sector], "Rural+Urban", CPI_Data[Date],B76)</f>
        <v>157.5</v>
      </c>
      <c r="X76" s="4">
        <f>SUMIFS(CPI_Data[Health], CPI_Data[Sector], "Rural+Urban", CPI_Data[Date],B76)</f>
        <v>168.4</v>
      </c>
      <c r="Y76" s="4">
        <f>SUMIFS(CPI_Data[Transport and communication], CPI_Data[Sector], "Rural+Urban", CPI_Data[Date],B76)</f>
        <v>154</v>
      </c>
      <c r="Z76" s="4">
        <f>SUMIFS(CPI_Data[Recreation and amusement], CPI_Data[Sector], "Rural+Urban", CPI_Data[Date],B76)</f>
        <v>157.6</v>
      </c>
      <c r="AA76" s="4">
        <f>SUMIFS(CPI_Data[Education], CPI_Data[Sector], "Rural+Urban", CPI_Data[Date],B76)</f>
        <v>163.80000000000001</v>
      </c>
      <c r="AB76" s="4">
        <f>SUMIFS(CPI_Data[Personal care and effects], CPI_Data[Sector], "Rural+Urban", CPI_Data[Date],B76)</f>
        <v>160</v>
      </c>
      <c r="AC76" s="4">
        <f>SUMIFS(CPI_Data[Miscellaneous], CPI_Data[Sector], "Rural+Urban", CPI_Data[Date],B76)</f>
        <v>160</v>
      </c>
      <c r="AD76" s="4">
        <f>SUMIFS(CPI_Data[General index], CPI_Data[Sector], "Rural+Urban", CPI_Data[Date],B76)</f>
        <v>163.19999999999999</v>
      </c>
    </row>
    <row r="77" spans="2:30" x14ac:dyDescent="0.3">
      <c r="B77" s="20">
        <v>44440</v>
      </c>
      <c r="C77" s="18">
        <v>73.130738295454549</v>
      </c>
      <c r="D77" s="4">
        <f>SUMIFS(CPI_Data[Cereals and products], CPI_Data[Sector], "Rural+Urban", CPI_Data[Date],B77)</f>
        <v>146.6</v>
      </c>
      <c r="E77" s="4">
        <f>SUMIFS(CPI_Data[Meat and fish], CPI_Data[Sector], "Rural+Urban", CPI_Data[Date],B77)</f>
        <v>204</v>
      </c>
      <c r="F77" s="4">
        <f>SUMIFS(CPI_Data[Egg], CPI_Data[Sector], "Rural+Urban", CPI_Data[Date],B77)</f>
        <v>172.8</v>
      </c>
      <c r="G77" s="4">
        <f>SUMIFS(CPI_Data[Milk and products], CPI_Data[Sector], "Rural+Urban", CPI_Data[Date],B77)</f>
        <v>158.4</v>
      </c>
      <c r="H77" s="4">
        <f>SUMIFS(CPI_Data[Oils and fats], CPI_Data[Sector], "Rural+Urban", CPI_Data[Date],B77)</f>
        <v>188</v>
      </c>
      <c r="I77" s="4">
        <f>SUMIFS(CPI_Data[Fruits], CPI_Data[Sector], "Rural+Urban", CPI_Data[Date],B77)</f>
        <v>156.69999999999999</v>
      </c>
      <c r="J77" s="4">
        <f>SUMIFS(CPI_Data[Vegetables], CPI_Data[Sector], "Rural+Urban", CPI_Data[Date],B77)</f>
        <v>162.30000000000001</v>
      </c>
      <c r="K77" s="4">
        <f>SUMIFS(CPI_Data[Pulses and products], CPI_Data[Sector], "Rural+Urban", CPI_Data[Date],B77)</f>
        <v>164.1</v>
      </c>
      <c r="L77" s="4">
        <f>SUMIFS(CPI_Data[Sugar and Confectionery], CPI_Data[Sector], "Rural+Urban", CPI_Data[Date],B77)</f>
        <v>119.7</v>
      </c>
      <c r="M77" s="4">
        <f>SUMIFS(CPI_Data[Spices], CPI_Data[Sector], "Rural+Urban", CPI_Data[Date],B77)</f>
        <v>168.8</v>
      </c>
      <c r="N77" s="4">
        <f>SUMIFS(CPI_Data[Non-alcoholic beverages], CPI_Data[Sector], "Rural+Urban", CPI_Data[Date],B77)</f>
        <v>162.69999999999999</v>
      </c>
      <c r="O77" s="4">
        <f>SUMIFS(CPI_Data[Prepared meals, snacks, sweets etc.], CPI_Data[Sector], "Rural+Urban", CPI_Data[Date],B77)</f>
        <v>173.9</v>
      </c>
      <c r="P77" s="4">
        <f>SUMIFS(CPI_Data[Food and beverages], CPI_Data[Sector], "Rural+Urban", CPI_Data[Date],B77)</f>
        <v>164</v>
      </c>
      <c r="Q77" s="4">
        <f>SUMIFS(CPI_Data[Pan, tobacco and intoxicants], CPI_Data[Sector], "Rural+Urban", CPI_Data[Date],B77)</f>
        <v>192.1</v>
      </c>
      <c r="R77" s="4">
        <f>SUMIFS(CPI_Data[Clothing], CPI_Data[Sector], "Rural+Urban", CPI_Data[Date],B77)</f>
        <v>164.6</v>
      </c>
      <c r="S77" s="4">
        <f>SUMIFS(CPI_Data[Footwear], CPI_Data[Sector], "Rural+Urban", CPI_Data[Date],B77)</f>
        <v>155.30000000000001</v>
      </c>
      <c r="T77" s="4">
        <f>SUMIFS(CPI_Data[Clothing and footwear], CPI_Data[Sector], "Rural+Urban", CPI_Data[Date],B77)</f>
        <v>163.30000000000001</v>
      </c>
      <c r="U77" s="4">
        <f>SUMIFS(CPI_Data[Housing], CPI_Data[Sector], "Rural+Urban", CPI_Data[Date],B77)</f>
        <v>162.1</v>
      </c>
      <c r="V77" s="4">
        <f>SUMIFS(CPI_Data[Fuel and light], CPI_Data[Sector], "Rural+Urban", CPI_Data[Date],B77)</f>
        <v>162.6</v>
      </c>
      <c r="W77" s="4">
        <f>SUMIFS(CPI_Data[Household goods and services], CPI_Data[Sector], "Rural+Urban", CPI_Data[Date],B77)</f>
        <v>157.5</v>
      </c>
      <c r="X77" s="4">
        <f>SUMIFS(CPI_Data[Health], CPI_Data[Sector], "Rural+Urban", CPI_Data[Date],B77)</f>
        <v>168.4</v>
      </c>
      <c r="Y77" s="4">
        <f>SUMIFS(CPI_Data[Transport and communication], CPI_Data[Sector], "Rural+Urban", CPI_Data[Date],B77)</f>
        <v>154</v>
      </c>
      <c r="Z77" s="4">
        <f>SUMIFS(CPI_Data[Recreation and amusement], CPI_Data[Sector], "Rural+Urban", CPI_Data[Date],B77)</f>
        <v>157.69999999999999</v>
      </c>
      <c r="AA77" s="4">
        <f>SUMIFS(CPI_Data[Education], CPI_Data[Sector], "Rural+Urban", CPI_Data[Date],B77)</f>
        <v>163.69999999999999</v>
      </c>
      <c r="AB77" s="4">
        <f>SUMIFS(CPI_Data[Personal care and effects], CPI_Data[Sector], "Rural+Urban", CPI_Data[Date],B77)</f>
        <v>160</v>
      </c>
      <c r="AC77" s="4">
        <f>SUMIFS(CPI_Data[Miscellaneous], CPI_Data[Sector], "Rural+Urban", CPI_Data[Date],B77)</f>
        <v>160</v>
      </c>
      <c r="AD77" s="4">
        <f>SUMIFS(CPI_Data[General index], CPI_Data[Sector], "Rural+Urban", CPI_Data[Date],B77)</f>
        <v>163.19999999999999</v>
      </c>
    </row>
    <row r="78" spans="2:30" x14ac:dyDescent="0.3">
      <c r="B78" s="20">
        <v>44470</v>
      </c>
      <c r="C78" s="18">
        <v>82.107393785714294</v>
      </c>
      <c r="D78" s="4">
        <f>SUMIFS(CPI_Data[Cereals and products], CPI_Data[Sector], "Rural+Urban", CPI_Data[Date],B78)</f>
        <v>147.4</v>
      </c>
      <c r="E78" s="4">
        <f>SUMIFS(CPI_Data[Meat and fish], CPI_Data[Sector], "Rural+Urban", CPI_Data[Date],B78)</f>
        <v>204.6</v>
      </c>
      <c r="F78" s="4">
        <f>SUMIFS(CPI_Data[Egg], CPI_Data[Sector], "Rural+Urban", CPI_Data[Date],B78)</f>
        <v>171.2</v>
      </c>
      <c r="G78" s="4">
        <f>SUMIFS(CPI_Data[Milk and products], CPI_Data[Sector], "Rural+Urban", CPI_Data[Date],B78)</f>
        <v>158.69999999999999</v>
      </c>
      <c r="H78" s="4">
        <f>SUMIFS(CPI_Data[Oils and fats], CPI_Data[Sector], "Rural+Urban", CPI_Data[Date],B78)</f>
        <v>190.6</v>
      </c>
      <c r="I78" s="4">
        <f>SUMIFS(CPI_Data[Fruits], CPI_Data[Sector], "Rural+Urban", CPI_Data[Date],B78)</f>
        <v>155.69999999999999</v>
      </c>
      <c r="J78" s="4">
        <f>SUMIFS(CPI_Data[Vegetables], CPI_Data[Sector], "Rural+Urban", CPI_Data[Date],B78)</f>
        <v>185.3</v>
      </c>
      <c r="K78" s="4">
        <f>SUMIFS(CPI_Data[Pulses and products], CPI_Data[Sector], "Rural+Urban", CPI_Data[Date],B78)</f>
        <v>165.2</v>
      </c>
      <c r="L78" s="4">
        <f>SUMIFS(CPI_Data[Sugar and Confectionery], CPI_Data[Sector], "Rural+Urban", CPI_Data[Date],B78)</f>
        <v>121.9</v>
      </c>
      <c r="M78" s="4">
        <f>SUMIFS(CPI_Data[Spices], CPI_Data[Sector], "Rural+Urban", CPI_Data[Date],B78)</f>
        <v>169.3</v>
      </c>
      <c r="N78" s="4">
        <f>SUMIFS(CPI_Data[Non-alcoholic beverages], CPI_Data[Sector], "Rural+Urban", CPI_Data[Date],B78)</f>
        <v>163.19999999999999</v>
      </c>
      <c r="O78" s="4">
        <f>SUMIFS(CPI_Data[Prepared meals, snacks, sweets etc.], CPI_Data[Sector], "Rural+Urban", CPI_Data[Date],B78)</f>
        <v>174.7</v>
      </c>
      <c r="P78" s="4">
        <f>SUMIFS(CPI_Data[Food and beverages], CPI_Data[Sector], "Rural+Urban", CPI_Data[Date],B78)</f>
        <v>167.7</v>
      </c>
      <c r="Q78" s="4">
        <f>SUMIFS(CPI_Data[Pan, tobacco and intoxicants], CPI_Data[Sector], "Rural+Urban", CPI_Data[Date],B78)</f>
        <v>192.7</v>
      </c>
      <c r="R78" s="4">
        <f>SUMIFS(CPI_Data[Clothing], CPI_Data[Sector], "Rural+Urban", CPI_Data[Date],B78)</f>
        <v>165.7</v>
      </c>
      <c r="S78" s="4">
        <f>SUMIFS(CPI_Data[Footwear], CPI_Data[Sector], "Rural+Urban", CPI_Data[Date],B78)</f>
        <v>156.30000000000001</v>
      </c>
      <c r="T78" s="4">
        <f>SUMIFS(CPI_Data[Clothing and footwear], CPI_Data[Sector], "Rural+Urban", CPI_Data[Date],B78)</f>
        <v>164.3</v>
      </c>
      <c r="U78" s="4">
        <f>SUMIFS(CPI_Data[Housing], CPI_Data[Sector], "Rural+Urban", CPI_Data[Date],B78)</f>
        <v>163.6</v>
      </c>
      <c r="V78" s="4">
        <f>SUMIFS(CPI_Data[Fuel and light], CPI_Data[Sector], "Rural+Urban", CPI_Data[Date],B78)</f>
        <v>164.2</v>
      </c>
      <c r="W78" s="4">
        <f>SUMIFS(CPI_Data[Household goods and services], CPI_Data[Sector], "Rural+Urban", CPI_Data[Date],B78)</f>
        <v>158.4</v>
      </c>
      <c r="X78" s="4">
        <f>SUMIFS(CPI_Data[Health], CPI_Data[Sector], "Rural+Urban", CPI_Data[Date],B78)</f>
        <v>169.1</v>
      </c>
      <c r="Y78" s="4">
        <f>SUMIFS(CPI_Data[Transport and communication], CPI_Data[Sector], "Rural+Urban", CPI_Data[Date],B78)</f>
        <v>155.69999999999999</v>
      </c>
      <c r="Z78" s="4">
        <f>SUMIFS(CPI_Data[Recreation and amusement], CPI_Data[Sector], "Rural+Urban", CPI_Data[Date],B78)</f>
        <v>158.6</v>
      </c>
      <c r="AA78" s="4">
        <f>SUMIFS(CPI_Data[Education], CPI_Data[Sector], "Rural+Urban", CPI_Data[Date],B78)</f>
        <v>163.9</v>
      </c>
      <c r="AB78" s="4">
        <f>SUMIFS(CPI_Data[Personal care and effects], CPI_Data[Sector], "Rural+Urban", CPI_Data[Date],B78)</f>
        <v>160.80000000000001</v>
      </c>
      <c r="AC78" s="4">
        <f>SUMIFS(CPI_Data[Miscellaneous], CPI_Data[Sector], "Rural+Urban", CPI_Data[Date],B78)</f>
        <v>161</v>
      </c>
      <c r="AD78" s="4">
        <f>SUMIFS(CPI_Data[General index], CPI_Data[Sector], "Rural+Urban", CPI_Data[Date],B78)</f>
        <v>165.5</v>
      </c>
    </row>
    <row r="79" spans="2:30" x14ac:dyDescent="0.3">
      <c r="B79" s="20">
        <v>44501</v>
      </c>
      <c r="C79" s="18">
        <v>80.637301023809528</v>
      </c>
      <c r="D79" s="4">
        <f>SUMIFS(CPI_Data[Cereals and products], CPI_Data[Sector], "Rural+Urban", CPI_Data[Date],B79)</f>
        <v>148.19999999999999</v>
      </c>
      <c r="E79" s="4">
        <f>SUMIFS(CPI_Data[Meat and fish], CPI_Data[Sector], "Rural+Urban", CPI_Data[Date],B79)</f>
        <v>201.6</v>
      </c>
      <c r="F79" s="4">
        <f>SUMIFS(CPI_Data[Egg], CPI_Data[Sector], "Rural+Urban", CPI_Data[Date],B79)</f>
        <v>173</v>
      </c>
      <c r="G79" s="4">
        <f>SUMIFS(CPI_Data[Milk and products], CPI_Data[Sector], "Rural+Urban", CPI_Data[Date],B79)</f>
        <v>159.30000000000001</v>
      </c>
      <c r="H79" s="4">
        <f>SUMIFS(CPI_Data[Oils and fats], CPI_Data[Sector], "Rural+Urban", CPI_Data[Date],B79)</f>
        <v>190.1</v>
      </c>
      <c r="I79" s="4">
        <f>SUMIFS(CPI_Data[Fruits], CPI_Data[Sector], "Rural+Urban", CPI_Data[Date],B79)</f>
        <v>156.5</v>
      </c>
      <c r="J79" s="4">
        <f>SUMIFS(CPI_Data[Vegetables], CPI_Data[Sector], "Rural+Urban", CPI_Data[Date],B79)</f>
        <v>199.2</v>
      </c>
      <c r="K79" s="4">
        <f>SUMIFS(CPI_Data[Pulses and products], CPI_Data[Sector], "Rural+Urban", CPI_Data[Date],B79)</f>
        <v>165.3</v>
      </c>
      <c r="L79" s="4">
        <f>SUMIFS(CPI_Data[Sugar and Confectionery], CPI_Data[Sector], "Rural+Urban", CPI_Data[Date],B79)</f>
        <v>122.4</v>
      </c>
      <c r="M79" s="4">
        <f>SUMIFS(CPI_Data[Spices], CPI_Data[Sector], "Rural+Urban", CPI_Data[Date],B79)</f>
        <v>169.6</v>
      </c>
      <c r="N79" s="4">
        <f>SUMIFS(CPI_Data[Non-alcoholic beverages], CPI_Data[Sector], "Rural+Urban", CPI_Data[Date],B79)</f>
        <v>163.69999999999999</v>
      </c>
      <c r="O79" s="4">
        <f>SUMIFS(CPI_Data[Prepared meals, snacks, sweets etc.], CPI_Data[Sector], "Rural+Urban", CPI_Data[Date],B79)</f>
        <v>175.5</v>
      </c>
      <c r="P79" s="4">
        <f>SUMIFS(CPI_Data[Food and beverages], CPI_Data[Sector], "Rural+Urban", CPI_Data[Date],B79)</f>
        <v>169.7</v>
      </c>
      <c r="Q79" s="4">
        <f>SUMIFS(CPI_Data[Pan, tobacco and intoxicants], CPI_Data[Sector], "Rural+Urban", CPI_Data[Date],B79)</f>
        <v>192.9</v>
      </c>
      <c r="R79" s="4">
        <f>SUMIFS(CPI_Data[Clothing], CPI_Data[Sector], "Rural+Urban", CPI_Data[Date],B79)</f>
        <v>167.2</v>
      </c>
      <c r="S79" s="4">
        <f>SUMIFS(CPI_Data[Footwear], CPI_Data[Sector], "Rural+Urban", CPI_Data[Date],B79)</f>
        <v>157.4</v>
      </c>
      <c r="T79" s="4">
        <f>SUMIFS(CPI_Data[Clothing and footwear], CPI_Data[Sector], "Rural+Urban", CPI_Data[Date],B79)</f>
        <v>165.8</v>
      </c>
      <c r="U79" s="4">
        <f>SUMIFS(CPI_Data[Housing], CPI_Data[Sector], "Rural+Urban", CPI_Data[Date],B79)</f>
        <v>164.2</v>
      </c>
      <c r="V79" s="4">
        <f>SUMIFS(CPI_Data[Fuel and light], CPI_Data[Sector], "Rural+Urban", CPI_Data[Date],B79)</f>
        <v>163.9</v>
      </c>
      <c r="W79" s="4">
        <f>SUMIFS(CPI_Data[Household goods and services], CPI_Data[Sector], "Rural+Urban", CPI_Data[Date],B79)</f>
        <v>159.30000000000001</v>
      </c>
      <c r="X79" s="4">
        <f>SUMIFS(CPI_Data[Health], CPI_Data[Sector], "Rural+Urban", CPI_Data[Date],B79)</f>
        <v>169.9</v>
      </c>
      <c r="Y79" s="4">
        <f>SUMIFS(CPI_Data[Transport and communication], CPI_Data[Sector], "Rural+Urban", CPI_Data[Date],B79)</f>
        <v>154.80000000000001</v>
      </c>
      <c r="Z79" s="4">
        <f>SUMIFS(CPI_Data[Recreation and amusement], CPI_Data[Sector], "Rural+Urban", CPI_Data[Date],B79)</f>
        <v>159.80000000000001</v>
      </c>
      <c r="AA79" s="4">
        <f>SUMIFS(CPI_Data[Education], CPI_Data[Sector], "Rural+Urban", CPI_Data[Date],B79)</f>
        <v>164.3</v>
      </c>
      <c r="AB79" s="4">
        <f>SUMIFS(CPI_Data[Personal care and effects], CPI_Data[Sector], "Rural+Urban", CPI_Data[Date],B79)</f>
        <v>162.19999999999999</v>
      </c>
      <c r="AC79" s="4">
        <f>SUMIFS(CPI_Data[Miscellaneous], CPI_Data[Sector], "Rural+Urban", CPI_Data[Date],B79)</f>
        <v>161.4</v>
      </c>
      <c r="AD79" s="4">
        <f>SUMIFS(CPI_Data[General index], CPI_Data[Sector], "Rural+Urban", CPI_Data[Date],B79)</f>
        <v>166.7</v>
      </c>
    </row>
    <row r="80" spans="2:30" x14ac:dyDescent="0.3">
      <c r="B80" s="20">
        <v>44531</v>
      </c>
      <c r="C80" s="18">
        <v>73.298823523809531</v>
      </c>
      <c r="D80" s="4">
        <f>SUMIFS(CPI_Data[Cereals and products], CPI_Data[Sector], "Rural+Urban", CPI_Data[Date],B80)</f>
        <v>148.69999999999999</v>
      </c>
      <c r="E80" s="4">
        <f>SUMIFS(CPI_Data[Meat and fish], CPI_Data[Sector], "Rural+Urban", CPI_Data[Date],B80)</f>
        <v>198.8</v>
      </c>
      <c r="F80" s="4">
        <f>SUMIFS(CPI_Data[Egg], CPI_Data[Sector], "Rural+Urban", CPI_Data[Date],B80)</f>
        <v>177.9</v>
      </c>
      <c r="G80" s="4">
        <f>SUMIFS(CPI_Data[Milk and products], CPI_Data[Sector], "Rural+Urban", CPI_Data[Date],B80)</f>
        <v>159.9</v>
      </c>
      <c r="H80" s="4">
        <f>SUMIFS(CPI_Data[Oils and fats], CPI_Data[Sector], "Rural+Urban", CPI_Data[Date],B80)</f>
        <v>187.6</v>
      </c>
      <c r="I80" s="4">
        <f>SUMIFS(CPI_Data[Fruits], CPI_Data[Sector], "Rural+Urban", CPI_Data[Date],B80)</f>
        <v>154.9</v>
      </c>
      <c r="J80" s="4">
        <f>SUMIFS(CPI_Data[Vegetables], CPI_Data[Sector], "Rural+Urban", CPI_Data[Date],B80)</f>
        <v>188.3</v>
      </c>
      <c r="K80" s="4">
        <f>SUMIFS(CPI_Data[Pulses and products], CPI_Data[Sector], "Rural+Urban", CPI_Data[Date],B80)</f>
        <v>164.4</v>
      </c>
      <c r="L80" s="4">
        <f>SUMIFS(CPI_Data[Sugar and Confectionery], CPI_Data[Sector], "Rural+Urban", CPI_Data[Date],B80)</f>
        <v>121</v>
      </c>
      <c r="M80" s="4">
        <f>SUMIFS(CPI_Data[Spices], CPI_Data[Sector], "Rural+Urban", CPI_Data[Date],B80)</f>
        <v>170.5</v>
      </c>
      <c r="N80" s="4">
        <f>SUMIFS(CPI_Data[Non-alcoholic beverages], CPI_Data[Sector], "Rural+Urban", CPI_Data[Date],B80)</f>
        <v>164.2</v>
      </c>
      <c r="O80" s="4">
        <f>SUMIFS(CPI_Data[Prepared meals, snacks, sweets etc.], CPI_Data[Sector], "Rural+Urban", CPI_Data[Date],B80)</f>
        <v>176.5</v>
      </c>
      <c r="P80" s="4">
        <f>SUMIFS(CPI_Data[Food and beverages], CPI_Data[Sector], "Rural+Urban", CPI_Data[Date],B80)</f>
        <v>168.2</v>
      </c>
      <c r="Q80" s="4">
        <f>SUMIFS(CPI_Data[Pan, tobacco and intoxicants], CPI_Data[Sector], "Rural+Urban", CPI_Data[Date],B80)</f>
        <v>192.4</v>
      </c>
      <c r="R80" s="4">
        <f>SUMIFS(CPI_Data[Clothing], CPI_Data[Sector], "Rural+Urban", CPI_Data[Date],B80)</f>
        <v>168.5</v>
      </c>
      <c r="S80" s="4">
        <f>SUMIFS(CPI_Data[Footwear], CPI_Data[Sector], "Rural+Urban", CPI_Data[Date],B80)</f>
        <v>158.69999999999999</v>
      </c>
      <c r="T80" s="4">
        <f>SUMIFS(CPI_Data[Clothing and footwear], CPI_Data[Sector], "Rural+Urban", CPI_Data[Date],B80)</f>
        <v>167</v>
      </c>
      <c r="U80" s="4">
        <f>SUMIFS(CPI_Data[Housing], CPI_Data[Sector], "Rural+Urban", CPI_Data[Date],B80)</f>
        <v>163.4</v>
      </c>
      <c r="V80" s="4">
        <f>SUMIFS(CPI_Data[Fuel and light], CPI_Data[Sector], "Rural+Urban", CPI_Data[Date],B80)</f>
        <v>164.1</v>
      </c>
      <c r="W80" s="4">
        <f>SUMIFS(CPI_Data[Household goods and services], CPI_Data[Sector], "Rural+Urban", CPI_Data[Date],B80)</f>
        <v>160.19999999999999</v>
      </c>
      <c r="X80" s="4">
        <f>SUMIFS(CPI_Data[Health], CPI_Data[Sector], "Rural+Urban", CPI_Data[Date],B80)</f>
        <v>170.6</v>
      </c>
      <c r="Y80" s="4">
        <f>SUMIFS(CPI_Data[Transport and communication], CPI_Data[Sector], "Rural+Urban", CPI_Data[Date],B80)</f>
        <v>155.69999999999999</v>
      </c>
      <c r="Z80" s="4">
        <f>SUMIFS(CPI_Data[Recreation and amusement], CPI_Data[Sector], "Rural+Urban", CPI_Data[Date],B80)</f>
        <v>160.6</v>
      </c>
      <c r="AA80" s="4">
        <f>SUMIFS(CPI_Data[Education], CPI_Data[Sector], "Rural+Urban", CPI_Data[Date],B80)</f>
        <v>164.4</v>
      </c>
      <c r="AB80" s="4">
        <f>SUMIFS(CPI_Data[Personal care and effects], CPI_Data[Sector], "Rural+Urban", CPI_Data[Date],B80)</f>
        <v>162.6</v>
      </c>
      <c r="AC80" s="4">
        <f>SUMIFS(CPI_Data[Miscellaneous], CPI_Data[Sector], "Rural+Urban", CPI_Data[Date],B80)</f>
        <v>162</v>
      </c>
      <c r="AD80" s="4">
        <f>SUMIFS(CPI_Data[General index], CPI_Data[Sector], "Rural+Urban", CPI_Data[Date],B80)</f>
        <v>166.2</v>
      </c>
    </row>
    <row r="81" spans="2:30" x14ac:dyDescent="0.3">
      <c r="B81" s="20">
        <v>44562</v>
      </c>
      <c r="C81" s="18">
        <v>84.666318799999985</v>
      </c>
      <c r="D81" s="4">
        <f>SUMIFS(CPI_Data[Cereals and products], CPI_Data[Sector], "Rural+Urban", CPI_Data[Date],B81)</f>
        <v>149.5</v>
      </c>
      <c r="E81" s="4">
        <f>SUMIFS(CPI_Data[Meat and fish], CPI_Data[Sector], "Rural+Urban", CPI_Data[Date],B81)</f>
        <v>198.7</v>
      </c>
      <c r="F81" s="4">
        <f>SUMIFS(CPI_Data[Egg], CPI_Data[Sector], "Rural+Urban", CPI_Data[Date],B81)</f>
        <v>178.8</v>
      </c>
      <c r="G81" s="4">
        <f>SUMIFS(CPI_Data[Milk and products], CPI_Data[Sector], "Rural+Urban", CPI_Data[Date],B81)</f>
        <v>160.5</v>
      </c>
      <c r="H81" s="4">
        <f>SUMIFS(CPI_Data[Oils and fats], CPI_Data[Sector], "Rural+Urban", CPI_Data[Date],B81)</f>
        <v>184.7</v>
      </c>
      <c r="I81" s="4">
        <f>SUMIFS(CPI_Data[Fruits], CPI_Data[Sector], "Rural+Urban", CPI_Data[Date],B81)</f>
        <v>153.69999999999999</v>
      </c>
      <c r="J81" s="4">
        <f>SUMIFS(CPI_Data[Vegetables], CPI_Data[Sector], "Rural+Urban", CPI_Data[Date],B81)</f>
        <v>174.3</v>
      </c>
      <c r="K81" s="4">
        <f>SUMIFS(CPI_Data[Pulses and products], CPI_Data[Sector], "Rural+Urban", CPI_Data[Date],B81)</f>
        <v>163.9</v>
      </c>
      <c r="L81" s="4">
        <f>SUMIFS(CPI_Data[Sugar and Confectionery], CPI_Data[Sector], "Rural+Urban", CPI_Data[Date],B81)</f>
        <v>120</v>
      </c>
      <c r="M81" s="4">
        <f>SUMIFS(CPI_Data[Spices], CPI_Data[Sector], "Rural+Urban", CPI_Data[Date],B81)</f>
        <v>172.1</v>
      </c>
      <c r="N81" s="4">
        <f>SUMIFS(CPI_Data[Non-alcoholic beverages], CPI_Data[Sector], "Rural+Urban", CPI_Data[Date],B81)</f>
        <v>164.3</v>
      </c>
      <c r="O81" s="4">
        <f>SUMIFS(CPI_Data[Prepared meals, snacks, sweets etc.], CPI_Data[Sector], "Rural+Urban", CPI_Data[Date],B81)</f>
        <v>177.3</v>
      </c>
      <c r="P81" s="4">
        <f>SUMIFS(CPI_Data[Food and beverages], CPI_Data[Sector], "Rural+Urban", CPI_Data[Date],B81)</f>
        <v>166.4</v>
      </c>
      <c r="Q81" s="4">
        <f>SUMIFS(CPI_Data[Pan, tobacco and intoxicants], CPI_Data[Sector], "Rural+Urban", CPI_Data[Date],B81)</f>
        <v>192.2</v>
      </c>
      <c r="R81" s="4">
        <f>SUMIFS(CPI_Data[Clothing], CPI_Data[Sector], "Rural+Urban", CPI_Data[Date],B81)</f>
        <v>169.9</v>
      </c>
      <c r="S81" s="4">
        <f>SUMIFS(CPI_Data[Footwear], CPI_Data[Sector], "Rural+Urban", CPI_Data[Date],B81)</f>
        <v>160.69999999999999</v>
      </c>
      <c r="T81" s="4">
        <f>SUMIFS(CPI_Data[Clothing and footwear], CPI_Data[Sector], "Rural+Urban", CPI_Data[Date],B81)</f>
        <v>168.5</v>
      </c>
      <c r="U81" s="4">
        <f>SUMIFS(CPI_Data[Housing], CPI_Data[Sector], "Rural+Urban", CPI_Data[Date],B81)</f>
        <v>164.5</v>
      </c>
      <c r="V81" s="4">
        <f>SUMIFS(CPI_Data[Fuel and light], CPI_Data[Sector], "Rural+Urban", CPI_Data[Date],B81)</f>
        <v>164.2</v>
      </c>
      <c r="W81" s="4">
        <f>SUMIFS(CPI_Data[Household goods and services], CPI_Data[Sector], "Rural+Urban", CPI_Data[Date],B81)</f>
        <v>161.1</v>
      </c>
      <c r="X81" s="4">
        <f>SUMIFS(CPI_Data[Health], CPI_Data[Sector], "Rural+Urban", CPI_Data[Date],B81)</f>
        <v>171.4</v>
      </c>
      <c r="Y81" s="4">
        <f>SUMIFS(CPI_Data[Transport and communication], CPI_Data[Sector], "Rural+Urban", CPI_Data[Date],B81)</f>
        <v>156.5</v>
      </c>
      <c r="Z81" s="4">
        <f>SUMIFS(CPI_Data[Recreation and amusement], CPI_Data[Sector], "Rural+Urban", CPI_Data[Date],B81)</f>
        <v>161.19999999999999</v>
      </c>
      <c r="AA81" s="4">
        <f>SUMIFS(CPI_Data[Education], CPI_Data[Sector], "Rural+Urban", CPI_Data[Date],B81)</f>
        <v>164.7</v>
      </c>
      <c r="AB81" s="4">
        <f>SUMIFS(CPI_Data[Personal care and effects], CPI_Data[Sector], "Rural+Urban", CPI_Data[Date],B81)</f>
        <v>163</v>
      </c>
      <c r="AC81" s="4">
        <f>SUMIFS(CPI_Data[Miscellaneous], CPI_Data[Sector], "Rural+Urban", CPI_Data[Date],B81)</f>
        <v>162.69999999999999</v>
      </c>
      <c r="AD81" s="4">
        <f>SUMIFS(CPI_Data[General index], CPI_Data[Sector], "Rural+Urban", CPI_Data[Date],B81)</f>
        <v>165.7</v>
      </c>
    </row>
    <row r="82" spans="2:30" x14ac:dyDescent="0.3">
      <c r="B82" s="20">
        <v>44593</v>
      </c>
      <c r="C82" s="18">
        <v>94.067715194444446</v>
      </c>
      <c r="D82" s="4">
        <f>SUMIFS(CPI_Data[Cereals and products], CPI_Data[Sector], "Rural+Urban", CPI_Data[Date],B82)</f>
        <v>150</v>
      </c>
      <c r="E82" s="4">
        <f>SUMIFS(CPI_Data[Meat and fish], CPI_Data[Sector], "Rural+Urban", CPI_Data[Date],B82)</f>
        <v>200.6</v>
      </c>
      <c r="F82" s="4">
        <f>SUMIFS(CPI_Data[Egg], CPI_Data[Sector], "Rural+Urban", CPI_Data[Date],B82)</f>
        <v>175.8</v>
      </c>
      <c r="G82" s="4">
        <f>SUMIFS(CPI_Data[Milk and products], CPI_Data[Sector], "Rural+Urban", CPI_Data[Date],B82)</f>
        <v>160.69999999999999</v>
      </c>
      <c r="H82" s="4">
        <f>SUMIFS(CPI_Data[Oils and fats], CPI_Data[Sector], "Rural+Urban", CPI_Data[Date],B82)</f>
        <v>184.9</v>
      </c>
      <c r="I82" s="4">
        <f>SUMIFS(CPI_Data[Fruits], CPI_Data[Sector], "Rural+Urban", CPI_Data[Date],B82)</f>
        <v>153.69999999999999</v>
      </c>
      <c r="J82" s="4">
        <f>SUMIFS(CPI_Data[Vegetables], CPI_Data[Sector], "Rural+Urban", CPI_Data[Date],B82)</f>
        <v>169.7</v>
      </c>
      <c r="K82" s="4">
        <f>SUMIFS(CPI_Data[Pulses and products], CPI_Data[Sector], "Rural+Urban", CPI_Data[Date],B82)</f>
        <v>163.69999999999999</v>
      </c>
      <c r="L82" s="4">
        <f>SUMIFS(CPI_Data[Sugar and Confectionery], CPI_Data[Sector], "Rural+Urban", CPI_Data[Date],B82)</f>
        <v>118.9</v>
      </c>
      <c r="M82" s="4">
        <f>SUMIFS(CPI_Data[Spices], CPI_Data[Sector], "Rural+Urban", CPI_Data[Date],B82)</f>
        <v>174.3</v>
      </c>
      <c r="N82" s="4">
        <f>SUMIFS(CPI_Data[Non-alcoholic beverages], CPI_Data[Sector], "Rural+Urban", CPI_Data[Date],B82)</f>
        <v>164.7</v>
      </c>
      <c r="O82" s="4">
        <f>SUMIFS(CPI_Data[Prepared meals, snacks, sweets etc.], CPI_Data[Sector], "Rural+Urban", CPI_Data[Date],B82)</f>
        <v>178</v>
      </c>
      <c r="P82" s="4">
        <f>SUMIFS(CPI_Data[Food and beverages], CPI_Data[Sector], "Rural+Urban", CPI_Data[Date],B82)</f>
        <v>166.2</v>
      </c>
      <c r="Q82" s="4">
        <f>SUMIFS(CPI_Data[Pan, tobacco and intoxicants], CPI_Data[Sector], "Rural+Urban", CPI_Data[Date],B82)</f>
        <v>192.8</v>
      </c>
      <c r="R82" s="4">
        <f>SUMIFS(CPI_Data[Clothing], CPI_Data[Sector], "Rural+Urban", CPI_Data[Date],B82)</f>
        <v>170.8</v>
      </c>
      <c r="S82" s="4">
        <f>SUMIFS(CPI_Data[Footwear], CPI_Data[Sector], "Rural+Urban", CPI_Data[Date],B82)</f>
        <v>162.4</v>
      </c>
      <c r="T82" s="4">
        <f>SUMIFS(CPI_Data[Clothing and footwear], CPI_Data[Sector], "Rural+Urban", CPI_Data[Date],B82)</f>
        <v>169.6</v>
      </c>
      <c r="U82" s="4">
        <f>SUMIFS(CPI_Data[Housing], CPI_Data[Sector], "Rural+Urban", CPI_Data[Date],B82)</f>
        <v>165.5</v>
      </c>
      <c r="V82" s="4">
        <f>SUMIFS(CPI_Data[Fuel and light], CPI_Data[Sector], "Rural+Urban", CPI_Data[Date],B82)</f>
        <v>165.7</v>
      </c>
      <c r="W82" s="4">
        <f>SUMIFS(CPI_Data[Household goods and services], CPI_Data[Sector], "Rural+Urban", CPI_Data[Date],B82)</f>
        <v>161.80000000000001</v>
      </c>
      <c r="X82" s="4">
        <f>SUMIFS(CPI_Data[Health], CPI_Data[Sector], "Rural+Urban", CPI_Data[Date],B82)</f>
        <v>172.2</v>
      </c>
      <c r="Y82" s="4">
        <f>SUMIFS(CPI_Data[Transport and communication], CPI_Data[Sector], "Rural+Urban", CPI_Data[Date],B82)</f>
        <v>156.9</v>
      </c>
      <c r="Z82" s="4">
        <f>SUMIFS(CPI_Data[Recreation and amusement], CPI_Data[Sector], "Rural+Urban", CPI_Data[Date],B82)</f>
        <v>162.1</v>
      </c>
      <c r="AA82" s="4">
        <f>SUMIFS(CPI_Data[Education], CPI_Data[Sector], "Rural+Urban", CPI_Data[Date],B82)</f>
        <v>165.4</v>
      </c>
      <c r="AB82" s="4">
        <f>SUMIFS(CPI_Data[Personal care and effects], CPI_Data[Sector], "Rural+Urban", CPI_Data[Date],B82)</f>
        <v>164.4</v>
      </c>
      <c r="AC82" s="4">
        <f>SUMIFS(CPI_Data[Miscellaneous], CPI_Data[Sector], "Rural+Urban", CPI_Data[Date],B82)</f>
        <v>163.5</v>
      </c>
      <c r="AD82" s="4">
        <f>SUMIFS(CPI_Data[General index], CPI_Data[Sector], "Rural+Urban", CPI_Data[Date],B82)</f>
        <v>166.1</v>
      </c>
    </row>
    <row r="83" spans="2:30" x14ac:dyDescent="0.3">
      <c r="B83" s="20">
        <v>44621</v>
      </c>
      <c r="C83" s="19">
        <v>112.87479254347826</v>
      </c>
      <c r="D83" s="4">
        <f>SUMIFS(CPI_Data[Cereals and products], CPI_Data[Sector], "Rural+Urban", CPI_Data[Date],B83)</f>
        <v>151.30000000000001</v>
      </c>
      <c r="E83" s="4">
        <f>SUMIFS(CPI_Data[Meat and fish], CPI_Data[Sector], "Rural+Urban", CPI_Data[Date],B83)</f>
        <v>210.7</v>
      </c>
      <c r="F83" s="4">
        <f>SUMIFS(CPI_Data[Egg], CPI_Data[Sector], "Rural+Urban", CPI_Data[Date],B83)</f>
        <v>167.8</v>
      </c>
      <c r="G83" s="4">
        <f>SUMIFS(CPI_Data[Milk and products], CPI_Data[Sector], "Rural+Urban", CPI_Data[Date],B83)</f>
        <v>162.19999999999999</v>
      </c>
      <c r="H83" s="4">
        <f>SUMIFS(CPI_Data[Oils and fats], CPI_Data[Sector], "Rural+Urban", CPI_Data[Date],B83)</f>
        <v>194.6</v>
      </c>
      <c r="I83" s="4">
        <f>SUMIFS(CPI_Data[Fruits], CPI_Data[Sector], "Rural+Urban", CPI_Data[Date],B83)</f>
        <v>157.6</v>
      </c>
      <c r="J83" s="4">
        <f>SUMIFS(CPI_Data[Vegetables], CPI_Data[Sector], "Rural+Urban", CPI_Data[Date],B83)</f>
        <v>166.9</v>
      </c>
      <c r="K83" s="4">
        <f>SUMIFS(CPI_Data[Pulses and products], CPI_Data[Sector], "Rural+Urban", CPI_Data[Date],B83)</f>
        <v>163.9</v>
      </c>
      <c r="L83" s="4">
        <f>SUMIFS(CPI_Data[Sugar and Confectionery], CPI_Data[Sector], "Rural+Urban", CPI_Data[Date],B83)</f>
        <v>118.8</v>
      </c>
      <c r="M83" s="4">
        <f>SUMIFS(CPI_Data[Spices], CPI_Data[Sector], "Rural+Urban", CPI_Data[Date],B83)</f>
        <v>177.4</v>
      </c>
      <c r="N83" s="4">
        <f>SUMIFS(CPI_Data[Non-alcoholic beverages], CPI_Data[Sector], "Rural+Urban", CPI_Data[Date],B83)</f>
        <v>165.3</v>
      </c>
      <c r="O83" s="4">
        <f>SUMIFS(CPI_Data[Prepared meals, snacks, sweets etc.], CPI_Data[Sector], "Rural+Urban", CPI_Data[Date],B83)</f>
        <v>179.3</v>
      </c>
      <c r="P83" s="4">
        <f>SUMIFS(CPI_Data[Food and beverages], CPI_Data[Sector], "Rural+Urban", CPI_Data[Date],B83)</f>
        <v>168.4</v>
      </c>
      <c r="Q83" s="4">
        <f>SUMIFS(CPI_Data[Pan, tobacco and intoxicants], CPI_Data[Sector], "Rural+Urban", CPI_Data[Date],B83)</f>
        <v>193.7</v>
      </c>
      <c r="R83" s="4">
        <f>SUMIFS(CPI_Data[Clothing], CPI_Data[Sector], "Rural+Urban", CPI_Data[Date],B83)</f>
        <v>172.1</v>
      </c>
      <c r="S83" s="4">
        <f>SUMIFS(CPI_Data[Footwear], CPI_Data[Sector], "Rural+Urban", CPI_Data[Date],B83)</f>
        <v>164.6</v>
      </c>
      <c r="T83" s="4">
        <f>SUMIFS(CPI_Data[Clothing and footwear], CPI_Data[Sector], "Rural+Urban", CPI_Data[Date],B83)</f>
        <v>171.1</v>
      </c>
      <c r="U83" s="4">
        <f>SUMIFS(CPI_Data[Housing], CPI_Data[Sector], "Rural+Urban", CPI_Data[Date],B83)</f>
        <v>165.3</v>
      </c>
      <c r="V83" s="4">
        <f>SUMIFS(CPI_Data[Fuel and light], CPI_Data[Sector], "Rural+Urban", CPI_Data[Date],B83)</f>
        <v>167.2</v>
      </c>
      <c r="W83" s="4">
        <f>SUMIFS(CPI_Data[Household goods and services], CPI_Data[Sector], "Rural+Urban", CPI_Data[Date],B83)</f>
        <v>162.80000000000001</v>
      </c>
      <c r="X83" s="4">
        <f>SUMIFS(CPI_Data[Health], CPI_Data[Sector], "Rural+Urban", CPI_Data[Date],B83)</f>
        <v>173</v>
      </c>
      <c r="Y83" s="4">
        <f>SUMIFS(CPI_Data[Transport and communication], CPI_Data[Sector], "Rural+Urban", CPI_Data[Date],B83)</f>
        <v>157.9</v>
      </c>
      <c r="Z83" s="4">
        <f>SUMIFS(CPI_Data[Recreation and amusement], CPI_Data[Sector], "Rural+Urban", CPI_Data[Date],B83)</f>
        <v>163.30000000000001</v>
      </c>
      <c r="AA83" s="4">
        <f>SUMIFS(CPI_Data[Education], CPI_Data[Sector], "Rural+Urban", CPI_Data[Date],B83)</f>
        <v>166</v>
      </c>
      <c r="AB83" s="4">
        <f>SUMIFS(CPI_Data[Personal care and effects], CPI_Data[Sector], "Rural+Urban", CPI_Data[Date],B83)</f>
        <v>167.2</v>
      </c>
      <c r="AC83" s="4">
        <f>SUMIFS(CPI_Data[Miscellaneous], CPI_Data[Sector], "Rural+Urban", CPI_Data[Date],B83)</f>
        <v>164.6</v>
      </c>
      <c r="AD83" s="4">
        <f>SUMIFS(CPI_Data[General index], CPI_Data[Sector], "Rural+Urban", CPI_Data[Date],B83)</f>
        <v>167.7</v>
      </c>
    </row>
    <row r="84" spans="2:30" x14ac:dyDescent="0.3">
      <c r="B84" s="20">
        <v>44652</v>
      </c>
      <c r="C84" s="18">
        <v>102.96599786842103</v>
      </c>
      <c r="D84" s="4">
        <f>SUMIFS(CPI_Data[Cereals and products], CPI_Data[Sector], "Rural+Urban", CPI_Data[Date],B84)</f>
        <v>152.9</v>
      </c>
      <c r="E84" s="4">
        <f>SUMIFS(CPI_Data[Meat and fish], CPI_Data[Sector], "Rural+Urban", CPI_Data[Date],B84)</f>
        <v>211.8</v>
      </c>
      <c r="F84" s="4">
        <f>SUMIFS(CPI_Data[Egg], CPI_Data[Sector], "Rural+Urban", CPI_Data[Date],B84)</f>
        <v>164.5</v>
      </c>
      <c r="G84" s="4">
        <f>SUMIFS(CPI_Data[Milk and products], CPI_Data[Sector], "Rural+Urban", CPI_Data[Date],B84)</f>
        <v>163.9</v>
      </c>
      <c r="H84" s="4">
        <f>SUMIFS(CPI_Data[Oils and fats], CPI_Data[Sector], "Rural+Urban", CPI_Data[Date],B84)</f>
        <v>199.5</v>
      </c>
      <c r="I84" s="4">
        <f>SUMIFS(CPI_Data[Fruits], CPI_Data[Sector], "Rural+Urban", CPI_Data[Date],B84)</f>
        <v>172.6</v>
      </c>
      <c r="J84" s="4">
        <f>SUMIFS(CPI_Data[Vegetables], CPI_Data[Sector], "Rural+Urban", CPI_Data[Date],B84)</f>
        <v>166.2</v>
      </c>
      <c r="K84" s="4">
        <f>SUMIFS(CPI_Data[Pulses and products], CPI_Data[Sector], "Rural+Urban", CPI_Data[Date],B84)</f>
        <v>164.7</v>
      </c>
      <c r="L84" s="4">
        <f>SUMIFS(CPI_Data[Sugar and Confectionery], CPI_Data[Sector], "Rural+Urban", CPI_Data[Date],B84)</f>
        <v>119</v>
      </c>
      <c r="M84" s="4">
        <f>SUMIFS(CPI_Data[Spices], CPI_Data[Sector], "Rural+Urban", CPI_Data[Date],B84)</f>
        <v>181.3</v>
      </c>
      <c r="N84" s="4">
        <f>SUMIFS(CPI_Data[Non-alcoholic beverages], CPI_Data[Sector], "Rural+Urban", CPI_Data[Date],B84)</f>
        <v>166.2</v>
      </c>
      <c r="O84" s="4">
        <f>SUMIFS(CPI_Data[Prepared meals, snacks, sweets etc.], CPI_Data[Sector], "Rural+Urban", CPI_Data[Date],B84)</f>
        <v>180.9</v>
      </c>
      <c r="P84" s="4">
        <f>SUMIFS(CPI_Data[Food and beverages], CPI_Data[Sector], "Rural+Urban", CPI_Data[Date],B84)</f>
        <v>170.8</v>
      </c>
      <c r="Q84" s="4">
        <f>SUMIFS(CPI_Data[Pan, tobacco and intoxicants], CPI_Data[Sector], "Rural+Urban", CPI_Data[Date],B84)</f>
        <v>193.9</v>
      </c>
      <c r="R84" s="4">
        <f>SUMIFS(CPI_Data[Clothing], CPI_Data[Sector], "Rural+Urban", CPI_Data[Date],B84)</f>
        <v>173.9</v>
      </c>
      <c r="S84" s="4">
        <f>SUMIFS(CPI_Data[Footwear], CPI_Data[Sector], "Rural+Urban", CPI_Data[Date],B84)</f>
        <v>166.5</v>
      </c>
      <c r="T84" s="4">
        <f>SUMIFS(CPI_Data[Clothing and footwear], CPI_Data[Sector], "Rural+Urban", CPI_Data[Date],B84)</f>
        <v>172.8</v>
      </c>
      <c r="U84" s="4">
        <f>SUMIFS(CPI_Data[Housing], CPI_Data[Sector], "Rural+Urban", CPI_Data[Date],B84)</f>
        <v>167</v>
      </c>
      <c r="V84" s="4">
        <f>SUMIFS(CPI_Data[Fuel and light], CPI_Data[Sector], "Rural+Urban", CPI_Data[Date],B84)</f>
        <v>172.2</v>
      </c>
      <c r="W84" s="4">
        <f>SUMIFS(CPI_Data[Household goods and services], CPI_Data[Sector], "Rural+Urban", CPI_Data[Date],B84)</f>
        <v>164</v>
      </c>
      <c r="X84" s="4">
        <f>SUMIFS(CPI_Data[Health], CPI_Data[Sector], "Rural+Urban", CPI_Data[Date],B84)</f>
        <v>174</v>
      </c>
      <c r="Y84" s="4">
        <f>SUMIFS(CPI_Data[Transport and communication], CPI_Data[Sector], "Rural+Urban", CPI_Data[Date],B84)</f>
        <v>162.6</v>
      </c>
      <c r="Z84" s="4">
        <f>SUMIFS(CPI_Data[Recreation and amusement], CPI_Data[Sector], "Rural+Urban", CPI_Data[Date],B84)</f>
        <v>164.4</v>
      </c>
      <c r="AA84" s="4">
        <f>SUMIFS(CPI_Data[Education], CPI_Data[Sector], "Rural+Urban", CPI_Data[Date],B84)</f>
        <v>166.9</v>
      </c>
      <c r="AB84" s="4">
        <f>SUMIFS(CPI_Data[Personal care and effects], CPI_Data[Sector], "Rural+Urban", CPI_Data[Date],B84)</f>
        <v>168.8</v>
      </c>
      <c r="AC84" s="4">
        <f>SUMIFS(CPI_Data[Miscellaneous], CPI_Data[Sector], "Rural+Urban", CPI_Data[Date],B84)</f>
        <v>166.8</v>
      </c>
      <c r="AD84" s="4">
        <f>SUMIFS(CPI_Data[General index], CPI_Data[Sector], "Rural+Urban", CPI_Data[Date],B84)</f>
        <v>170.1</v>
      </c>
    </row>
    <row r="85" spans="2:30" x14ac:dyDescent="0.3">
      <c r="B85" s="20">
        <v>44682</v>
      </c>
      <c r="C85" s="18">
        <v>109.50503773684208</v>
      </c>
      <c r="D85" s="4">
        <f>SUMIFS(CPI_Data[Cereals and products], CPI_Data[Sector], "Rural+Urban", CPI_Data[Date],B85)</f>
        <v>154.1</v>
      </c>
      <c r="E85" s="4">
        <f>SUMIFS(CPI_Data[Meat and fish], CPI_Data[Sector], "Rural+Urban", CPI_Data[Date],B85)</f>
        <v>217</v>
      </c>
      <c r="F85" s="4">
        <f>SUMIFS(CPI_Data[Egg], CPI_Data[Sector], "Rural+Urban", CPI_Data[Date],B85)</f>
        <v>162.4</v>
      </c>
      <c r="G85" s="4">
        <f>SUMIFS(CPI_Data[Milk and products], CPI_Data[Sector], "Rural+Urban", CPI_Data[Date],B85)</f>
        <v>164.9</v>
      </c>
      <c r="H85" s="4">
        <f>SUMIFS(CPI_Data[Oils and fats], CPI_Data[Sector], "Rural+Urban", CPI_Data[Date],B85)</f>
        <v>202.4</v>
      </c>
      <c r="I85" s="4">
        <f>SUMIFS(CPI_Data[Fruits], CPI_Data[Sector], "Rural+Urban", CPI_Data[Date],B85)</f>
        <v>171</v>
      </c>
      <c r="J85" s="4">
        <f>SUMIFS(CPI_Data[Vegetables], CPI_Data[Sector], "Rural+Urban", CPI_Data[Date],B85)</f>
        <v>174.9</v>
      </c>
      <c r="K85" s="4">
        <f>SUMIFS(CPI_Data[Pulses and products], CPI_Data[Sector], "Rural+Urban", CPI_Data[Date],B85)</f>
        <v>164.7</v>
      </c>
      <c r="L85" s="4">
        <f>SUMIFS(CPI_Data[Sugar and Confectionery], CPI_Data[Sector], "Rural+Urban", CPI_Data[Date],B85)</f>
        <v>119.7</v>
      </c>
      <c r="M85" s="4">
        <f>SUMIFS(CPI_Data[Spices], CPI_Data[Sector], "Rural+Urban", CPI_Data[Date],B85)</f>
        <v>184.9</v>
      </c>
      <c r="N85" s="4">
        <f>SUMIFS(CPI_Data[Non-alcoholic beverages], CPI_Data[Sector], "Rural+Urban", CPI_Data[Date],B85)</f>
        <v>167.1</v>
      </c>
      <c r="O85" s="4">
        <f>SUMIFS(CPI_Data[Prepared meals, snacks, sweets etc.], CPI_Data[Sector], "Rural+Urban", CPI_Data[Date],B85)</f>
        <v>182.5</v>
      </c>
      <c r="P85" s="4">
        <f>SUMIFS(CPI_Data[Food and beverages], CPI_Data[Sector], "Rural+Urban", CPI_Data[Date],B85)</f>
        <v>173.3</v>
      </c>
      <c r="Q85" s="4">
        <f>SUMIFS(CPI_Data[Pan, tobacco and intoxicants], CPI_Data[Sector], "Rural+Urban", CPI_Data[Date],B85)</f>
        <v>194.1</v>
      </c>
      <c r="R85" s="4">
        <f>SUMIFS(CPI_Data[Clothing], CPI_Data[Sector], "Rural+Urban", CPI_Data[Date],B85)</f>
        <v>175.6</v>
      </c>
      <c r="S85" s="4">
        <f>SUMIFS(CPI_Data[Footwear], CPI_Data[Sector], "Rural+Urban", CPI_Data[Date],B85)</f>
        <v>168.4</v>
      </c>
      <c r="T85" s="4">
        <f>SUMIFS(CPI_Data[Clothing and footwear], CPI_Data[Sector], "Rural+Urban", CPI_Data[Date],B85)</f>
        <v>174.6</v>
      </c>
      <c r="U85" s="4">
        <f>SUMIFS(CPI_Data[Housing], CPI_Data[Sector], "Rural+Urban", CPI_Data[Date],B85)</f>
        <v>167.5</v>
      </c>
      <c r="V85" s="4">
        <f>SUMIFS(CPI_Data[Fuel and light], CPI_Data[Sector], "Rural+Urban", CPI_Data[Date],B85)</f>
        <v>174.6</v>
      </c>
      <c r="W85" s="4">
        <f>SUMIFS(CPI_Data[Household goods and services], CPI_Data[Sector], "Rural+Urban", CPI_Data[Date],B85)</f>
        <v>165.2</v>
      </c>
      <c r="X85" s="4">
        <f>SUMIFS(CPI_Data[Health], CPI_Data[Sector], "Rural+Urban", CPI_Data[Date],B85)</f>
        <v>174.8</v>
      </c>
      <c r="Y85" s="4">
        <f>SUMIFS(CPI_Data[Transport and communication], CPI_Data[Sector], "Rural+Urban", CPI_Data[Date],B85)</f>
        <v>163</v>
      </c>
      <c r="Z85" s="4">
        <f>SUMIFS(CPI_Data[Recreation and amusement], CPI_Data[Sector], "Rural+Urban", CPI_Data[Date],B85)</f>
        <v>165.1</v>
      </c>
      <c r="AA85" s="4">
        <f>SUMIFS(CPI_Data[Education], CPI_Data[Sector], "Rural+Urban", CPI_Data[Date],B85)</f>
        <v>167.9</v>
      </c>
      <c r="AB85" s="4">
        <f>SUMIFS(CPI_Data[Personal care and effects], CPI_Data[Sector], "Rural+Urban", CPI_Data[Date],B85)</f>
        <v>168.4</v>
      </c>
      <c r="AC85" s="4">
        <f>SUMIFS(CPI_Data[Miscellaneous], CPI_Data[Sector], "Rural+Urban", CPI_Data[Date],B85)</f>
        <v>167.5</v>
      </c>
      <c r="AD85" s="4">
        <f>SUMIFS(CPI_Data[General index], CPI_Data[Sector], "Rural+Urban", CPI_Data[Date],B85)</f>
        <v>171.7</v>
      </c>
    </row>
    <row r="86" spans="2:30" x14ac:dyDescent="0.3">
      <c r="B86" s="20">
        <v>44713</v>
      </c>
      <c r="C86" s="18">
        <v>116.01138504999999</v>
      </c>
      <c r="D86" s="4">
        <f>SUMIFS(CPI_Data[Cereals and products], CPI_Data[Sector], "Rural+Urban", CPI_Data[Date],B86)</f>
        <v>155</v>
      </c>
      <c r="E86" s="4">
        <f>SUMIFS(CPI_Data[Meat and fish], CPI_Data[Sector], "Rural+Urban", CPI_Data[Date],B86)</f>
        <v>219.4</v>
      </c>
      <c r="F86" s="4">
        <f>SUMIFS(CPI_Data[Egg], CPI_Data[Sector], "Rural+Urban", CPI_Data[Date],B86)</f>
        <v>170.8</v>
      </c>
      <c r="G86" s="4">
        <f>SUMIFS(CPI_Data[Milk and products], CPI_Data[Sector], "Rural+Urban", CPI_Data[Date],B86)</f>
        <v>165.8</v>
      </c>
      <c r="H86" s="4">
        <f>SUMIFS(CPI_Data[Oils and fats], CPI_Data[Sector], "Rural+Urban", CPI_Data[Date],B86)</f>
        <v>200.9</v>
      </c>
      <c r="I86" s="4">
        <f>SUMIFS(CPI_Data[Fruits], CPI_Data[Sector], "Rural+Urban", CPI_Data[Date],B86)</f>
        <v>169.7</v>
      </c>
      <c r="J86" s="4">
        <f>SUMIFS(CPI_Data[Vegetables], CPI_Data[Sector], "Rural+Urban", CPI_Data[Date],B86)</f>
        <v>182.3</v>
      </c>
      <c r="K86" s="4">
        <f>SUMIFS(CPI_Data[Pulses and products], CPI_Data[Sector], "Rural+Urban", CPI_Data[Date],B86)</f>
        <v>164.3</v>
      </c>
      <c r="L86" s="4">
        <f>SUMIFS(CPI_Data[Sugar and Confectionery], CPI_Data[Sector], "Rural+Urban", CPI_Data[Date],B86)</f>
        <v>119.9</v>
      </c>
      <c r="M86" s="4">
        <f>SUMIFS(CPI_Data[Spices], CPI_Data[Sector], "Rural+Urban", CPI_Data[Date],B86)</f>
        <v>187.1</v>
      </c>
      <c r="N86" s="4">
        <f>SUMIFS(CPI_Data[Non-alcoholic beverages], CPI_Data[Sector], "Rural+Urban", CPI_Data[Date],B86)</f>
        <v>167.9</v>
      </c>
      <c r="O86" s="4">
        <f>SUMIFS(CPI_Data[Prepared meals, snacks, sweets etc.], CPI_Data[Sector], "Rural+Urban", CPI_Data[Date],B86)</f>
        <v>183.9</v>
      </c>
      <c r="P86" s="4">
        <f>SUMIFS(CPI_Data[Food and beverages], CPI_Data[Sector], "Rural+Urban", CPI_Data[Date],B86)</f>
        <v>174.9</v>
      </c>
      <c r="Q86" s="4">
        <f>SUMIFS(CPI_Data[Pan, tobacco and intoxicants], CPI_Data[Sector], "Rural+Urban", CPI_Data[Date],B86)</f>
        <v>194.3</v>
      </c>
      <c r="R86" s="4">
        <f>SUMIFS(CPI_Data[Clothing], CPI_Data[Sector], "Rural+Urban", CPI_Data[Date],B86)</f>
        <v>177.1</v>
      </c>
      <c r="S86" s="4">
        <f>SUMIFS(CPI_Data[Footwear], CPI_Data[Sector], "Rural+Urban", CPI_Data[Date],B86)</f>
        <v>169.9</v>
      </c>
      <c r="T86" s="4">
        <f>SUMIFS(CPI_Data[Clothing and footwear], CPI_Data[Sector], "Rural+Urban", CPI_Data[Date],B86)</f>
        <v>176</v>
      </c>
      <c r="U86" s="4">
        <f>SUMIFS(CPI_Data[Housing], CPI_Data[Sector], "Rural+Urban", CPI_Data[Date],B86)</f>
        <v>166.8</v>
      </c>
      <c r="V86" s="4">
        <f>SUMIFS(CPI_Data[Fuel and light], CPI_Data[Sector], "Rural+Urban", CPI_Data[Date],B86)</f>
        <v>176</v>
      </c>
      <c r="W86" s="4">
        <f>SUMIFS(CPI_Data[Household goods and services], CPI_Data[Sector], "Rural+Urban", CPI_Data[Date],B86)</f>
        <v>166.4</v>
      </c>
      <c r="X86" s="4">
        <f>SUMIFS(CPI_Data[Health], CPI_Data[Sector], "Rural+Urban", CPI_Data[Date],B86)</f>
        <v>175.4</v>
      </c>
      <c r="Y86" s="4">
        <f>SUMIFS(CPI_Data[Transport and communication], CPI_Data[Sector], "Rural+Urban", CPI_Data[Date],B86)</f>
        <v>161.1</v>
      </c>
      <c r="Z86" s="4">
        <f>SUMIFS(CPI_Data[Recreation and amusement], CPI_Data[Sector], "Rural+Urban", CPI_Data[Date],B86)</f>
        <v>165.8</v>
      </c>
      <c r="AA86" s="4">
        <f>SUMIFS(CPI_Data[Education], CPI_Data[Sector], "Rural+Urban", CPI_Data[Date],B86)</f>
        <v>169</v>
      </c>
      <c r="AB86" s="4">
        <f>SUMIFS(CPI_Data[Personal care and effects], CPI_Data[Sector], "Rural+Urban", CPI_Data[Date],B86)</f>
        <v>169.4</v>
      </c>
      <c r="AC86" s="4">
        <f>SUMIFS(CPI_Data[Miscellaneous], CPI_Data[Sector], "Rural+Urban", CPI_Data[Date],B86)</f>
        <v>167.5</v>
      </c>
      <c r="AD86" s="4">
        <f>SUMIFS(CPI_Data[General index], CPI_Data[Sector], "Rural+Urban", CPI_Data[Date],B86)</f>
        <v>172.6</v>
      </c>
    </row>
    <row r="87" spans="2:30" x14ac:dyDescent="0.3">
      <c r="B87" s="20">
        <v>44743</v>
      </c>
      <c r="C87" s="18">
        <v>105.49124737500001</v>
      </c>
      <c r="D87" s="4">
        <f>SUMIFS(CPI_Data[Cereals and products], CPI_Data[Sector], "Rural+Urban", CPI_Data[Date],B87)</f>
        <v>156.5</v>
      </c>
      <c r="E87" s="4">
        <f>SUMIFS(CPI_Data[Meat and fish], CPI_Data[Sector], "Rural+Urban", CPI_Data[Date],B87)</f>
        <v>213</v>
      </c>
      <c r="F87" s="4">
        <f>SUMIFS(CPI_Data[Egg], CPI_Data[Sector], "Rural+Urban", CPI_Data[Date],B87)</f>
        <v>175.2</v>
      </c>
      <c r="G87" s="4">
        <f>SUMIFS(CPI_Data[Milk and products], CPI_Data[Sector], "Rural+Urban", CPI_Data[Date],B87)</f>
        <v>166.6</v>
      </c>
      <c r="H87" s="4">
        <f>SUMIFS(CPI_Data[Oils and fats], CPI_Data[Sector], "Rural+Urban", CPI_Data[Date],B87)</f>
        <v>195.8</v>
      </c>
      <c r="I87" s="4">
        <f>SUMIFS(CPI_Data[Fruits], CPI_Data[Sector], "Rural+Urban", CPI_Data[Date],B87)</f>
        <v>174.2</v>
      </c>
      <c r="J87" s="4">
        <f>SUMIFS(CPI_Data[Vegetables], CPI_Data[Sector], "Rural+Urban", CPI_Data[Date],B87)</f>
        <v>182.1</v>
      </c>
      <c r="K87" s="4">
        <f>SUMIFS(CPI_Data[Pulses and products], CPI_Data[Sector], "Rural+Urban", CPI_Data[Date],B87)</f>
        <v>164.3</v>
      </c>
      <c r="L87" s="4">
        <f>SUMIFS(CPI_Data[Sugar and Confectionery], CPI_Data[Sector], "Rural+Urban", CPI_Data[Date],B87)</f>
        <v>120</v>
      </c>
      <c r="M87" s="4">
        <f>SUMIFS(CPI_Data[Spices], CPI_Data[Sector], "Rural+Urban", CPI_Data[Date],B87)</f>
        <v>190</v>
      </c>
      <c r="N87" s="4">
        <f>SUMIFS(CPI_Data[Non-alcoholic beverages], CPI_Data[Sector], "Rural+Urban", CPI_Data[Date],B87)</f>
        <v>168.4</v>
      </c>
      <c r="O87" s="4">
        <f>SUMIFS(CPI_Data[Prepared meals, snacks, sweets etc.], CPI_Data[Sector], "Rural+Urban", CPI_Data[Date],B87)</f>
        <v>185.2</v>
      </c>
      <c r="P87" s="4">
        <f>SUMIFS(CPI_Data[Food and beverages], CPI_Data[Sector], "Rural+Urban", CPI_Data[Date],B87)</f>
        <v>175</v>
      </c>
      <c r="Q87" s="4">
        <f>SUMIFS(CPI_Data[Pan, tobacco and intoxicants], CPI_Data[Sector], "Rural+Urban", CPI_Data[Date],B87)</f>
        <v>194.6</v>
      </c>
      <c r="R87" s="4">
        <f>SUMIFS(CPI_Data[Clothing], CPI_Data[Sector], "Rural+Urban", CPI_Data[Date],B87)</f>
        <v>178.3</v>
      </c>
      <c r="S87" s="4">
        <f>SUMIFS(CPI_Data[Footwear], CPI_Data[Sector], "Rural+Urban", CPI_Data[Date],B87)</f>
        <v>171.3</v>
      </c>
      <c r="T87" s="4">
        <f>SUMIFS(CPI_Data[Clothing and footwear], CPI_Data[Sector], "Rural+Urban", CPI_Data[Date],B87)</f>
        <v>177.3</v>
      </c>
      <c r="U87" s="4">
        <f>SUMIFS(CPI_Data[Housing], CPI_Data[Sector], "Rural+Urban", CPI_Data[Date],B87)</f>
        <v>167.8</v>
      </c>
      <c r="V87" s="4">
        <f>SUMIFS(CPI_Data[Fuel and light], CPI_Data[Sector], "Rural+Urban", CPI_Data[Date],B87)</f>
        <v>179.6</v>
      </c>
      <c r="W87" s="4">
        <f>SUMIFS(CPI_Data[Household goods and services], CPI_Data[Sector], "Rural+Urban", CPI_Data[Date],B87)</f>
        <v>167.4</v>
      </c>
      <c r="X87" s="4">
        <f>SUMIFS(CPI_Data[Health], CPI_Data[Sector], "Rural+Urban", CPI_Data[Date],B87)</f>
        <v>176.1</v>
      </c>
      <c r="Y87" s="4">
        <f>SUMIFS(CPI_Data[Transport and communication], CPI_Data[Sector], "Rural+Urban", CPI_Data[Date],B87)</f>
        <v>161.6</v>
      </c>
      <c r="Z87" s="4">
        <f>SUMIFS(CPI_Data[Recreation and amusement], CPI_Data[Sector], "Rural+Urban", CPI_Data[Date],B87)</f>
        <v>166.3</v>
      </c>
      <c r="AA87" s="4">
        <f>SUMIFS(CPI_Data[Education], CPI_Data[Sector], "Rural+Urban", CPI_Data[Date],B87)</f>
        <v>171.4</v>
      </c>
      <c r="AB87" s="4">
        <f>SUMIFS(CPI_Data[Personal care and effects], CPI_Data[Sector], "Rural+Urban", CPI_Data[Date],B87)</f>
        <v>169.7</v>
      </c>
      <c r="AC87" s="4">
        <f>SUMIFS(CPI_Data[Miscellaneous], CPI_Data[Sector], "Rural+Urban", CPI_Data[Date],B87)</f>
        <v>168.4</v>
      </c>
      <c r="AD87" s="4">
        <f>SUMIFS(CPI_Data[General index], CPI_Data[Sector], "Rural+Urban", CPI_Data[Date],B87)</f>
        <v>173.4</v>
      </c>
    </row>
    <row r="88" spans="2:30" x14ac:dyDescent="0.3">
      <c r="B88" s="20">
        <v>44774</v>
      </c>
      <c r="C88" s="18">
        <v>97.404465428571427</v>
      </c>
      <c r="D88" s="4">
        <f>SUMIFS(CPI_Data[Cereals and products], CPI_Data[Sector], "Rural+Urban", CPI_Data[Date],B88)</f>
        <v>160.30000000000001</v>
      </c>
      <c r="E88" s="4">
        <f>SUMIFS(CPI_Data[Meat and fish], CPI_Data[Sector], "Rural+Urban", CPI_Data[Date],B88)</f>
        <v>206.5</v>
      </c>
      <c r="F88" s="4">
        <f>SUMIFS(CPI_Data[Egg], CPI_Data[Sector], "Rural+Urban", CPI_Data[Date],B88)</f>
        <v>169.2</v>
      </c>
      <c r="G88" s="4">
        <f>SUMIFS(CPI_Data[Milk and products], CPI_Data[Sector], "Rural+Urban", CPI_Data[Date],B88)</f>
        <v>168.1</v>
      </c>
      <c r="H88" s="4">
        <f>SUMIFS(CPI_Data[Oils and fats], CPI_Data[Sector], "Rural+Urban", CPI_Data[Date],B88)</f>
        <v>192.4</v>
      </c>
      <c r="I88" s="4">
        <f>SUMIFS(CPI_Data[Fruits], CPI_Data[Sector], "Rural+Urban", CPI_Data[Date],B88)</f>
        <v>172.9</v>
      </c>
      <c r="J88" s="4">
        <f>SUMIFS(CPI_Data[Vegetables], CPI_Data[Sector], "Rural+Urban", CPI_Data[Date],B88)</f>
        <v>186.7</v>
      </c>
      <c r="K88" s="4">
        <f>SUMIFS(CPI_Data[Pulses and products], CPI_Data[Sector], "Rural+Urban", CPI_Data[Date],B88)</f>
        <v>167.2</v>
      </c>
      <c r="L88" s="4">
        <f>SUMIFS(CPI_Data[Sugar and Confectionery], CPI_Data[Sector], "Rural+Urban", CPI_Data[Date],B88)</f>
        <v>120.9</v>
      </c>
      <c r="M88" s="4">
        <f>SUMIFS(CPI_Data[Spices], CPI_Data[Sector], "Rural+Urban", CPI_Data[Date],B88)</f>
        <v>193.6</v>
      </c>
      <c r="N88" s="4">
        <f>SUMIFS(CPI_Data[Non-alcoholic beverages], CPI_Data[Sector], "Rural+Urban", CPI_Data[Date],B88)</f>
        <v>168.8</v>
      </c>
      <c r="O88" s="4">
        <f>SUMIFS(CPI_Data[Prepared meals, snacks, sweets etc.], CPI_Data[Sector], "Rural+Urban", CPI_Data[Date],B88)</f>
        <v>186.3</v>
      </c>
      <c r="P88" s="4">
        <f>SUMIFS(CPI_Data[Food and beverages], CPI_Data[Sector], "Rural+Urban", CPI_Data[Date],B88)</f>
        <v>176.3</v>
      </c>
      <c r="Q88" s="4">
        <f>SUMIFS(CPI_Data[Pan, tobacco and intoxicants], CPI_Data[Sector], "Rural+Urban", CPI_Data[Date],B88)</f>
        <v>195</v>
      </c>
      <c r="R88" s="4">
        <f>SUMIFS(CPI_Data[Clothing], CPI_Data[Sector], "Rural+Urban", CPI_Data[Date],B88)</f>
        <v>179.5</v>
      </c>
      <c r="S88" s="4">
        <f>SUMIFS(CPI_Data[Footwear], CPI_Data[Sector], "Rural+Urban", CPI_Data[Date],B88)</f>
        <v>172.7</v>
      </c>
      <c r="T88" s="4">
        <f>SUMIFS(CPI_Data[Clothing and footwear], CPI_Data[Sector], "Rural+Urban", CPI_Data[Date],B88)</f>
        <v>178.5</v>
      </c>
      <c r="U88" s="4">
        <f>SUMIFS(CPI_Data[Housing], CPI_Data[Sector], "Rural+Urban", CPI_Data[Date],B88)</f>
        <v>169</v>
      </c>
      <c r="V88" s="4">
        <f>SUMIFS(CPI_Data[Fuel and light], CPI_Data[Sector], "Rural+Urban", CPI_Data[Date],B88)</f>
        <v>178.8</v>
      </c>
      <c r="W88" s="4">
        <f>SUMIFS(CPI_Data[Household goods and services], CPI_Data[Sector], "Rural+Urban", CPI_Data[Date],B88)</f>
        <v>168.5</v>
      </c>
      <c r="X88" s="4">
        <f>SUMIFS(CPI_Data[Health], CPI_Data[Sector], "Rural+Urban", CPI_Data[Date],B88)</f>
        <v>176.8</v>
      </c>
      <c r="Y88" s="4">
        <f>SUMIFS(CPI_Data[Transport and communication], CPI_Data[Sector], "Rural+Urban", CPI_Data[Date],B88)</f>
        <v>161.9</v>
      </c>
      <c r="Z88" s="4">
        <f>SUMIFS(CPI_Data[Recreation and amusement], CPI_Data[Sector], "Rural+Urban", CPI_Data[Date],B88)</f>
        <v>166.9</v>
      </c>
      <c r="AA88" s="4">
        <f>SUMIFS(CPI_Data[Education], CPI_Data[Sector], "Rural+Urban", CPI_Data[Date],B88)</f>
        <v>172.3</v>
      </c>
      <c r="AB88" s="4">
        <f>SUMIFS(CPI_Data[Personal care and effects], CPI_Data[Sector], "Rural+Urban", CPI_Data[Date],B88)</f>
        <v>171.2</v>
      </c>
      <c r="AC88" s="4">
        <f>SUMIFS(CPI_Data[Miscellaneous], CPI_Data[Sector], "Rural+Urban", CPI_Data[Date],B88)</f>
        <v>169.1</v>
      </c>
      <c r="AD88" s="4">
        <f>SUMIFS(CPI_Data[General index], CPI_Data[Sector], "Rural+Urban", CPI_Data[Date],B88)</f>
        <v>174.3</v>
      </c>
    </row>
    <row r="89" spans="2:30" x14ac:dyDescent="0.3">
      <c r="B89" s="20">
        <v>44805</v>
      </c>
      <c r="C89" s="18">
        <v>90.706344809523813</v>
      </c>
      <c r="D89" s="4">
        <f>SUMIFS(CPI_Data[Cereals and products], CPI_Data[Sector], "Rural+Urban", CPI_Data[Date],B89)</f>
        <v>163.5</v>
      </c>
      <c r="E89" s="4">
        <f>SUMIFS(CPI_Data[Meat and fish], CPI_Data[Sector], "Rural+Urban", CPI_Data[Date],B89)</f>
        <v>209.2</v>
      </c>
      <c r="F89" s="4">
        <f>SUMIFS(CPI_Data[Egg], CPI_Data[Sector], "Rural+Urban", CPI_Data[Date],B89)</f>
        <v>169.7</v>
      </c>
      <c r="G89" s="4">
        <f>SUMIFS(CPI_Data[Milk and products], CPI_Data[Sector], "Rural+Urban", CPI_Data[Date],B89)</f>
        <v>169.7</v>
      </c>
      <c r="H89" s="4">
        <f>SUMIFS(CPI_Data[Oils and fats], CPI_Data[Sector], "Rural+Urban", CPI_Data[Date],B89)</f>
        <v>188.7</v>
      </c>
      <c r="I89" s="4">
        <f>SUMIFS(CPI_Data[Fruits], CPI_Data[Sector], "Rural+Urban", CPI_Data[Date],B89)</f>
        <v>165.7</v>
      </c>
      <c r="J89" s="4">
        <f>SUMIFS(CPI_Data[Vegetables], CPI_Data[Sector], "Rural+Urban", CPI_Data[Date],B89)</f>
        <v>191.8</v>
      </c>
      <c r="K89" s="4">
        <f>SUMIFS(CPI_Data[Pulses and products], CPI_Data[Sector], "Rural+Urban", CPI_Data[Date],B89)</f>
        <v>169.1</v>
      </c>
      <c r="L89" s="4">
        <f>SUMIFS(CPI_Data[Sugar and Confectionery], CPI_Data[Sector], "Rural+Urban", CPI_Data[Date],B89)</f>
        <v>121.6</v>
      </c>
      <c r="M89" s="4">
        <f>SUMIFS(CPI_Data[Spices], CPI_Data[Sector], "Rural+Urban", CPI_Data[Date],B89)</f>
        <v>197.3</v>
      </c>
      <c r="N89" s="4">
        <f>SUMIFS(CPI_Data[Non-alcoholic beverages], CPI_Data[Sector], "Rural+Urban", CPI_Data[Date],B89)</f>
        <v>169.4</v>
      </c>
      <c r="O89" s="4">
        <f>SUMIFS(CPI_Data[Prepared meals, snacks, sweets etc.], CPI_Data[Sector], "Rural+Urban", CPI_Data[Date],B89)</f>
        <v>187.4</v>
      </c>
      <c r="P89" s="4">
        <f>SUMIFS(CPI_Data[Food and beverages], CPI_Data[Sector], "Rural+Urban", CPI_Data[Date],B89)</f>
        <v>177.8</v>
      </c>
      <c r="Q89" s="4">
        <f>SUMIFS(CPI_Data[Pan, tobacco and intoxicants], CPI_Data[Sector], "Rural+Urban", CPI_Data[Date],B89)</f>
        <v>195.9</v>
      </c>
      <c r="R89" s="4">
        <f>SUMIFS(CPI_Data[Clothing], CPI_Data[Sector], "Rural+Urban", CPI_Data[Date],B89)</f>
        <v>180.9</v>
      </c>
      <c r="S89" s="4">
        <f>SUMIFS(CPI_Data[Footwear], CPI_Data[Sector], "Rural+Urban", CPI_Data[Date],B89)</f>
        <v>174.3</v>
      </c>
      <c r="T89" s="4">
        <f>SUMIFS(CPI_Data[Clothing and footwear], CPI_Data[Sector], "Rural+Urban", CPI_Data[Date],B89)</f>
        <v>179.9</v>
      </c>
      <c r="U89" s="4">
        <f>SUMIFS(CPI_Data[Housing], CPI_Data[Sector], "Rural+Urban", CPI_Data[Date],B89)</f>
        <v>169.5</v>
      </c>
      <c r="V89" s="4">
        <f>SUMIFS(CPI_Data[Fuel and light], CPI_Data[Sector], "Rural+Urban", CPI_Data[Date],B89)</f>
        <v>179.5</v>
      </c>
      <c r="W89" s="4">
        <f>SUMIFS(CPI_Data[Household goods and services], CPI_Data[Sector], "Rural+Urban", CPI_Data[Date],B89)</f>
        <v>169.5</v>
      </c>
      <c r="X89" s="4">
        <f>SUMIFS(CPI_Data[Health], CPI_Data[Sector], "Rural+Urban", CPI_Data[Date],B89)</f>
        <v>177.8</v>
      </c>
      <c r="Y89" s="4">
        <f>SUMIFS(CPI_Data[Transport and communication], CPI_Data[Sector], "Rural+Urban", CPI_Data[Date],B89)</f>
        <v>162.30000000000001</v>
      </c>
      <c r="Z89" s="4">
        <f>SUMIFS(CPI_Data[Recreation and amusement], CPI_Data[Sector], "Rural+Urban", CPI_Data[Date],B89)</f>
        <v>167.6</v>
      </c>
      <c r="AA89" s="4">
        <f>SUMIFS(CPI_Data[Education], CPI_Data[Sector], "Rural+Urban", CPI_Data[Date],B89)</f>
        <v>173.1</v>
      </c>
      <c r="AB89" s="4">
        <f>SUMIFS(CPI_Data[Personal care and effects], CPI_Data[Sector], "Rural+Urban", CPI_Data[Date],B89)</f>
        <v>170.9</v>
      </c>
      <c r="AC89" s="4">
        <f>SUMIFS(CPI_Data[Miscellaneous], CPI_Data[Sector], "Rural+Urban", CPI_Data[Date],B89)</f>
        <v>169.7</v>
      </c>
      <c r="AD89" s="4">
        <f>SUMIFS(CPI_Data[General index], CPI_Data[Sector], "Rural+Urban", CPI_Data[Date],B89)</f>
        <v>175.3</v>
      </c>
    </row>
    <row r="90" spans="2:30" x14ac:dyDescent="0.3">
      <c r="B90" s="20">
        <v>44835</v>
      </c>
      <c r="C90" s="18">
        <v>91.698948700000003</v>
      </c>
      <c r="D90" s="4">
        <f>SUMIFS(CPI_Data[Cereals and products], CPI_Data[Sector], "Rural+Urban", CPI_Data[Date],B90)</f>
        <v>165.2</v>
      </c>
      <c r="E90" s="4">
        <f>SUMIFS(CPI_Data[Meat and fish], CPI_Data[Sector], "Rural+Urban", CPI_Data[Date],B90)</f>
        <v>210.9</v>
      </c>
      <c r="F90" s="4">
        <f>SUMIFS(CPI_Data[Egg], CPI_Data[Sector], "Rural+Urban", CPI_Data[Date],B90)</f>
        <v>170.9</v>
      </c>
      <c r="G90" s="4">
        <f>SUMIFS(CPI_Data[Milk and products], CPI_Data[Sector], "Rural+Urban", CPI_Data[Date],B90)</f>
        <v>170.9</v>
      </c>
      <c r="H90" s="4">
        <f>SUMIFS(CPI_Data[Oils and fats], CPI_Data[Sector], "Rural+Urban", CPI_Data[Date],B90)</f>
        <v>186.5</v>
      </c>
      <c r="I90" s="4">
        <f>SUMIFS(CPI_Data[Fruits], CPI_Data[Sector], "Rural+Urban", CPI_Data[Date],B90)</f>
        <v>163.80000000000001</v>
      </c>
      <c r="J90" s="4">
        <f>SUMIFS(CPI_Data[Vegetables], CPI_Data[Sector], "Rural+Urban", CPI_Data[Date],B90)</f>
        <v>199.7</v>
      </c>
      <c r="K90" s="4">
        <f>SUMIFS(CPI_Data[Pulses and products], CPI_Data[Sector], "Rural+Urban", CPI_Data[Date],B90)</f>
        <v>169.8</v>
      </c>
      <c r="L90" s="4">
        <f>SUMIFS(CPI_Data[Sugar and Confectionery], CPI_Data[Sector], "Rural+Urban", CPI_Data[Date],B90)</f>
        <v>121.9</v>
      </c>
      <c r="M90" s="4">
        <f>SUMIFS(CPI_Data[Spices], CPI_Data[Sector], "Rural+Urban", CPI_Data[Date],B90)</f>
        <v>199.9</v>
      </c>
      <c r="N90" s="4">
        <f>SUMIFS(CPI_Data[Non-alcoholic beverages], CPI_Data[Sector], "Rural+Urban", CPI_Data[Date],B90)</f>
        <v>169.9</v>
      </c>
      <c r="O90" s="4">
        <f>SUMIFS(CPI_Data[Prepared meals, snacks, sweets etc.], CPI_Data[Sector], "Rural+Urban", CPI_Data[Date],B90)</f>
        <v>188.3</v>
      </c>
      <c r="P90" s="4">
        <f>SUMIFS(CPI_Data[Food and beverages], CPI_Data[Sector], "Rural+Urban", CPI_Data[Date],B90)</f>
        <v>179.6</v>
      </c>
      <c r="Q90" s="4">
        <f>SUMIFS(CPI_Data[Pan, tobacco and intoxicants], CPI_Data[Sector], "Rural+Urban", CPI_Data[Date],B90)</f>
        <v>196.3</v>
      </c>
      <c r="R90" s="4">
        <f>SUMIFS(CPI_Data[Clothing], CPI_Data[Sector], "Rural+Urban", CPI_Data[Date],B90)</f>
        <v>181.9</v>
      </c>
      <c r="S90" s="4">
        <f>SUMIFS(CPI_Data[Footwear], CPI_Data[Sector], "Rural+Urban", CPI_Data[Date],B90)</f>
        <v>175.3</v>
      </c>
      <c r="T90" s="4">
        <f>SUMIFS(CPI_Data[Clothing and footwear], CPI_Data[Sector], "Rural+Urban", CPI_Data[Date],B90)</f>
        <v>181</v>
      </c>
      <c r="U90" s="4">
        <f>SUMIFS(CPI_Data[Housing], CPI_Data[Sector], "Rural+Urban", CPI_Data[Date],B90)</f>
        <v>171.2</v>
      </c>
      <c r="V90" s="4">
        <f>SUMIFS(CPI_Data[Fuel and light], CPI_Data[Sector], "Rural+Urban", CPI_Data[Date],B90)</f>
        <v>180.5</v>
      </c>
      <c r="W90" s="4">
        <f>SUMIFS(CPI_Data[Household goods and services], CPI_Data[Sector], "Rural+Urban", CPI_Data[Date],B90)</f>
        <v>170.4</v>
      </c>
      <c r="X90" s="4">
        <f>SUMIFS(CPI_Data[Health], CPI_Data[Sector], "Rural+Urban", CPI_Data[Date],B90)</f>
        <v>178.7</v>
      </c>
      <c r="Y90" s="4">
        <f>SUMIFS(CPI_Data[Transport and communication], CPI_Data[Sector], "Rural+Urban", CPI_Data[Date],B90)</f>
        <v>162.9</v>
      </c>
      <c r="Z90" s="4">
        <f>SUMIFS(CPI_Data[Recreation and amusement], CPI_Data[Sector], "Rural+Urban", CPI_Data[Date],B90)</f>
        <v>168.2</v>
      </c>
      <c r="AA90" s="4">
        <f>SUMIFS(CPI_Data[Education], CPI_Data[Sector], "Rural+Urban", CPI_Data[Date],B90)</f>
        <v>173.4</v>
      </c>
      <c r="AB90" s="4">
        <f>SUMIFS(CPI_Data[Personal care and effects], CPI_Data[Sector], "Rural+Urban", CPI_Data[Date],B90)</f>
        <v>172.1</v>
      </c>
      <c r="AC90" s="4">
        <f>SUMIFS(CPI_Data[Miscellaneous], CPI_Data[Sector], "Rural+Urban", CPI_Data[Date],B90)</f>
        <v>170.5</v>
      </c>
      <c r="AD90" s="4">
        <f>SUMIFS(CPI_Data[General index], CPI_Data[Sector], "Rural+Urban", CPI_Data[Date],B90)</f>
        <v>176.7</v>
      </c>
    </row>
    <row r="91" spans="2:30" x14ac:dyDescent="0.3">
      <c r="B91" s="20">
        <v>44866</v>
      </c>
      <c r="C91" s="18">
        <v>87.552266068181822</v>
      </c>
      <c r="D91" s="4">
        <f>SUMIFS(CPI_Data[Cereals and products], CPI_Data[Sector], "Rural+Urban", CPI_Data[Date],B91)</f>
        <v>167.4</v>
      </c>
      <c r="E91" s="4">
        <f>SUMIFS(CPI_Data[Meat and fish], CPI_Data[Sector], "Rural+Urban", CPI_Data[Date],B91)</f>
        <v>209.4</v>
      </c>
      <c r="F91" s="4">
        <f>SUMIFS(CPI_Data[Egg], CPI_Data[Sector], "Rural+Urban", CPI_Data[Date],B91)</f>
        <v>181.4</v>
      </c>
      <c r="G91" s="4">
        <f>SUMIFS(CPI_Data[Milk and products], CPI_Data[Sector], "Rural+Urban", CPI_Data[Date],B91)</f>
        <v>172.3</v>
      </c>
      <c r="H91" s="4">
        <f>SUMIFS(CPI_Data[Oils and fats], CPI_Data[Sector], "Rural+Urban", CPI_Data[Date],B91)</f>
        <v>188.9</v>
      </c>
      <c r="I91" s="4">
        <f>SUMIFS(CPI_Data[Fruits], CPI_Data[Sector], "Rural+Urban", CPI_Data[Date],B91)</f>
        <v>160.69999999999999</v>
      </c>
      <c r="J91" s="4">
        <f>SUMIFS(CPI_Data[Vegetables], CPI_Data[Sector], "Rural+Urban", CPI_Data[Date],B91)</f>
        <v>183.1</v>
      </c>
      <c r="K91" s="4">
        <f>SUMIFS(CPI_Data[Pulses and products], CPI_Data[Sector], "Rural+Urban", CPI_Data[Date],B91)</f>
        <v>170.5</v>
      </c>
      <c r="L91" s="4">
        <f>SUMIFS(CPI_Data[Sugar and Confectionery], CPI_Data[Sector], "Rural+Urban", CPI_Data[Date],B91)</f>
        <v>122.1</v>
      </c>
      <c r="M91" s="4">
        <f>SUMIFS(CPI_Data[Spices], CPI_Data[Sector], "Rural+Urban", CPI_Data[Date],B91)</f>
        <v>202.8</v>
      </c>
      <c r="N91" s="4">
        <f>SUMIFS(CPI_Data[Non-alcoholic beverages], CPI_Data[Sector], "Rural+Urban", CPI_Data[Date],B91)</f>
        <v>170.4</v>
      </c>
      <c r="O91" s="4">
        <f>SUMIFS(CPI_Data[Prepared meals, snacks, sweets etc.], CPI_Data[Sector], "Rural+Urban", CPI_Data[Date],B91)</f>
        <v>189.5</v>
      </c>
      <c r="P91" s="4">
        <f>SUMIFS(CPI_Data[Food and beverages], CPI_Data[Sector], "Rural+Urban", CPI_Data[Date],B91)</f>
        <v>178.3</v>
      </c>
      <c r="Q91" s="4">
        <f>SUMIFS(CPI_Data[Pan, tobacco and intoxicants], CPI_Data[Sector], "Rural+Urban", CPI_Data[Date],B91)</f>
        <v>196.9</v>
      </c>
      <c r="R91" s="4">
        <f>SUMIFS(CPI_Data[Clothing], CPI_Data[Sector], "Rural+Urban", CPI_Data[Date],B91)</f>
        <v>183.1</v>
      </c>
      <c r="S91" s="4">
        <f>SUMIFS(CPI_Data[Footwear], CPI_Data[Sector], "Rural+Urban", CPI_Data[Date],B91)</f>
        <v>176.2</v>
      </c>
      <c r="T91" s="4">
        <f>SUMIFS(CPI_Data[Clothing and footwear], CPI_Data[Sector], "Rural+Urban", CPI_Data[Date],B91)</f>
        <v>182.1</v>
      </c>
      <c r="U91" s="4">
        <f>SUMIFS(CPI_Data[Housing], CPI_Data[Sector], "Rural+Urban", CPI_Data[Date],B91)</f>
        <v>171.8</v>
      </c>
      <c r="V91" s="4">
        <f>SUMIFS(CPI_Data[Fuel and light], CPI_Data[Sector], "Rural+Urban", CPI_Data[Date],B91)</f>
        <v>181.3</v>
      </c>
      <c r="W91" s="4">
        <f>SUMIFS(CPI_Data[Household goods and services], CPI_Data[Sector], "Rural+Urban", CPI_Data[Date],B91)</f>
        <v>171.4</v>
      </c>
      <c r="X91" s="4">
        <f>SUMIFS(CPI_Data[Health], CPI_Data[Sector], "Rural+Urban", CPI_Data[Date],B91)</f>
        <v>179.8</v>
      </c>
      <c r="Y91" s="4">
        <f>SUMIFS(CPI_Data[Transport and communication], CPI_Data[Sector], "Rural+Urban", CPI_Data[Date],B91)</f>
        <v>163</v>
      </c>
      <c r="Z91" s="4">
        <f>SUMIFS(CPI_Data[Recreation and amusement], CPI_Data[Sector], "Rural+Urban", CPI_Data[Date],B91)</f>
        <v>168.5</v>
      </c>
      <c r="AA91" s="4">
        <f>SUMIFS(CPI_Data[Education], CPI_Data[Sector], "Rural+Urban", CPI_Data[Date],B91)</f>
        <v>173.7</v>
      </c>
      <c r="AB91" s="4">
        <f>SUMIFS(CPI_Data[Personal care and effects], CPI_Data[Sector], "Rural+Urban", CPI_Data[Date],B91)</f>
        <v>173.6</v>
      </c>
      <c r="AC91" s="4">
        <f>SUMIFS(CPI_Data[Miscellaneous], CPI_Data[Sector], "Rural+Urban", CPI_Data[Date],B91)</f>
        <v>171.1</v>
      </c>
      <c r="AD91" s="4">
        <f>SUMIFS(CPI_Data[General index], CPI_Data[Sector], "Rural+Urban", CPI_Data[Date],B91)</f>
        <v>176.5</v>
      </c>
    </row>
    <row r="92" spans="2:30" x14ac:dyDescent="0.3">
      <c r="B92" s="20">
        <v>44896</v>
      </c>
      <c r="C92" s="18">
        <v>78.100942275000008</v>
      </c>
      <c r="D92" s="4">
        <f>SUMIFS(CPI_Data[Cereals and products], CPI_Data[Sector], "Rural+Urban", CPI_Data[Date],B92)</f>
        <v>169.2</v>
      </c>
      <c r="E92" s="4">
        <f>SUMIFS(CPI_Data[Meat and fish], CPI_Data[Sector], "Rural+Urban", CPI_Data[Date],B92)</f>
        <v>209</v>
      </c>
      <c r="F92" s="4">
        <f>SUMIFS(CPI_Data[Egg], CPI_Data[Sector], "Rural+Urban", CPI_Data[Date],B92)</f>
        <v>190.2</v>
      </c>
      <c r="G92" s="4">
        <f>SUMIFS(CPI_Data[Milk and products], CPI_Data[Sector], "Rural+Urban", CPI_Data[Date],B92)</f>
        <v>173.6</v>
      </c>
      <c r="H92" s="4">
        <f>SUMIFS(CPI_Data[Oils and fats], CPI_Data[Sector], "Rural+Urban", CPI_Data[Date],B92)</f>
        <v>188.5</v>
      </c>
      <c r="I92" s="4">
        <f>SUMIFS(CPI_Data[Fruits], CPI_Data[Sector], "Rural+Urban", CPI_Data[Date],B92)</f>
        <v>158</v>
      </c>
      <c r="J92" s="4">
        <f>SUMIFS(CPI_Data[Vegetables], CPI_Data[Sector], "Rural+Urban", CPI_Data[Date],B92)</f>
        <v>159.9</v>
      </c>
      <c r="K92" s="4">
        <f>SUMIFS(CPI_Data[Pulses and products], CPI_Data[Sector], "Rural+Urban", CPI_Data[Date],B92)</f>
        <v>170.8</v>
      </c>
      <c r="L92" s="4">
        <f>SUMIFS(CPI_Data[Sugar and Confectionery], CPI_Data[Sector], "Rural+Urban", CPI_Data[Date],B92)</f>
        <v>121.8</v>
      </c>
      <c r="M92" s="4">
        <f>SUMIFS(CPI_Data[Spices], CPI_Data[Sector], "Rural+Urban", CPI_Data[Date],B92)</f>
        <v>205.2</v>
      </c>
      <c r="N92" s="4">
        <f>SUMIFS(CPI_Data[Non-alcoholic beverages], CPI_Data[Sector], "Rural+Urban", CPI_Data[Date],B92)</f>
        <v>171</v>
      </c>
      <c r="O92" s="4">
        <f>SUMIFS(CPI_Data[Prepared meals, snacks, sweets etc.], CPI_Data[Sector], "Rural+Urban", CPI_Data[Date],B92)</f>
        <v>190.3</v>
      </c>
      <c r="P92" s="4">
        <f>SUMIFS(CPI_Data[Food and beverages], CPI_Data[Sector], "Rural+Urban", CPI_Data[Date],B92)</f>
        <v>175.9</v>
      </c>
      <c r="Q92" s="4">
        <f>SUMIFS(CPI_Data[Pan, tobacco and intoxicants], CPI_Data[Sector], "Rural+Urban", CPI_Data[Date],B92)</f>
        <v>197.3</v>
      </c>
      <c r="R92" s="4">
        <f>SUMIFS(CPI_Data[Clothing], CPI_Data[Sector], "Rural+Urban", CPI_Data[Date],B92)</f>
        <v>184</v>
      </c>
      <c r="S92" s="4">
        <f>SUMIFS(CPI_Data[Footwear], CPI_Data[Sector], "Rural+Urban", CPI_Data[Date],B92)</f>
        <v>177</v>
      </c>
      <c r="T92" s="4">
        <f>SUMIFS(CPI_Data[Clothing and footwear], CPI_Data[Sector], "Rural+Urban", CPI_Data[Date],B92)</f>
        <v>183</v>
      </c>
      <c r="U92" s="4">
        <f>SUMIFS(CPI_Data[Housing], CPI_Data[Sector], "Rural+Urban", CPI_Data[Date],B92)</f>
        <v>170.7</v>
      </c>
      <c r="V92" s="4">
        <f>SUMIFS(CPI_Data[Fuel and light], CPI_Data[Sector], "Rural+Urban", CPI_Data[Date],B92)</f>
        <v>182</v>
      </c>
      <c r="W92" s="4">
        <f>SUMIFS(CPI_Data[Household goods and services], CPI_Data[Sector], "Rural+Urban", CPI_Data[Date],B92)</f>
        <v>172.1</v>
      </c>
      <c r="X92" s="4">
        <f>SUMIFS(CPI_Data[Health], CPI_Data[Sector], "Rural+Urban", CPI_Data[Date],B92)</f>
        <v>181.1</v>
      </c>
      <c r="Y92" s="4">
        <f>SUMIFS(CPI_Data[Transport and communication], CPI_Data[Sector], "Rural+Urban", CPI_Data[Date],B92)</f>
        <v>163.4</v>
      </c>
      <c r="Z92" s="4">
        <f>SUMIFS(CPI_Data[Recreation and amusement], CPI_Data[Sector], "Rural+Urban", CPI_Data[Date],B92)</f>
        <v>168.9</v>
      </c>
      <c r="AA92" s="4">
        <f>SUMIFS(CPI_Data[Education], CPI_Data[Sector], "Rural+Urban", CPI_Data[Date],B92)</f>
        <v>174.1</v>
      </c>
      <c r="AB92" s="4">
        <f>SUMIFS(CPI_Data[Personal care and effects], CPI_Data[Sector], "Rural+Urban", CPI_Data[Date],B92)</f>
        <v>175.8</v>
      </c>
      <c r="AC92" s="4">
        <f>SUMIFS(CPI_Data[Miscellaneous], CPI_Data[Sector], "Rural+Urban", CPI_Data[Date],B92)</f>
        <v>172</v>
      </c>
      <c r="AD92" s="4">
        <f>SUMIFS(CPI_Data[General index], CPI_Data[Sector], "Rural+Urban", CPI_Data[Date],B92)</f>
        <v>175.7</v>
      </c>
    </row>
    <row r="93" spans="2:30" x14ac:dyDescent="0.3">
      <c r="B93" s="20">
        <v>44927</v>
      </c>
      <c r="C93" s="18">
        <v>80.922269684210534</v>
      </c>
      <c r="D93" s="4">
        <f>SUMIFS(CPI_Data[Cereals and products], CPI_Data[Sector], "Rural+Urban", CPI_Data[Date],B93)</f>
        <v>173.8</v>
      </c>
      <c r="E93" s="4">
        <f>SUMIFS(CPI_Data[Meat and fish], CPI_Data[Sector], "Rural+Urban", CPI_Data[Date],B93)</f>
        <v>210.7</v>
      </c>
      <c r="F93" s="4">
        <f>SUMIFS(CPI_Data[Egg], CPI_Data[Sector], "Rural+Urban", CPI_Data[Date],B93)</f>
        <v>194.5</v>
      </c>
      <c r="G93" s="4">
        <f>SUMIFS(CPI_Data[Milk and products], CPI_Data[Sector], "Rural+Urban", CPI_Data[Date],B93)</f>
        <v>174.6</v>
      </c>
      <c r="H93" s="4">
        <f>SUMIFS(CPI_Data[Oils and fats], CPI_Data[Sector], "Rural+Urban", CPI_Data[Date],B93)</f>
        <v>187.2</v>
      </c>
      <c r="I93" s="4">
        <f>SUMIFS(CPI_Data[Fruits], CPI_Data[Sector], "Rural+Urban", CPI_Data[Date],B93)</f>
        <v>158.30000000000001</v>
      </c>
      <c r="J93" s="4">
        <f>SUMIFS(CPI_Data[Vegetables], CPI_Data[Sector], "Rural+Urban", CPI_Data[Date],B93)</f>
        <v>153.9</v>
      </c>
      <c r="K93" s="4">
        <f>SUMIFS(CPI_Data[Pulses and products], CPI_Data[Sector], "Rural+Urban", CPI_Data[Date],B93)</f>
        <v>170.9</v>
      </c>
      <c r="L93" s="4">
        <f>SUMIFS(CPI_Data[Sugar and Confectionery], CPI_Data[Sector], "Rural+Urban", CPI_Data[Date],B93)</f>
        <v>121.1</v>
      </c>
      <c r="M93" s="4">
        <f>SUMIFS(CPI_Data[Spices], CPI_Data[Sector], "Rural+Urban", CPI_Data[Date],B93)</f>
        <v>208.4</v>
      </c>
      <c r="N93" s="4">
        <f>SUMIFS(CPI_Data[Non-alcoholic beverages], CPI_Data[Sector], "Rural+Urban", CPI_Data[Date],B93)</f>
        <v>171.4</v>
      </c>
      <c r="O93" s="4">
        <f>SUMIFS(CPI_Data[Prepared meals, snacks, sweets etc.], CPI_Data[Sector], "Rural+Urban", CPI_Data[Date],B93)</f>
        <v>191.2</v>
      </c>
      <c r="P93" s="4">
        <f>SUMIFS(CPI_Data[Food and beverages], CPI_Data[Sector], "Rural+Urban", CPI_Data[Date],B93)</f>
        <v>176.7</v>
      </c>
      <c r="Q93" s="4">
        <f>SUMIFS(CPI_Data[Pan, tobacco and intoxicants], CPI_Data[Sector], "Rural+Urban", CPI_Data[Date],B93)</f>
        <v>198.2</v>
      </c>
      <c r="R93" s="4">
        <f>SUMIFS(CPI_Data[Clothing], CPI_Data[Sector], "Rural+Urban", CPI_Data[Date],B93)</f>
        <v>184.9</v>
      </c>
      <c r="S93" s="4">
        <f>SUMIFS(CPI_Data[Footwear], CPI_Data[Sector], "Rural+Urban", CPI_Data[Date],B93)</f>
        <v>177.6</v>
      </c>
      <c r="T93" s="4">
        <f>SUMIFS(CPI_Data[Clothing and footwear], CPI_Data[Sector], "Rural+Urban", CPI_Data[Date],B93)</f>
        <v>183.8</v>
      </c>
      <c r="U93" s="4">
        <f>SUMIFS(CPI_Data[Housing], CPI_Data[Sector], "Rural+Urban", CPI_Data[Date],B93)</f>
        <v>172.1</v>
      </c>
      <c r="V93" s="4">
        <f>SUMIFS(CPI_Data[Fuel and light], CPI_Data[Sector], "Rural+Urban", CPI_Data[Date],B93)</f>
        <v>182</v>
      </c>
      <c r="W93" s="4">
        <f>SUMIFS(CPI_Data[Household goods and services], CPI_Data[Sector], "Rural+Urban", CPI_Data[Date],B93)</f>
        <v>172.9</v>
      </c>
      <c r="X93" s="4">
        <f>SUMIFS(CPI_Data[Health], CPI_Data[Sector], "Rural+Urban", CPI_Data[Date],B93)</f>
        <v>182.3</v>
      </c>
      <c r="Y93" s="4">
        <f>SUMIFS(CPI_Data[Transport and communication], CPI_Data[Sector], "Rural+Urban", CPI_Data[Date],B93)</f>
        <v>163.6</v>
      </c>
      <c r="Z93" s="4">
        <f>SUMIFS(CPI_Data[Recreation and amusement], CPI_Data[Sector], "Rural+Urban", CPI_Data[Date],B93)</f>
        <v>169.5</v>
      </c>
      <c r="AA93" s="4">
        <f>SUMIFS(CPI_Data[Education], CPI_Data[Sector], "Rural+Urban", CPI_Data[Date],B93)</f>
        <v>174.3</v>
      </c>
      <c r="AB93" s="4">
        <f>SUMIFS(CPI_Data[Personal care and effects], CPI_Data[Sector], "Rural+Urban", CPI_Data[Date],B93)</f>
        <v>178.6</v>
      </c>
      <c r="AC93" s="4">
        <f>SUMIFS(CPI_Data[Miscellaneous], CPI_Data[Sector], "Rural+Urban", CPI_Data[Date],B93)</f>
        <v>172.8</v>
      </c>
      <c r="AD93" s="4">
        <f>SUMIFS(CPI_Data[General index], CPI_Data[Sector], "Rural+Urban", CPI_Data[Date],B93)</f>
        <v>176.5</v>
      </c>
    </row>
    <row r="94" spans="2:30" x14ac:dyDescent="0.3">
      <c r="B94" s="20">
        <v>44958</v>
      </c>
      <c r="C94" s="18">
        <v>82.278706675000009</v>
      </c>
      <c r="D94" s="4">
        <f>SUMIFS(CPI_Data[Cereals and products], CPI_Data[Sector], "Rural+Urban", CPI_Data[Date],B94)</f>
        <v>174.4</v>
      </c>
      <c r="E94" s="4">
        <f>SUMIFS(CPI_Data[Meat and fish], CPI_Data[Sector], "Rural+Urban", CPI_Data[Date],B94)</f>
        <v>207.7</v>
      </c>
      <c r="F94" s="4">
        <f>SUMIFS(CPI_Data[Egg], CPI_Data[Sector], "Rural+Urban", CPI_Data[Date],B94)</f>
        <v>175.2</v>
      </c>
      <c r="G94" s="4">
        <f>SUMIFS(CPI_Data[Milk and products], CPI_Data[Sector], "Rural+Urban", CPI_Data[Date],B94)</f>
        <v>177.3</v>
      </c>
      <c r="H94" s="4">
        <f>SUMIFS(CPI_Data[Oils and fats], CPI_Data[Sector], "Rural+Urban", CPI_Data[Date],B94)</f>
        <v>179.3</v>
      </c>
      <c r="I94" s="4">
        <f>SUMIFS(CPI_Data[Fruits], CPI_Data[Sector], "Rural+Urban", CPI_Data[Date],B94)</f>
        <v>169.5</v>
      </c>
      <c r="J94" s="4">
        <f>SUMIFS(CPI_Data[Vegetables], CPI_Data[Sector], "Rural+Urban", CPI_Data[Date],B94)</f>
        <v>152.69999999999999</v>
      </c>
      <c r="K94" s="4">
        <f>SUMIFS(CPI_Data[Pulses and products], CPI_Data[Sector], "Rural+Urban", CPI_Data[Date],B94)</f>
        <v>171</v>
      </c>
      <c r="L94" s="4">
        <f>SUMIFS(CPI_Data[Sugar and Confectionery], CPI_Data[Sector], "Rural+Urban", CPI_Data[Date],B94)</f>
        <v>120</v>
      </c>
      <c r="M94" s="4">
        <f>SUMIFS(CPI_Data[Spices], CPI_Data[Sector], "Rural+Urban", CPI_Data[Date],B94)</f>
        <v>209.7</v>
      </c>
      <c r="N94" s="4">
        <f>SUMIFS(CPI_Data[Non-alcoholic beverages], CPI_Data[Sector], "Rural+Urban", CPI_Data[Date],B94)</f>
        <v>172.3</v>
      </c>
      <c r="O94" s="4">
        <f>SUMIFS(CPI_Data[Prepared meals, snacks, sweets etc.], CPI_Data[Sector], "Rural+Urban", CPI_Data[Date],B94)</f>
        <v>193</v>
      </c>
      <c r="P94" s="4">
        <f>SUMIFS(CPI_Data[Food and beverages], CPI_Data[Sector], "Rural+Urban", CPI_Data[Date],B94)</f>
        <v>177</v>
      </c>
      <c r="Q94" s="4">
        <f>SUMIFS(CPI_Data[Pan, tobacco and intoxicants], CPI_Data[Sector], "Rural+Urban", CPI_Data[Date],B94)</f>
        <v>199.5</v>
      </c>
      <c r="R94" s="4">
        <f>SUMIFS(CPI_Data[Clothing], CPI_Data[Sector], "Rural+Urban", CPI_Data[Date],B94)</f>
        <v>186.2</v>
      </c>
      <c r="S94" s="4">
        <f>SUMIFS(CPI_Data[Footwear], CPI_Data[Sector], "Rural+Urban", CPI_Data[Date],B94)</f>
        <v>178.7</v>
      </c>
      <c r="T94" s="4">
        <f>SUMIFS(CPI_Data[Clothing and footwear], CPI_Data[Sector], "Rural+Urban", CPI_Data[Date],B94)</f>
        <v>185.1</v>
      </c>
      <c r="U94" s="4">
        <f>SUMIFS(CPI_Data[Housing], CPI_Data[Sector], "Rural+Urban", CPI_Data[Date],B94)</f>
        <v>173.5</v>
      </c>
      <c r="V94" s="4">
        <f>SUMIFS(CPI_Data[Fuel and light], CPI_Data[Sector], "Rural+Urban", CPI_Data[Date],B94)</f>
        <v>182.1</v>
      </c>
      <c r="W94" s="4">
        <f>SUMIFS(CPI_Data[Household goods and services], CPI_Data[Sector], "Rural+Urban", CPI_Data[Date],B94)</f>
        <v>174.2</v>
      </c>
      <c r="X94" s="4">
        <f>SUMIFS(CPI_Data[Health], CPI_Data[Sector], "Rural+Urban", CPI_Data[Date],B94)</f>
        <v>184.4</v>
      </c>
      <c r="Y94" s="4">
        <f>SUMIFS(CPI_Data[Transport and communication], CPI_Data[Sector], "Rural+Urban", CPI_Data[Date],B94)</f>
        <v>164.2</v>
      </c>
      <c r="Z94" s="4">
        <f>SUMIFS(CPI_Data[Recreation and amusement], CPI_Data[Sector], "Rural+Urban", CPI_Data[Date],B94)</f>
        <v>170.3</v>
      </c>
      <c r="AA94" s="4">
        <f>SUMIFS(CPI_Data[Education], CPI_Data[Sector], "Rural+Urban", CPI_Data[Date],B94)</f>
        <v>175</v>
      </c>
      <c r="AB94" s="4">
        <f>SUMIFS(CPI_Data[Personal care and effects], CPI_Data[Sector], "Rural+Urban", CPI_Data[Date],B94)</f>
        <v>181</v>
      </c>
      <c r="AC94" s="4">
        <f>SUMIFS(CPI_Data[Miscellaneous], CPI_Data[Sector], "Rural+Urban", CPI_Data[Date],B94)</f>
        <v>174.1</v>
      </c>
      <c r="AD94" s="4">
        <f>SUMIFS(CPI_Data[General index], CPI_Data[Sector], "Rural+Urban", CPI_Data[Date],B94)</f>
        <v>177.2</v>
      </c>
    </row>
    <row r="95" spans="2:30" x14ac:dyDescent="0.3">
      <c r="B95" s="20">
        <v>44986</v>
      </c>
      <c r="C95" s="18">
        <v>78.539480282608693</v>
      </c>
      <c r="D95" s="4">
        <f>SUMIFS(CPI_Data[Cereals and products], CPI_Data[Sector], "Rural+Urban", CPI_Data[Date],B95)</f>
        <v>174.4</v>
      </c>
      <c r="E95" s="4">
        <f>SUMIFS(CPI_Data[Meat and fish], CPI_Data[Sector], "Rural+Urban", CPI_Data[Date],B95)</f>
        <v>207.7</v>
      </c>
      <c r="F95" s="4">
        <f>SUMIFS(CPI_Data[Egg], CPI_Data[Sector], "Rural+Urban", CPI_Data[Date],B95)</f>
        <v>175.2</v>
      </c>
      <c r="G95" s="4">
        <f>SUMIFS(CPI_Data[Milk and products], CPI_Data[Sector], "Rural+Urban", CPI_Data[Date],B95)</f>
        <v>177.3</v>
      </c>
      <c r="H95" s="4">
        <f>SUMIFS(CPI_Data[Oils and fats], CPI_Data[Sector], "Rural+Urban", CPI_Data[Date],B95)</f>
        <v>179.2</v>
      </c>
      <c r="I95" s="4">
        <f>SUMIFS(CPI_Data[Fruits], CPI_Data[Sector], "Rural+Urban", CPI_Data[Date],B95)</f>
        <v>169.5</v>
      </c>
      <c r="J95" s="4">
        <f>SUMIFS(CPI_Data[Vegetables], CPI_Data[Sector], "Rural+Urban", CPI_Data[Date],B95)</f>
        <v>152.80000000000001</v>
      </c>
      <c r="K95" s="4">
        <f>SUMIFS(CPI_Data[Pulses and products], CPI_Data[Sector], "Rural+Urban", CPI_Data[Date],B95)</f>
        <v>171.1</v>
      </c>
      <c r="L95" s="4">
        <f>SUMIFS(CPI_Data[Sugar and Confectionery], CPI_Data[Sector], "Rural+Urban", CPI_Data[Date],B95)</f>
        <v>120</v>
      </c>
      <c r="M95" s="4">
        <f>SUMIFS(CPI_Data[Spices], CPI_Data[Sector], "Rural+Urban", CPI_Data[Date],B95)</f>
        <v>209.7</v>
      </c>
      <c r="N95" s="4">
        <f>SUMIFS(CPI_Data[Non-alcoholic beverages], CPI_Data[Sector], "Rural+Urban", CPI_Data[Date],B95)</f>
        <v>172.3</v>
      </c>
      <c r="O95" s="4">
        <f>SUMIFS(CPI_Data[Prepared meals, snacks, sweets etc.], CPI_Data[Sector], "Rural+Urban", CPI_Data[Date],B95)</f>
        <v>193</v>
      </c>
      <c r="P95" s="4">
        <f>SUMIFS(CPI_Data[Food and beverages], CPI_Data[Sector], "Rural+Urban", CPI_Data[Date],B95)</f>
        <v>177</v>
      </c>
      <c r="Q95" s="4">
        <f>SUMIFS(CPI_Data[Pan, tobacco and intoxicants], CPI_Data[Sector], "Rural+Urban", CPI_Data[Date],B95)</f>
        <v>199.5</v>
      </c>
      <c r="R95" s="4">
        <f>SUMIFS(CPI_Data[Clothing], CPI_Data[Sector], "Rural+Urban", CPI_Data[Date],B95)</f>
        <v>186.1</v>
      </c>
      <c r="S95" s="4">
        <f>SUMIFS(CPI_Data[Footwear], CPI_Data[Sector], "Rural+Urban", CPI_Data[Date],B95)</f>
        <v>178.7</v>
      </c>
      <c r="T95" s="4">
        <f>SUMIFS(CPI_Data[Clothing and footwear], CPI_Data[Sector], "Rural+Urban", CPI_Data[Date],B95)</f>
        <v>185.1</v>
      </c>
      <c r="U95" s="4">
        <f>SUMIFS(CPI_Data[Housing], CPI_Data[Sector], "Rural+Urban", CPI_Data[Date],B95)</f>
        <v>173.5</v>
      </c>
      <c r="V95" s="4">
        <f>SUMIFS(CPI_Data[Fuel and light], CPI_Data[Sector], "Rural+Urban", CPI_Data[Date],B95)</f>
        <v>181.9</v>
      </c>
      <c r="W95" s="4">
        <f>SUMIFS(CPI_Data[Household goods and services], CPI_Data[Sector], "Rural+Urban", CPI_Data[Date],B95)</f>
        <v>174.2</v>
      </c>
      <c r="X95" s="4">
        <f>SUMIFS(CPI_Data[Health], CPI_Data[Sector], "Rural+Urban", CPI_Data[Date],B95)</f>
        <v>184.4</v>
      </c>
      <c r="Y95" s="4">
        <f>SUMIFS(CPI_Data[Transport and communication], CPI_Data[Sector], "Rural+Urban", CPI_Data[Date],B95)</f>
        <v>164.2</v>
      </c>
      <c r="Z95" s="4">
        <f>SUMIFS(CPI_Data[Recreation and amusement], CPI_Data[Sector], "Rural+Urban", CPI_Data[Date],B95)</f>
        <v>170.3</v>
      </c>
      <c r="AA95" s="4">
        <f>SUMIFS(CPI_Data[Education], CPI_Data[Sector], "Rural+Urban", CPI_Data[Date],B95)</f>
        <v>175</v>
      </c>
      <c r="AB95" s="4">
        <f>SUMIFS(CPI_Data[Personal care and effects], CPI_Data[Sector], "Rural+Urban", CPI_Data[Date],B95)</f>
        <v>181</v>
      </c>
      <c r="AC95" s="4">
        <f>SUMIFS(CPI_Data[Miscellaneous], CPI_Data[Sector], "Rural+Urban", CPI_Data[Date],B95)</f>
        <v>174.1</v>
      </c>
      <c r="AD95" s="4">
        <f>SUMIFS(CPI_Data[General index], CPI_Data[Sector], "Rural+Urban", CPI_Data[Date],B95)</f>
        <v>177.2</v>
      </c>
    </row>
    <row r="96" spans="2:30" x14ac:dyDescent="0.3">
      <c r="B96" s="20">
        <v>45017</v>
      </c>
      <c r="C96" s="18">
        <v>83.755358416666667</v>
      </c>
      <c r="D96" s="4">
        <f>SUMIFS(CPI_Data[Cereals and products], CPI_Data[Sector], "Rural+Urban", CPI_Data[Date],B96)</f>
        <v>173.8</v>
      </c>
      <c r="E96" s="4">
        <f>SUMIFS(CPI_Data[Meat and fish], CPI_Data[Sector], "Rural+Urban", CPI_Data[Date],B96)</f>
        <v>209.3</v>
      </c>
      <c r="F96" s="4">
        <f>SUMIFS(CPI_Data[Egg], CPI_Data[Sector], "Rural+Urban", CPI_Data[Date],B96)</f>
        <v>169.6</v>
      </c>
      <c r="G96" s="4">
        <f>SUMIFS(CPI_Data[Milk and products], CPI_Data[Sector], "Rural+Urban", CPI_Data[Date],B96)</f>
        <v>178.4</v>
      </c>
      <c r="H96" s="4">
        <f>SUMIFS(CPI_Data[Oils and fats], CPI_Data[Sector], "Rural+Urban", CPI_Data[Date],B96)</f>
        <v>174.9</v>
      </c>
      <c r="I96" s="4">
        <f>SUMIFS(CPI_Data[Fruits], CPI_Data[Sector], "Rural+Urban", CPI_Data[Date],B96)</f>
        <v>176.3</v>
      </c>
      <c r="J96" s="4">
        <f>SUMIFS(CPI_Data[Vegetables], CPI_Data[Sector], "Rural+Urban", CPI_Data[Date],B96)</f>
        <v>155.4</v>
      </c>
      <c r="K96" s="4">
        <f>SUMIFS(CPI_Data[Pulses and products], CPI_Data[Sector], "Rural+Urban", CPI_Data[Date],B96)</f>
        <v>173.4</v>
      </c>
      <c r="L96" s="4">
        <f>SUMIFS(CPI_Data[Sugar and Confectionery], CPI_Data[Sector], "Rural+Urban", CPI_Data[Date],B96)</f>
        <v>121.3</v>
      </c>
      <c r="M96" s="4">
        <f>SUMIFS(CPI_Data[Spices], CPI_Data[Sector], "Rural+Urban", CPI_Data[Date],B96)</f>
        <v>212.9</v>
      </c>
      <c r="N96" s="4">
        <f>SUMIFS(CPI_Data[Non-alcoholic beverages], CPI_Data[Sector], "Rural+Urban", CPI_Data[Date],B96)</f>
        <v>172.9</v>
      </c>
      <c r="O96" s="4">
        <f>SUMIFS(CPI_Data[Prepared meals, snacks, sweets etc.], CPI_Data[Sector], "Rural+Urban", CPI_Data[Date],B96)</f>
        <v>193.5</v>
      </c>
      <c r="P96" s="4">
        <f>SUMIFS(CPI_Data[Food and beverages], CPI_Data[Sector], "Rural+Urban", CPI_Data[Date],B96)</f>
        <v>177.9</v>
      </c>
      <c r="Q96" s="4">
        <f>SUMIFS(CPI_Data[Pan, tobacco and intoxicants], CPI_Data[Sector], "Rural+Urban", CPI_Data[Date],B96)</f>
        <v>200.6</v>
      </c>
      <c r="R96" s="4">
        <f>SUMIFS(CPI_Data[Clothing], CPI_Data[Sector], "Rural+Urban", CPI_Data[Date],B96)</f>
        <v>186.9</v>
      </c>
      <c r="S96" s="4">
        <f>SUMIFS(CPI_Data[Footwear], CPI_Data[Sector], "Rural+Urban", CPI_Data[Date],B96)</f>
        <v>179.2</v>
      </c>
      <c r="T96" s="4">
        <f>SUMIFS(CPI_Data[Clothing and footwear], CPI_Data[Sector], "Rural+Urban", CPI_Data[Date],B96)</f>
        <v>185.7</v>
      </c>
      <c r="U96" s="4">
        <f>SUMIFS(CPI_Data[Housing], CPI_Data[Sector], "Rural+Urban", CPI_Data[Date],B96)</f>
        <v>175.2</v>
      </c>
      <c r="V96" s="4">
        <f>SUMIFS(CPI_Data[Fuel and light], CPI_Data[Sector], "Rural+Urban", CPI_Data[Date],B96)</f>
        <v>181.7</v>
      </c>
      <c r="W96" s="4">
        <f>SUMIFS(CPI_Data[Household goods and services], CPI_Data[Sector], "Rural+Urban", CPI_Data[Date],B96)</f>
        <v>174.6</v>
      </c>
      <c r="X96" s="4">
        <f>SUMIFS(CPI_Data[Health], CPI_Data[Sector], "Rural+Urban", CPI_Data[Date],B96)</f>
        <v>185</v>
      </c>
      <c r="Y96" s="4">
        <f>SUMIFS(CPI_Data[Transport and communication], CPI_Data[Sector], "Rural+Urban", CPI_Data[Date],B96)</f>
        <v>164.5</v>
      </c>
      <c r="Z96" s="4">
        <f>SUMIFS(CPI_Data[Recreation and amusement], CPI_Data[Sector], "Rural+Urban", CPI_Data[Date],B96)</f>
        <v>170.7</v>
      </c>
      <c r="AA96" s="4">
        <f>SUMIFS(CPI_Data[Education], CPI_Data[Sector], "Rural+Urban", CPI_Data[Date],B96)</f>
        <v>176.4</v>
      </c>
      <c r="AB96" s="4">
        <f>SUMIFS(CPI_Data[Personal care and effects], CPI_Data[Sector], "Rural+Urban", CPI_Data[Date],B96)</f>
        <v>184</v>
      </c>
      <c r="AC96" s="4">
        <f>SUMIFS(CPI_Data[Miscellaneous], CPI_Data[Sector], "Rural+Urban", CPI_Data[Date],B96)</f>
        <v>175</v>
      </c>
      <c r="AD96" s="4">
        <f>SUMIFS(CPI_Data[General index], CPI_Data[Sector], "Rural+Urban", CPI_Data[Date],B96)</f>
        <v>178.1</v>
      </c>
    </row>
    <row r="97" spans="2:30" x14ac:dyDescent="0.3">
      <c r="B97" s="20">
        <v>45047</v>
      </c>
      <c r="C97" s="18">
        <v>74.981547824999993</v>
      </c>
      <c r="D97" s="4">
        <f>SUMIFS(CPI_Data[Cereals and products], CPI_Data[Sector], "Rural+Urban", CPI_Data[Date],B97)</f>
        <v>173.7</v>
      </c>
      <c r="E97" s="4">
        <f>SUMIFS(CPI_Data[Meat and fish], CPI_Data[Sector], "Rural+Urban", CPI_Data[Date],B97)</f>
        <v>214.3</v>
      </c>
      <c r="F97" s="4">
        <f>SUMIFS(CPI_Data[Egg], CPI_Data[Sector], "Rural+Urban", CPI_Data[Date],B97)</f>
        <v>173.2</v>
      </c>
      <c r="G97" s="4">
        <f>SUMIFS(CPI_Data[Milk and products], CPI_Data[Sector], "Rural+Urban", CPI_Data[Date],B97)</f>
        <v>179.5</v>
      </c>
      <c r="H97" s="4">
        <f>SUMIFS(CPI_Data[Oils and fats], CPI_Data[Sector], "Rural+Urban", CPI_Data[Date],B97)</f>
        <v>170</v>
      </c>
      <c r="I97" s="4">
        <f>SUMIFS(CPI_Data[Fruits], CPI_Data[Sector], "Rural+Urban", CPI_Data[Date],B97)</f>
        <v>172.2</v>
      </c>
      <c r="J97" s="4">
        <f>SUMIFS(CPI_Data[Vegetables], CPI_Data[Sector], "Rural+Urban", CPI_Data[Date],B97)</f>
        <v>161</v>
      </c>
      <c r="K97" s="4">
        <f>SUMIFS(CPI_Data[Pulses and products], CPI_Data[Sector], "Rural+Urban", CPI_Data[Date],B97)</f>
        <v>175.6</v>
      </c>
      <c r="L97" s="4">
        <f>SUMIFS(CPI_Data[Sugar and Confectionery], CPI_Data[Sector], "Rural+Urban", CPI_Data[Date],B97)</f>
        <v>122.7</v>
      </c>
      <c r="M97" s="4">
        <f>SUMIFS(CPI_Data[Spices], CPI_Data[Sector], "Rural+Urban", CPI_Data[Date],B97)</f>
        <v>218</v>
      </c>
      <c r="N97" s="4">
        <f>SUMIFS(CPI_Data[Non-alcoholic beverages], CPI_Data[Sector], "Rural+Urban", CPI_Data[Date],B97)</f>
        <v>173.4</v>
      </c>
      <c r="O97" s="4">
        <f>SUMIFS(CPI_Data[Prepared meals, snacks, sweets etc.], CPI_Data[Sector], "Rural+Urban", CPI_Data[Date],B97)</f>
        <v>194.2</v>
      </c>
      <c r="P97" s="4">
        <f>SUMIFS(CPI_Data[Food and beverages], CPI_Data[Sector], "Rural+Urban", CPI_Data[Date],B97)</f>
        <v>179.1</v>
      </c>
      <c r="Q97" s="4">
        <f>SUMIFS(CPI_Data[Pan, tobacco and intoxicants], CPI_Data[Sector], "Rural+Urban", CPI_Data[Date],B97)</f>
        <v>201</v>
      </c>
      <c r="R97" s="4">
        <f>SUMIFS(CPI_Data[Clothing], CPI_Data[Sector], "Rural+Urban", CPI_Data[Date],B97)</f>
        <v>187.3</v>
      </c>
      <c r="S97" s="4">
        <f>SUMIFS(CPI_Data[Footwear], CPI_Data[Sector], "Rural+Urban", CPI_Data[Date],B97)</f>
        <v>179.7</v>
      </c>
      <c r="T97" s="4">
        <f>SUMIFS(CPI_Data[Clothing and footwear], CPI_Data[Sector], "Rural+Urban", CPI_Data[Date],B97)</f>
        <v>186.2</v>
      </c>
      <c r="U97" s="4">
        <f>SUMIFS(CPI_Data[Housing], CPI_Data[Sector], "Rural+Urban", CPI_Data[Date],B97)</f>
        <v>175.6</v>
      </c>
      <c r="V97" s="4">
        <f>SUMIFS(CPI_Data[Fuel and light], CPI_Data[Sector], "Rural+Urban", CPI_Data[Date],B97)</f>
        <v>182.8</v>
      </c>
      <c r="W97" s="4">
        <f>SUMIFS(CPI_Data[Household goods and services], CPI_Data[Sector], "Rural+Urban", CPI_Data[Date],B97)</f>
        <v>175.2</v>
      </c>
      <c r="X97" s="4">
        <f>SUMIFS(CPI_Data[Health], CPI_Data[Sector], "Rural+Urban", CPI_Data[Date],B97)</f>
        <v>185.7</v>
      </c>
      <c r="Y97" s="4">
        <f>SUMIFS(CPI_Data[Transport and communication], CPI_Data[Sector], "Rural+Urban", CPI_Data[Date],B97)</f>
        <v>164.8</v>
      </c>
      <c r="Z97" s="4">
        <f>SUMIFS(CPI_Data[Recreation and amusement], CPI_Data[Sector], "Rural+Urban", CPI_Data[Date],B97)</f>
        <v>171.2</v>
      </c>
      <c r="AA97" s="4">
        <f>SUMIFS(CPI_Data[Education], CPI_Data[Sector], "Rural+Urban", CPI_Data[Date],B97)</f>
        <v>177.1</v>
      </c>
      <c r="AB97" s="4">
        <f>SUMIFS(CPI_Data[Personal care and effects], CPI_Data[Sector], "Rural+Urban", CPI_Data[Date],B97)</f>
        <v>185.2</v>
      </c>
      <c r="AC97" s="4">
        <f>SUMIFS(CPI_Data[Miscellaneous], CPI_Data[Sector], "Rural+Urban", CPI_Data[Date],B97)</f>
        <v>175.7</v>
      </c>
      <c r="AD97" s="4">
        <f>SUMIFS(CPI_Data[General index], CPI_Data[Sector], "Rural+Urban", CPI_Data[Date],B97)</f>
        <v>179.1</v>
      </c>
    </row>
    <row r="100" spans="2:30" ht="9.6" customHeight="1" x14ac:dyDescent="0.3"/>
    <row r="101" spans="2:30" x14ac:dyDescent="0.3">
      <c r="B101" s="54" t="s">
        <v>87</v>
      </c>
      <c r="C101" s="55" t="s">
        <v>163</v>
      </c>
      <c r="D101" s="55" t="s">
        <v>164</v>
      </c>
      <c r="E101" s="55" t="s">
        <v>165</v>
      </c>
      <c r="F101" s="55" t="s">
        <v>166</v>
      </c>
      <c r="G101" s="55" t="s">
        <v>167</v>
      </c>
      <c r="H101" s="55" t="s">
        <v>168</v>
      </c>
      <c r="I101" s="55" t="s">
        <v>169</v>
      </c>
      <c r="J101" s="55" t="s">
        <v>170</v>
      </c>
      <c r="K101" s="55" t="s">
        <v>171</v>
      </c>
      <c r="L101" s="55" t="s">
        <v>172</v>
      </c>
      <c r="M101" s="55" t="s">
        <v>173</v>
      </c>
      <c r="N101" s="55" t="s">
        <v>174</v>
      </c>
      <c r="O101" s="55" t="s">
        <v>175</v>
      </c>
      <c r="P101" s="55" t="s">
        <v>176</v>
      </c>
      <c r="Q101" s="55" t="s">
        <v>177</v>
      </c>
      <c r="R101" s="55" t="s">
        <v>178</v>
      </c>
      <c r="S101" s="55" t="s">
        <v>179</v>
      </c>
      <c r="T101" s="55" t="s">
        <v>180</v>
      </c>
      <c r="U101" s="55" t="s">
        <v>181</v>
      </c>
      <c r="V101" s="55" t="s">
        <v>182</v>
      </c>
      <c r="W101" s="55" t="s">
        <v>183</v>
      </c>
      <c r="X101" s="55" t="s">
        <v>184</v>
      </c>
      <c r="Y101" s="55" t="s">
        <v>185</v>
      </c>
      <c r="Z101" s="55" t="s">
        <v>186</v>
      </c>
      <c r="AA101" s="55" t="s">
        <v>187</v>
      </c>
      <c r="AB101" s="55" t="s">
        <v>188</v>
      </c>
      <c r="AC101" s="55" t="s">
        <v>189</v>
      </c>
      <c r="AD101" s="56" t="s">
        <v>190</v>
      </c>
    </row>
    <row r="102" spans="2:30" x14ac:dyDescent="0.3">
      <c r="B102" s="20">
        <f t="shared" ref="B102:B130" si="0">B69</f>
        <v>44197</v>
      </c>
      <c r="C102" s="21">
        <f t="shared" ref="C102:AD102" si="1">(C69-C68)/C68</f>
        <v>9.9413540730958747E-2</v>
      </c>
      <c r="D102" s="21">
        <f t="shared" si="1"/>
        <v>-7.534246575342427E-3</v>
      </c>
      <c r="E102" s="21">
        <f t="shared" si="1"/>
        <v>-4.7120418848167834E-3</v>
      </c>
      <c r="F102" s="21">
        <f t="shared" si="1"/>
        <v>0</v>
      </c>
      <c r="G102" s="21">
        <f t="shared" si="1"/>
        <v>0</v>
      </c>
      <c r="H102" s="21">
        <f t="shared" si="1"/>
        <v>2.9331514324693123E-2</v>
      </c>
      <c r="I102" s="21">
        <f t="shared" si="1"/>
        <v>1.2863913337847026E-2</v>
      </c>
      <c r="J102" s="21">
        <f t="shared" si="1"/>
        <v>-0.15748373101952282</v>
      </c>
      <c r="K102" s="21">
        <f t="shared" si="1"/>
        <v>1.2484394506867482E-3</v>
      </c>
      <c r="L102" s="21">
        <f t="shared" si="1"/>
        <v>-6.0711188204683681E-3</v>
      </c>
      <c r="M102" s="21">
        <f t="shared" si="1"/>
        <v>6.1349693251533744E-3</v>
      </c>
      <c r="N102" s="21">
        <f t="shared" si="1"/>
        <v>1.7426273458445194E-2</v>
      </c>
      <c r="O102" s="21">
        <f t="shared" si="1"/>
        <v>4.8543689320387313E-3</v>
      </c>
      <c r="P102" s="21">
        <f t="shared" si="1"/>
        <v>-2.6602176541717083E-2</v>
      </c>
      <c r="Q102" s="21">
        <f t="shared" si="1"/>
        <v>5.9331175836029896E-3</v>
      </c>
      <c r="R102" s="21">
        <f t="shared" si="1"/>
        <v>3.2258064516129032E-3</v>
      </c>
      <c r="S102" s="21">
        <f t="shared" si="1"/>
        <v>4.8143053645116132E-3</v>
      </c>
      <c r="T102" s="21">
        <f t="shared" si="1"/>
        <v>3.9062499999999631E-3</v>
      </c>
      <c r="U102" s="21">
        <f t="shared" si="1"/>
        <v>-4.4191919191920266E-3</v>
      </c>
      <c r="V102" s="21">
        <f t="shared" si="1"/>
        <v>2.2821576763485556E-2</v>
      </c>
      <c r="W102" s="21">
        <f t="shared" si="1"/>
        <v>2.0040080160321403E-3</v>
      </c>
      <c r="X102" s="21">
        <f t="shared" si="1"/>
        <v>6.3171193935565376E-3</v>
      </c>
      <c r="Y102" s="21">
        <f t="shared" si="1"/>
        <v>8.5287846481877545E-3</v>
      </c>
      <c r="Z102" s="21">
        <f t="shared" si="1"/>
        <v>7.4074074074073695E-3</v>
      </c>
      <c r="AA102" s="21">
        <f t="shared" si="1"/>
        <v>-1.2547051442911986E-3</v>
      </c>
      <c r="AB102" s="21">
        <f t="shared" si="1"/>
        <v>-1.9096117122850602E-3</v>
      </c>
      <c r="AC102" s="21">
        <f t="shared" si="1"/>
        <v>4.629629629629743E-3</v>
      </c>
      <c r="AD102" s="21">
        <f t="shared" si="1"/>
        <v>-1.006922592825673E-2</v>
      </c>
    </row>
    <row r="103" spans="2:30" x14ac:dyDescent="0.3">
      <c r="B103" s="20">
        <f t="shared" si="0"/>
        <v>44228</v>
      </c>
      <c r="C103" s="21">
        <f t="shared" ref="C103:AD103" si="2">(C70-C69)/C69</f>
        <v>0.11719313991187642</v>
      </c>
      <c r="D103" s="21">
        <f t="shared" si="2"/>
        <v>-4.1407867494823621E-3</v>
      </c>
      <c r="E103" s="21">
        <f t="shared" si="2"/>
        <v>-1.8937401367701182E-2</v>
      </c>
      <c r="F103" s="21">
        <f t="shared" si="2"/>
        <v>-3.764974329720492E-2</v>
      </c>
      <c r="G103" s="21">
        <f t="shared" si="2"/>
        <v>3.893575600259535E-3</v>
      </c>
      <c r="H103" s="21">
        <f t="shared" si="2"/>
        <v>5.1689860834989942E-2</v>
      </c>
      <c r="I103" s="21">
        <f t="shared" si="2"/>
        <v>7.3529411764705508E-3</v>
      </c>
      <c r="J103" s="21">
        <f t="shared" si="2"/>
        <v>-0.17610710607621005</v>
      </c>
      <c r="K103" s="21">
        <f t="shared" si="2"/>
        <v>-9.9750623441396159E-3</v>
      </c>
      <c r="L103" s="21">
        <f t="shared" si="2"/>
        <v>-1.5706806282722488E-2</v>
      </c>
      <c r="M103" s="21">
        <f t="shared" si="2"/>
        <v>1.2195121951218818E-3</v>
      </c>
      <c r="N103" s="21">
        <f t="shared" si="2"/>
        <v>2.4374176548089516E-2</v>
      </c>
      <c r="O103" s="21">
        <f t="shared" si="2"/>
        <v>1.1473429951690857E-2</v>
      </c>
      <c r="P103" s="21">
        <f t="shared" si="2"/>
        <v>-2.5465838509316736E-2</v>
      </c>
      <c r="Q103" s="21">
        <f t="shared" si="2"/>
        <v>9.6514745308311604E-3</v>
      </c>
      <c r="R103" s="21">
        <f t="shared" si="2"/>
        <v>1.09324758842443E-2</v>
      </c>
      <c r="S103" s="21">
        <f t="shared" si="2"/>
        <v>8.8980150581794079E-3</v>
      </c>
      <c r="T103" s="21">
        <f t="shared" si="2"/>
        <v>1.0376134889753716E-2</v>
      </c>
      <c r="U103" s="21">
        <f t="shared" si="2"/>
        <v>1.331642358909336E-2</v>
      </c>
      <c r="V103" s="21">
        <f t="shared" si="2"/>
        <v>3.0425963488843813E-2</v>
      </c>
      <c r="W103" s="21">
        <f t="shared" si="2"/>
        <v>6.0000000000000383E-3</v>
      </c>
      <c r="X103" s="21">
        <f t="shared" si="2"/>
        <v>1.2554927809165096E-2</v>
      </c>
      <c r="Y103" s="21">
        <f t="shared" si="2"/>
        <v>2.2551092318534097E-2</v>
      </c>
      <c r="Z103" s="21">
        <f t="shared" si="2"/>
        <v>1.2700534759358327E-2</v>
      </c>
      <c r="AA103" s="21">
        <f t="shared" si="2"/>
        <v>1.8844221105528353E-3</v>
      </c>
      <c r="AB103" s="21">
        <f t="shared" si="2"/>
        <v>-6.3775510204081625E-3</v>
      </c>
      <c r="AC103" s="21">
        <f t="shared" si="2"/>
        <v>9.8749177090190904E-3</v>
      </c>
      <c r="AD103" s="21">
        <f t="shared" si="2"/>
        <v>-4.4500953591863762E-3</v>
      </c>
    </row>
    <row r="104" spans="2:30" x14ac:dyDescent="0.3">
      <c r="B104" s="20">
        <f t="shared" si="0"/>
        <v>44256</v>
      </c>
      <c r="C104" s="21">
        <f t="shared" ref="C104:AD104" si="3">(C71-C70)/C70</f>
        <v>5.7393046940909617E-2</v>
      </c>
      <c r="D104" s="21">
        <f t="shared" si="3"/>
        <v>-1.386001386001504E-3</v>
      </c>
      <c r="E104" s="21">
        <f t="shared" si="3"/>
        <v>3.0563002680965085E-2</v>
      </c>
      <c r="F104" s="21">
        <f t="shared" si="3"/>
        <v>-2.9045643153526837E-2</v>
      </c>
      <c r="G104" s="21">
        <f t="shared" si="3"/>
        <v>1.2928248222366973E-3</v>
      </c>
      <c r="H104" s="21">
        <f t="shared" si="3"/>
        <v>3.2766225582860853E-2</v>
      </c>
      <c r="I104" s="21">
        <f t="shared" si="3"/>
        <v>1.9907100199071003E-2</v>
      </c>
      <c r="J104" s="21">
        <f t="shared" si="3"/>
        <v>-6.5625000000000003E-2</v>
      </c>
      <c r="K104" s="21">
        <f t="shared" si="3"/>
        <v>6.2972292191435762E-3</v>
      </c>
      <c r="L104" s="21">
        <f t="shared" si="3"/>
        <v>-1.7730496453900962E-3</v>
      </c>
      <c r="M104" s="21">
        <f t="shared" si="3"/>
        <v>-4.2630937880632682E-3</v>
      </c>
      <c r="N104" s="21">
        <f t="shared" si="3"/>
        <v>6.4308681672025723E-3</v>
      </c>
      <c r="O104" s="21">
        <f t="shared" si="3"/>
        <v>4.1791044776118723E-3</v>
      </c>
      <c r="P104" s="21">
        <f t="shared" si="3"/>
        <v>-1.2746972594010009E-3</v>
      </c>
      <c r="Q104" s="21">
        <f t="shared" si="3"/>
        <v>-1.0621348911312642E-3</v>
      </c>
      <c r="R104" s="21">
        <f t="shared" si="3"/>
        <v>3.8167938931299157E-3</v>
      </c>
      <c r="S104" s="21">
        <f t="shared" si="3"/>
        <v>3.3921302578018993E-3</v>
      </c>
      <c r="T104" s="21">
        <f t="shared" si="3"/>
        <v>3.8510911424903356E-3</v>
      </c>
      <c r="U104" s="21">
        <f t="shared" si="3"/>
        <v>6.2578222778469526E-4</v>
      </c>
      <c r="V104" s="21">
        <f t="shared" si="3"/>
        <v>2.0341207349081326E-2</v>
      </c>
      <c r="W104" s="21">
        <f t="shared" si="3"/>
        <v>1.9880715705764278E-3</v>
      </c>
      <c r="X104" s="21">
        <f t="shared" si="3"/>
        <v>2.4798512089273233E-3</v>
      </c>
      <c r="Y104" s="21">
        <f t="shared" si="3"/>
        <v>7.5809786354238068E-3</v>
      </c>
      <c r="Z104" s="21">
        <f t="shared" si="3"/>
        <v>7.2607260726072235E-3</v>
      </c>
      <c r="AA104" s="21">
        <f t="shared" si="3"/>
        <v>4.3887147335422488E-3</v>
      </c>
      <c r="AB104" s="21">
        <f t="shared" si="3"/>
        <v>-1.2836970474967907E-2</v>
      </c>
      <c r="AC104" s="21">
        <f t="shared" si="3"/>
        <v>2.6075619295958647E-3</v>
      </c>
      <c r="AD104" s="21">
        <f t="shared" si="3"/>
        <v>1.2771392081737999E-3</v>
      </c>
    </row>
    <row r="105" spans="2:30" x14ac:dyDescent="0.3">
      <c r="B105" s="20">
        <f t="shared" si="0"/>
        <v>44287</v>
      </c>
      <c r="C105" s="21">
        <f t="shared" ref="C105:AD105" si="4">(C72-C71)/C71</f>
        <v>-2.0585982416700527E-2</v>
      </c>
      <c r="D105" s="21">
        <f t="shared" si="4"/>
        <v>1.3879250520473078E-3</v>
      </c>
      <c r="E105" s="21">
        <f t="shared" si="4"/>
        <v>3.0176899063475607E-2</v>
      </c>
      <c r="F105" s="21">
        <f t="shared" si="4"/>
        <v>4.8840048840047799E-3</v>
      </c>
      <c r="G105" s="21">
        <f t="shared" si="4"/>
        <v>3.2278889606197547E-3</v>
      </c>
      <c r="H105" s="21">
        <f t="shared" si="4"/>
        <v>3.7827943868212255E-2</v>
      </c>
      <c r="I105" s="21">
        <f t="shared" si="4"/>
        <v>6.9616135328562256E-2</v>
      </c>
      <c r="J105" s="21">
        <f t="shared" si="4"/>
        <v>-3.6120401337792679E-2</v>
      </c>
      <c r="K105" s="21">
        <f t="shared" si="4"/>
        <v>1.1889862327909744E-2</v>
      </c>
      <c r="L105" s="21">
        <f t="shared" si="4"/>
        <v>4.4404973357015992E-3</v>
      </c>
      <c r="M105" s="21">
        <f t="shared" si="4"/>
        <v>2.4464831804281695E-3</v>
      </c>
      <c r="N105" s="21">
        <f t="shared" si="4"/>
        <v>7.0287539936101876E-3</v>
      </c>
      <c r="O105" s="21">
        <f t="shared" si="4"/>
        <v>4.1617122473247151E-3</v>
      </c>
      <c r="P105" s="21">
        <f t="shared" si="4"/>
        <v>8.2961072112317253E-3</v>
      </c>
      <c r="Q105" s="21">
        <f t="shared" si="4"/>
        <v>3.7214247740564436E-3</v>
      </c>
      <c r="R105" s="21">
        <f t="shared" si="4"/>
        <v>6.3371356147021544E-3</v>
      </c>
      <c r="S105" s="21">
        <f t="shared" si="4"/>
        <v>4.0567951318458036E-3</v>
      </c>
      <c r="T105" s="21">
        <f t="shared" si="4"/>
        <v>5.7544757033248439E-3</v>
      </c>
      <c r="U105" s="21">
        <f t="shared" si="4"/>
        <v>9.3808630393996239E-3</v>
      </c>
      <c r="V105" s="21">
        <f t="shared" si="4"/>
        <v>6.4308681672022071E-4</v>
      </c>
      <c r="W105" s="21">
        <f t="shared" si="4"/>
        <v>3.968253968254119E-3</v>
      </c>
      <c r="X105" s="21">
        <f t="shared" si="4"/>
        <v>3.7105751391467087E-3</v>
      </c>
      <c r="Y105" s="21">
        <f t="shared" si="4"/>
        <v>2.7359781121751416E-3</v>
      </c>
      <c r="Z105" s="21">
        <f t="shared" si="4"/>
        <v>3.9318479685451794E-3</v>
      </c>
      <c r="AA105" s="21">
        <f t="shared" si="4"/>
        <v>6.2421972534346278E-4</v>
      </c>
      <c r="AB105" s="21">
        <f t="shared" si="4"/>
        <v>1.0403120936280846E-2</v>
      </c>
      <c r="AC105" s="21">
        <f t="shared" si="4"/>
        <v>3.9011703511052944E-3</v>
      </c>
      <c r="AD105" s="21">
        <f t="shared" si="4"/>
        <v>6.3775510204081625E-3</v>
      </c>
    </row>
    <row r="106" spans="2:30" x14ac:dyDescent="0.3">
      <c r="B106" s="20">
        <f t="shared" si="0"/>
        <v>44317</v>
      </c>
      <c r="C106" s="21">
        <f t="shared" ref="C106:AD106" si="5">(C73-C72)/C72</f>
        <v>5.6092712133380143E-2</v>
      </c>
      <c r="D106" s="21">
        <f t="shared" si="5"/>
        <v>1.386001386001386E-2</v>
      </c>
      <c r="E106" s="21">
        <f t="shared" si="5"/>
        <v>1.2626262626262626E-2</v>
      </c>
      <c r="F106" s="21">
        <f t="shared" si="5"/>
        <v>3.4629404617254056E-2</v>
      </c>
      <c r="G106" s="21">
        <f t="shared" si="5"/>
        <v>4.5045045045044316E-3</v>
      </c>
      <c r="H106" s="21">
        <f t="shared" si="5"/>
        <v>5.0558495002939415E-2</v>
      </c>
      <c r="I106" s="21">
        <f t="shared" si="5"/>
        <v>1.6423357664233508E-2</v>
      </c>
      <c r="J106" s="21">
        <f t="shared" si="5"/>
        <v>2.637057598889668E-2</v>
      </c>
      <c r="K106" s="21">
        <f t="shared" si="5"/>
        <v>2.2881880024737275E-2</v>
      </c>
      <c r="L106" s="21">
        <f t="shared" si="5"/>
        <v>1.503094606542885E-2</v>
      </c>
      <c r="M106" s="21">
        <f t="shared" si="5"/>
        <v>2.6235509456985863E-2</v>
      </c>
      <c r="N106" s="21">
        <f t="shared" si="5"/>
        <v>1.0786802030456961E-2</v>
      </c>
      <c r="O106" s="21">
        <f t="shared" si="5"/>
        <v>8.8809946714031966E-3</v>
      </c>
      <c r="P106" s="21">
        <f t="shared" si="5"/>
        <v>1.7088607594936637E-2</v>
      </c>
      <c r="Q106" s="21">
        <f t="shared" si="5"/>
        <v>1.6419491525423699E-2</v>
      </c>
      <c r="R106" s="21">
        <f t="shared" si="5"/>
        <v>1.8891687657430729E-2</v>
      </c>
      <c r="S106" s="21">
        <f t="shared" si="5"/>
        <v>2.4242424242424204E-2</v>
      </c>
      <c r="T106" s="21">
        <f t="shared" si="5"/>
        <v>1.9707565162110578E-2</v>
      </c>
      <c r="U106" s="21">
        <f t="shared" si="5"/>
        <v>1.2391573729862988E-3</v>
      </c>
      <c r="V106" s="21">
        <f t="shared" si="5"/>
        <v>2.4421593830334265E-2</v>
      </c>
      <c r="W106" s="21">
        <f t="shared" si="5"/>
        <v>1.9104084321475475E-2</v>
      </c>
      <c r="X106" s="21">
        <f t="shared" si="5"/>
        <v>2.1565003080714726E-2</v>
      </c>
      <c r="Y106" s="21">
        <f t="shared" si="5"/>
        <v>1.568894952251031E-2</v>
      </c>
      <c r="Z106" s="21">
        <f t="shared" si="5"/>
        <v>1.6971279373368297E-2</v>
      </c>
      <c r="AA106" s="21">
        <f t="shared" si="5"/>
        <v>5.6144728633810183E-3</v>
      </c>
      <c r="AB106" s="21">
        <f t="shared" si="5"/>
        <v>2.0592020592020518E-2</v>
      </c>
      <c r="AC106" s="21">
        <f t="shared" si="5"/>
        <v>1.5544041450777238E-2</v>
      </c>
      <c r="AD106" s="21">
        <f t="shared" si="5"/>
        <v>1.6476552598225565E-2</v>
      </c>
    </row>
    <row r="107" spans="2:30" x14ac:dyDescent="0.3">
      <c r="B107" s="20">
        <f t="shared" si="0"/>
        <v>44348</v>
      </c>
      <c r="C107" s="21">
        <f t="shared" ref="C107:AD107" si="6">(C74-C73)/C73</f>
        <v>7.512070034381102E-2</v>
      </c>
      <c r="D107" s="21">
        <f t="shared" si="6"/>
        <v>2.7341079972657365E-3</v>
      </c>
      <c r="E107" s="21">
        <f t="shared" si="6"/>
        <v>7.481296758104738E-3</v>
      </c>
      <c r="F107" s="21">
        <f t="shared" si="6"/>
        <v>6.1068702290076202E-2</v>
      </c>
      <c r="G107" s="21">
        <f t="shared" si="6"/>
        <v>6.4061499039073878E-4</v>
      </c>
      <c r="H107" s="21">
        <f t="shared" si="6"/>
        <v>2.7979854504756579E-2</v>
      </c>
      <c r="I107" s="21">
        <f t="shared" si="6"/>
        <v>-1.4961101137043686E-2</v>
      </c>
      <c r="J107" s="21">
        <f t="shared" si="6"/>
        <v>5.0709939148073022E-2</v>
      </c>
      <c r="K107" s="21">
        <f t="shared" si="6"/>
        <v>3.6275695284159267E-3</v>
      </c>
      <c r="L107" s="21">
        <f t="shared" si="6"/>
        <v>2.6132404181184424E-3</v>
      </c>
      <c r="M107" s="21">
        <f t="shared" si="6"/>
        <v>1.7835909631391878E-3</v>
      </c>
      <c r="N107" s="21">
        <f t="shared" si="6"/>
        <v>4.394224733207712E-3</v>
      </c>
      <c r="O107" s="21">
        <f t="shared" si="6"/>
        <v>1.1737089201877934E-2</v>
      </c>
      <c r="P107" s="21">
        <f t="shared" si="6"/>
        <v>1.1823273179838244E-2</v>
      </c>
      <c r="Q107" s="21">
        <f t="shared" si="6"/>
        <v>-5.7321521625846496E-3</v>
      </c>
      <c r="R107" s="21">
        <f t="shared" si="6"/>
        <v>2.4721878862792165E-3</v>
      </c>
      <c r="S107" s="21">
        <f t="shared" si="6"/>
        <v>-1.9723865877710909E-3</v>
      </c>
      <c r="T107" s="21">
        <f t="shared" si="6"/>
        <v>1.8703241895260782E-3</v>
      </c>
      <c r="U107" s="21">
        <f t="shared" si="6"/>
        <v>-6.8069306930692722E-3</v>
      </c>
      <c r="V107" s="21">
        <f t="shared" si="6"/>
        <v>2.5094102885822186E-3</v>
      </c>
      <c r="W107" s="21">
        <f t="shared" si="6"/>
        <v>6.4641241111844047E-4</v>
      </c>
      <c r="X107" s="21">
        <f t="shared" si="6"/>
        <v>3.0156815440289505E-3</v>
      </c>
      <c r="Y107" s="21">
        <f t="shared" si="6"/>
        <v>1.2088650100738636E-2</v>
      </c>
      <c r="Z107" s="21">
        <f t="shared" si="6"/>
        <v>-5.7766367137355949E-3</v>
      </c>
      <c r="AA107" s="21">
        <f t="shared" si="6"/>
        <v>3.1017369727047149E-3</v>
      </c>
      <c r="AB107" s="21">
        <f t="shared" si="6"/>
        <v>1.2610340479194014E-3</v>
      </c>
      <c r="AC107" s="21">
        <f t="shared" si="6"/>
        <v>5.1020408163264218E-3</v>
      </c>
      <c r="AD107" s="21">
        <f t="shared" si="6"/>
        <v>5.6109725685785893E-3</v>
      </c>
    </row>
    <row r="108" spans="2:30" x14ac:dyDescent="0.3">
      <c r="B108" s="20">
        <f t="shared" si="0"/>
        <v>44378</v>
      </c>
      <c r="C108" s="21">
        <f t="shared" ref="C108:AD108" si="7">(C75-C74)/C74</f>
        <v>2.1622058941749817E-2</v>
      </c>
      <c r="D108" s="21">
        <f t="shared" si="7"/>
        <v>-2.0449897750510087E-3</v>
      </c>
      <c r="E108" s="21">
        <f t="shared" si="7"/>
        <v>2.3762376237623818E-2</v>
      </c>
      <c r="F108" s="21">
        <f t="shared" si="7"/>
        <v>8.3010514665190927E-3</v>
      </c>
      <c r="G108" s="21">
        <f t="shared" si="7"/>
        <v>8.32266325224079E-3</v>
      </c>
      <c r="H108" s="21">
        <f t="shared" si="7"/>
        <v>-8.7098530212302364E-3</v>
      </c>
      <c r="I108" s="21">
        <f t="shared" si="7"/>
        <v>-4.2527339003644513E-3</v>
      </c>
      <c r="J108" s="21">
        <f t="shared" si="7"/>
        <v>5.662805662805652E-2</v>
      </c>
      <c r="K108" s="21">
        <f t="shared" si="7"/>
        <v>-1.2048192771084338E-2</v>
      </c>
      <c r="L108" s="21">
        <f t="shared" si="7"/>
        <v>-5.2128583840138519E-3</v>
      </c>
      <c r="M108" s="21">
        <f t="shared" si="7"/>
        <v>-1.1869436201779741E-3</v>
      </c>
      <c r="N108" s="21">
        <f t="shared" si="7"/>
        <v>5.6250000000000354E-3</v>
      </c>
      <c r="O108" s="21">
        <f t="shared" si="7"/>
        <v>-1.1600928074246928E-3</v>
      </c>
      <c r="P108" s="21">
        <f t="shared" si="7"/>
        <v>8.6100861008610446E-3</v>
      </c>
      <c r="Q108" s="21">
        <f t="shared" si="7"/>
        <v>2.0964360587000905E-3</v>
      </c>
      <c r="R108" s="21">
        <f t="shared" si="7"/>
        <v>3.6991368680642589E-3</v>
      </c>
      <c r="S108" s="21">
        <f t="shared" si="7"/>
        <v>8.5638998682475813E-3</v>
      </c>
      <c r="T108" s="21">
        <f t="shared" si="7"/>
        <v>4.3559427504668144E-3</v>
      </c>
      <c r="U108" s="21">
        <f t="shared" si="7"/>
        <v>6.2305295950155761E-3</v>
      </c>
      <c r="V108" s="21">
        <f t="shared" si="7"/>
        <v>5.6320400500624356E-3</v>
      </c>
      <c r="W108" s="21">
        <f t="shared" si="7"/>
        <v>6.4599483204134363E-3</v>
      </c>
      <c r="X108" s="21">
        <f t="shared" si="7"/>
        <v>4.2092603728201361E-3</v>
      </c>
      <c r="Y108" s="21">
        <f t="shared" si="7"/>
        <v>1.5925680159256841E-2</v>
      </c>
      <c r="Z108" s="21">
        <f t="shared" si="7"/>
        <v>2.5823111684958404E-3</v>
      </c>
      <c r="AA108" s="21">
        <f t="shared" si="7"/>
        <v>9.2764378478664197E-3</v>
      </c>
      <c r="AB108" s="21">
        <f t="shared" si="7"/>
        <v>8.1863979848865419E-3</v>
      </c>
      <c r="AC108" s="21">
        <f t="shared" si="7"/>
        <v>8.883248730964504E-3</v>
      </c>
      <c r="AD108" s="21">
        <f t="shared" si="7"/>
        <v>7.439553626782322E-3</v>
      </c>
    </row>
    <row r="109" spans="2:30" x14ac:dyDescent="0.3">
      <c r="B109" s="20">
        <f t="shared" si="0"/>
        <v>44409</v>
      </c>
      <c r="C109" s="21">
        <f t="shared" ref="C109:AD109" si="8">(C76-C75)/C75</f>
        <v>-5.078030739324535E-2</v>
      </c>
      <c r="D109" s="21">
        <f t="shared" si="8"/>
        <v>1.3661202185791573E-3</v>
      </c>
      <c r="E109" s="21">
        <f t="shared" si="8"/>
        <v>-1.3539651837524232E-2</v>
      </c>
      <c r="F109" s="21">
        <f t="shared" si="8"/>
        <v>-5.1591657519209536E-2</v>
      </c>
      <c r="G109" s="21">
        <f t="shared" si="8"/>
        <v>5.7142857142857507E-3</v>
      </c>
      <c r="H109" s="21">
        <f t="shared" si="8"/>
        <v>3.2399780340472299E-2</v>
      </c>
      <c r="I109" s="21">
        <f t="shared" si="8"/>
        <v>-4.3319097010372141E-2</v>
      </c>
      <c r="J109" s="21">
        <f t="shared" si="8"/>
        <v>-1.2180267965895251E-2</v>
      </c>
      <c r="K109" s="21">
        <f t="shared" si="8"/>
        <v>6.0975609756094091E-4</v>
      </c>
      <c r="L109" s="21">
        <f t="shared" si="8"/>
        <v>4.5414847161572076E-2</v>
      </c>
      <c r="M109" s="21">
        <f t="shared" si="8"/>
        <v>2.9708853238265003E-3</v>
      </c>
      <c r="N109" s="21">
        <f t="shared" si="8"/>
        <v>1.1187072715972548E-2</v>
      </c>
      <c r="O109" s="21">
        <f t="shared" si="8"/>
        <v>9.872241579558752E-3</v>
      </c>
      <c r="P109" s="21">
        <f t="shared" si="8"/>
        <v>0</v>
      </c>
      <c r="Q109" s="21">
        <f t="shared" si="8"/>
        <v>4.7071129707113267E-3</v>
      </c>
      <c r="R109" s="21">
        <f t="shared" si="8"/>
        <v>1.0442260442260373E-2</v>
      </c>
      <c r="S109" s="21">
        <f t="shared" si="8"/>
        <v>1.4369693011103966E-2</v>
      </c>
      <c r="T109" s="21">
        <f t="shared" si="8"/>
        <v>1.1152416356877217E-2</v>
      </c>
      <c r="U109" s="21">
        <f t="shared" si="8"/>
        <v>3.7151702786377356E-3</v>
      </c>
      <c r="V109" s="21">
        <f t="shared" si="8"/>
        <v>1.1823273179838244E-2</v>
      </c>
      <c r="W109" s="21">
        <f t="shared" si="8"/>
        <v>1.0911424903722648E-2</v>
      </c>
      <c r="X109" s="21">
        <f t="shared" si="8"/>
        <v>8.3832335329341659E-3</v>
      </c>
      <c r="Y109" s="21">
        <f t="shared" si="8"/>
        <v>5.8785107772697954E-3</v>
      </c>
      <c r="Z109" s="21">
        <f t="shared" si="8"/>
        <v>1.4810045074050114E-2</v>
      </c>
      <c r="AA109" s="21">
        <f t="shared" si="8"/>
        <v>3.6764705882354337E-3</v>
      </c>
      <c r="AB109" s="21">
        <f t="shared" si="8"/>
        <v>-6.2460961898809693E-4</v>
      </c>
      <c r="AC109" s="21">
        <f t="shared" si="8"/>
        <v>6.2893081761006293E-3</v>
      </c>
      <c r="AD109" s="21">
        <f t="shared" si="8"/>
        <v>4.3076923076922381E-3</v>
      </c>
    </row>
    <row r="110" spans="2:30" x14ac:dyDescent="0.3">
      <c r="B110" s="20">
        <f t="shared" si="0"/>
        <v>44440</v>
      </c>
      <c r="C110" s="21">
        <f t="shared" ref="C110:AD110" si="9">(C77-C76)/C76</f>
        <v>4.7647403493843964E-2</v>
      </c>
      <c r="D110" s="21">
        <f t="shared" si="9"/>
        <v>0</v>
      </c>
      <c r="E110" s="21">
        <f t="shared" si="9"/>
        <v>0</v>
      </c>
      <c r="F110" s="21">
        <f t="shared" si="9"/>
        <v>0</v>
      </c>
      <c r="G110" s="21">
        <f t="shared" si="9"/>
        <v>0</v>
      </c>
      <c r="H110" s="21">
        <f t="shared" si="9"/>
        <v>0</v>
      </c>
      <c r="I110" s="21">
        <f t="shared" si="9"/>
        <v>-6.3775510204096134E-4</v>
      </c>
      <c r="J110" s="21">
        <f t="shared" si="9"/>
        <v>6.1652281134415992E-4</v>
      </c>
      <c r="K110" s="21">
        <f t="shared" si="9"/>
        <v>0</v>
      </c>
      <c r="L110" s="21">
        <f t="shared" si="9"/>
        <v>0</v>
      </c>
      <c r="M110" s="21">
        <f t="shared" si="9"/>
        <v>0</v>
      </c>
      <c r="N110" s="21">
        <f t="shared" si="9"/>
        <v>0</v>
      </c>
      <c r="O110" s="21">
        <f t="shared" si="9"/>
        <v>0</v>
      </c>
      <c r="P110" s="21">
        <f t="shared" si="9"/>
        <v>0</v>
      </c>
      <c r="Q110" s="21">
        <f t="shared" si="9"/>
        <v>0</v>
      </c>
      <c r="R110" s="21">
        <f t="shared" si="9"/>
        <v>6.0790273556227549E-4</v>
      </c>
      <c r="S110" s="21">
        <f t="shared" si="9"/>
        <v>0</v>
      </c>
      <c r="T110" s="21">
        <f t="shared" si="9"/>
        <v>6.12745098039355E-4</v>
      </c>
      <c r="U110" s="21">
        <f t="shared" si="9"/>
        <v>0</v>
      </c>
      <c r="V110" s="21">
        <f t="shared" si="9"/>
        <v>0</v>
      </c>
      <c r="W110" s="21">
        <f t="shared" si="9"/>
        <v>0</v>
      </c>
      <c r="X110" s="21">
        <f t="shared" si="9"/>
        <v>0</v>
      </c>
      <c r="Y110" s="21">
        <f t="shared" si="9"/>
        <v>0</v>
      </c>
      <c r="Z110" s="21">
        <f t="shared" si="9"/>
        <v>6.3451776649742588E-4</v>
      </c>
      <c r="AA110" s="21">
        <f t="shared" si="9"/>
        <v>-6.1050061050074928E-4</v>
      </c>
      <c r="AB110" s="21">
        <f t="shared" si="9"/>
        <v>0</v>
      </c>
      <c r="AC110" s="21">
        <f t="shared" si="9"/>
        <v>0</v>
      </c>
      <c r="AD110" s="21">
        <f t="shared" si="9"/>
        <v>0</v>
      </c>
    </row>
    <row r="111" spans="2:30" x14ac:dyDescent="0.3">
      <c r="B111" s="20">
        <f t="shared" si="0"/>
        <v>44470</v>
      </c>
      <c r="C111" s="21">
        <f t="shared" ref="C111:AD111" si="10">(C78-C77)/C77</f>
        <v>0.122748049582014</v>
      </c>
      <c r="D111" s="21">
        <f t="shared" si="10"/>
        <v>5.4570259208732022E-3</v>
      </c>
      <c r="E111" s="21">
        <f t="shared" si="10"/>
        <v>2.9411764705882075E-3</v>
      </c>
      <c r="F111" s="21">
        <f t="shared" si="10"/>
        <v>-9.2592592592593906E-3</v>
      </c>
      <c r="G111" s="21">
        <f t="shared" si="10"/>
        <v>1.8939393939392862E-3</v>
      </c>
      <c r="H111" s="21">
        <f t="shared" si="10"/>
        <v>1.3829787234042523E-2</v>
      </c>
      <c r="I111" s="21">
        <f t="shared" si="10"/>
        <v>-6.3816209317166563E-3</v>
      </c>
      <c r="J111" s="21">
        <f t="shared" si="10"/>
        <v>0.14171287738755389</v>
      </c>
      <c r="K111" s="21">
        <f t="shared" si="10"/>
        <v>6.7032297379646215E-3</v>
      </c>
      <c r="L111" s="21">
        <f t="shared" si="10"/>
        <v>1.8379281537176297E-2</v>
      </c>
      <c r="M111" s="21">
        <f t="shared" si="10"/>
        <v>2.9620853080568718E-3</v>
      </c>
      <c r="N111" s="21">
        <f t="shared" si="10"/>
        <v>3.0731407498463433E-3</v>
      </c>
      <c r="O111" s="21">
        <f t="shared" si="10"/>
        <v>4.6003450258768428E-3</v>
      </c>
      <c r="P111" s="21">
        <f t="shared" si="10"/>
        <v>2.2560975609756027E-2</v>
      </c>
      <c r="Q111" s="21">
        <f t="shared" si="10"/>
        <v>3.1233732431025212E-3</v>
      </c>
      <c r="R111" s="21">
        <f t="shared" si="10"/>
        <v>6.6828675577156405E-3</v>
      </c>
      <c r="S111" s="21">
        <f t="shared" si="10"/>
        <v>6.4391500321957498E-3</v>
      </c>
      <c r="T111" s="21">
        <f t="shared" si="10"/>
        <v>6.1236987140232697E-3</v>
      </c>
      <c r="U111" s="21">
        <f t="shared" si="10"/>
        <v>9.2535471930906849E-3</v>
      </c>
      <c r="V111" s="21">
        <f t="shared" si="10"/>
        <v>9.8400984009839754E-3</v>
      </c>
      <c r="W111" s="21">
        <f t="shared" si="10"/>
        <v>5.7142857142857507E-3</v>
      </c>
      <c r="X111" s="21">
        <f t="shared" si="10"/>
        <v>4.1567695961994573E-3</v>
      </c>
      <c r="Y111" s="21">
        <f t="shared" si="10"/>
        <v>1.1038961038960965E-2</v>
      </c>
      <c r="Z111" s="21">
        <f t="shared" si="10"/>
        <v>5.7070386810399859E-3</v>
      </c>
      <c r="AA111" s="21">
        <f t="shared" si="10"/>
        <v>1.2217470983507458E-3</v>
      </c>
      <c r="AB111" s="21">
        <f t="shared" si="10"/>
        <v>5.0000000000000712E-3</v>
      </c>
      <c r="AC111" s="21">
        <f t="shared" si="10"/>
        <v>6.2500000000000003E-3</v>
      </c>
      <c r="AD111" s="21">
        <f t="shared" si="10"/>
        <v>1.4093137254902032E-2</v>
      </c>
    </row>
    <row r="112" spans="2:30" x14ac:dyDescent="0.3">
      <c r="B112" s="20">
        <f t="shared" si="0"/>
        <v>44501</v>
      </c>
      <c r="C112" s="21">
        <f t="shared" ref="C112:AD112" si="11">(C79-C78)/C78</f>
        <v>-1.7904511325026917E-2</v>
      </c>
      <c r="D112" s="21">
        <f t="shared" si="11"/>
        <v>5.4274084124829236E-3</v>
      </c>
      <c r="E112" s="21">
        <f t="shared" si="11"/>
        <v>-1.466275659824047E-2</v>
      </c>
      <c r="F112" s="21">
        <f t="shared" si="11"/>
        <v>1.0514018691588852E-2</v>
      </c>
      <c r="G112" s="21">
        <f t="shared" si="11"/>
        <v>3.7807183364840756E-3</v>
      </c>
      <c r="H112" s="21">
        <f t="shared" si="11"/>
        <v>-2.6232948583420779E-3</v>
      </c>
      <c r="I112" s="21">
        <f t="shared" si="11"/>
        <v>5.1380860629416276E-3</v>
      </c>
      <c r="J112" s="21">
        <f t="shared" si="11"/>
        <v>7.5013491635186058E-2</v>
      </c>
      <c r="K112" s="21">
        <f t="shared" si="11"/>
        <v>6.0532687651345491E-4</v>
      </c>
      <c r="L112" s="21">
        <f t="shared" si="11"/>
        <v>4.1017227235438884E-3</v>
      </c>
      <c r="M112" s="21">
        <f t="shared" si="11"/>
        <v>1.772002362669716E-3</v>
      </c>
      <c r="N112" s="21">
        <f t="shared" si="11"/>
        <v>3.0637254901960788E-3</v>
      </c>
      <c r="O112" s="21">
        <f t="shared" si="11"/>
        <v>4.5792787635947994E-3</v>
      </c>
      <c r="P112" s="21">
        <f t="shared" si="11"/>
        <v>1.1926058437686345E-2</v>
      </c>
      <c r="Q112" s="21">
        <f t="shared" si="11"/>
        <v>1.0378827192528131E-3</v>
      </c>
      <c r="R112" s="21">
        <f t="shared" si="11"/>
        <v>9.0525045262522634E-3</v>
      </c>
      <c r="S112" s="21">
        <f t="shared" si="11"/>
        <v>7.03774792066535E-3</v>
      </c>
      <c r="T112" s="21">
        <f t="shared" si="11"/>
        <v>9.1296409007912346E-3</v>
      </c>
      <c r="U112" s="21">
        <f t="shared" si="11"/>
        <v>3.6674816625916523E-3</v>
      </c>
      <c r="V112" s="21">
        <f t="shared" si="11"/>
        <v>-1.8270401948841837E-3</v>
      </c>
      <c r="W112" s="21">
        <f t="shared" si="11"/>
        <v>5.6818181818182175E-3</v>
      </c>
      <c r="X112" s="21">
        <f t="shared" si="11"/>
        <v>4.730928444707341E-3</v>
      </c>
      <c r="Y112" s="21">
        <f t="shared" si="11"/>
        <v>-5.7803468208091026E-3</v>
      </c>
      <c r="Z112" s="21">
        <f t="shared" si="11"/>
        <v>7.5662042875158705E-3</v>
      </c>
      <c r="AA112" s="21">
        <f t="shared" si="11"/>
        <v>2.4405125076266362E-3</v>
      </c>
      <c r="AB112" s="21">
        <f t="shared" si="11"/>
        <v>8.7064676616914003E-3</v>
      </c>
      <c r="AC112" s="21">
        <f t="shared" si="11"/>
        <v>2.4844720496894762E-3</v>
      </c>
      <c r="AD112" s="21">
        <f t="shared" si="11"/>
        <v>7.2507552870089949E-3</v>
      </c>
    </row>
    <row r="113" spans="2:30" x14ac:dyDescent="0.3">
      <c r="B113" s="20">
        <f t="shared" si="0"/>
        <v>44531</v>
      </c>
      <c r="C113" s="21">
        <f t="shared" ref="C113:AD113" si="12">(C80-C79)/C79</f>
        <v>-9.1005991108670498E-2</v>
      </c>
      <c r="D113" s="21">
        <f t="shared" si="12"/>
        <v>3.3738191632928477E-3</v>
      </c>
      <c r="E113" s="21">
        <f t="shared" si="12"/>
        <v>-1.3888888888888805E-2</v>
      </c>
      <c r="F113" s="21">
        <f t="shared" si="12"/>
        <v>2.8323699421965352E-2</v>
      </c>
      <c r="G113" s="21">
        <f t="shared" si="12"/>
        <v>3.766478342749493E-3</v>
      </c>
      <c r="H113" s="21">
        <f t="shared" si="12"/>
        <v>-1.3150973172014729E-2</v>
      </c>
      <c r="I113" s="21">
        <f t="shared" si="12"/>
        <v>-1.0223642172523926E-2</v>
      </c>
      <c r="J113" s="21">
        <f t="shared" si="12"/>
        <v>-5.4718875502007921E-2</v>
      </c>
      <c r="K113" s="21">
        <f t="shared" si="12"/>
        <v>-5.4446460980036634E-3</v>
      </c>
      <c r="L113" s="21">
        <f t="shared" si="12"/>
        <v>-1.1437908496732072E-2</v>
      </c>
      <c r="M113" s="21">
        <f t="shared" si="12"/>
        <v>5.3066037735849392E-3</v>
      </c>
      <c r="N113" s="21">
        <f t="shared" si="12"/>
        <v>3.0543677458766036E-3</v>
      </c>
      <c r="O113" s="21">
        <f t="shared" si="12"/>
        <v>5.6980056980056983E-3</v>
      </c>
      <c r="P113" s="21">
        <f t="shared" si="12"/>
        <v>-8.8391278727165592E-3</v>
      </c>
      <c r="Q113" s="21">
        <f t="shared" si="12"/>
        <v>-2.592016588906169E-3</v>
      </c>
      <c r="R113" s="21">
        <f t="shared" si="12"/>
        <v>7.7751196172249487E-3</v>
      </c>
      <c r="S113" s="21">
        <f t="shared" si="12"/>
        <v>8.2592121982209849E-3</v>
      </c>
      <c r="T113" s="21">
        <f t="shared" si="12"/>
        <v>7.2376357056694119E-3</v>
      </c>
      <c r="U113" s="21">
        <f t="shared" si="12"/>
        <v>-4.8721071863579964E-3</v>
      </c>
      <c r="V113" s="21">
        <f t="shared" si="12"/>
        <v>1.2202562538132314E-3</v>
      </c>
      <c r="W113" s="21">
        <f t="shared" si="12"/>
        <v>5.6497175141241507E-3</v>
      </c>
      <c r="X113" s="21">
        <f t="shared" si="12"/>
        <v>4.1200706297821578E-3</v>
      </c>
      <c r="Y113" s="21">
        <f t="shared" si="12"/>
        <v>5.8139534883719455E-3</v>
      </c>
      <c r="Z113" s="21">
        <f t="shared" si="12"/>
        <v>5.0062578222777399E-3</v>
      </c>
      <c r="AA113" s="21">
        <f t="shared" si="12"/>
        <v>6.0864272671938102E-4</v>
      </c>
      <c r="AB113" s="21">
        <f t="shared" si="12"/>
        <v>2.4660912453761141E-3</v>
      </c>
      <c r="AC113" s="21">
        <f t="shared" si="12"/>
        <v>3.7174721189590725E-3</v>
      </c>
      <c r="AD113" s="21">
        <f t="shared" si="12"/>
        <v>-2.999400119976005E-3</v>
      </c>
    </row>
    <row r="114" spans="2:30" x14ac:dyDescent="0.3">
      <c r="B114" s="20">
        <f t="shared" si="0"/>
        <v>44562</v>
      </c>
      <c r="C114" s="21">
        <f t="shared" ref="C114:AD114" si="13">(C81-C80)/C80</f>
        <v>0.15508428007030658</v>
      </c>
      <c r="D114" s="21">
        <f t="shared" si="13"/>
        <v>5.3799596503026998E-3</v>
      </c>
      <c r="E114" s="21">
        <f t="shared" si="13"/>
        <v>-5.0301810865202579E-4</v>
      </c>
      <c r="F114" s="21">
        <f t="shared" si="13"/>
        <v>5.0590219224283623E-3</v>
      </c>
      <c r="G114" s="21">
        <f t="shared" si="13"/>
        <v>3.7523452157598143E-3</v>
      </c>
      <c r="H114" s="21">
        <f t="shared" si="13"/>
        <v>-1.5458422174840116E-2</v>
      </c>
      <c r="I114" s="21">
        <f t="shared" si="13"/>
        <v>-7.7469335054875209E-3</v>
      </c>
      <c r="J114" s="21">
        <f t="shared" si="13"/>
        <v>-7.4349442379182146E-2</v>
      </c>
      <c r="K114" s="21">
        <f t="shared" si="13"/>
        <v>-3.0413625304136251E-3</v>
      </c>
      <c r="L114" s="21">
        <f t="shared" si="13"/>
        <v>-8.2644628099173556E-3</v>
      </c>
      <c r="M114" s="21">
        <f t="shared" si="13"/>
        <v>9.3841642228738673E-3</v>
      </c>
      <c r="N114" s="21">
        <f t="shared" si="13"/>
        <v>6.0901339829490101E-4</v>
      </c>
      <c r="O114" s="21">
        <f t="shared" si="13"/>
        <v>4.5325779036827843E-3</v>
      </c>
      <c r="P114" s="21">
        <f t="shared" si="13"/>
        <v>-1.070154577883462E-2</v>
      </c>
      <c r="Q114" s="21">
        <f t="shared" si="13"/>
        <v>-1.039501039501128E-3</v>
      </c>
      <c r="R114" s="21">
        <f t="shared" si="13"/>
        <v>8.3086053412463248E-3</v>
      </c>
      <c r="S114" s="21">
        <f t="shared" si="13"/>
        <v>1.2602394454946441E-2</v>
      </c>
      <c r="T114" s="21">
        <f t="shared" si="13"/>
        <v>8.9820359281437123E-3</v>
      </c>
      <c r="U114" s="21">
        <f t="shared" si="13"/>
        <v>6.7319461444308093E-3</v>
      </c>
      <c r="V114" s="21">
        <f t="shared" si="13"/>
        <v>6.0938452163311586E-4</v>
      </c>
      <c r="W114" s="21">
        <f t="shared" si="13"/>
        <v>5.6179775280899239E-3</v>
      </c>
      <c r="X114" s="21">
        <f t="shared" si="13"/>
        <v>4.6893317702228097E-3</v>
      </c>
      <c r="Y114" s="21">
        <f t="shared" si="13"/>
        <v>5.1380860629416276E-3</v>
      </c>
      <c r="Z114" s="21">
        <f t="shared" si="13"/>
        <v>3.735990037359865E-3</v>
      </c>
      <c r="AA114" s="21">
        <f t="shared" si="13"/>
        <v>1.8248175182480715E-3</v>
      </c>
      <c r="AB114" s="21">
        <f t="shared" si="13"/>
        <v>2.4600246002460377E-3</v>
      </c>
      <c r="AC114" s="21">
        <f t="shared" si="13"/>
        <v>4.3209876543209179E-3</v>
      </c>
      <c r="AD114" s="21">
        <f t="shared" si="13"/>
        <v>-3.0084235860409147E-3</v>
      </c>
    </row>
    <row r="115" spans="2:30" x14ac:dyDescent="0.3">
      <c r="B115" s="20">
        <f t="shared" si="0"/>
        <v>44593</v>
      </c>
      <c r="C115" s="21">
        <f t="shared" ref="C115:AD115" si="14">(C82-C81)/C81</f>
        <v>0.11104057112312367</v>
      </c>
      <c r="D115" s="21">
        <f t="shared" si="14"/>
        <v>3.3444816053511705E-3</v>
      </c>
      <c r="E115" s="21">
        <f t="shared" si="14"/>
        <v>9.5621540010065714E-3</v>
      </c>
      <c r="F115" s="21">
        <f t="shared" si="14"/>
        <v>-1.6778523489932886E-2</v>
      </c>
      <c r="G115" s="21">
        <f t="shared" si="14"/>
        <v>1.2461059190030444E-3</v>
      </c>
      <c r="H115" s="21">
        <f t="shared" si="14"/>
        <v>1.0828370330266219E-3</v>
      </c>
      <c r="I115" s="21">
        <f t="shared" si="14"/>
        <v>0</v>
      </c>
      <c r="J115" s="21">
        <f t="shared" si="14"/>
        <v>-2.6391279403327726E-2</v>
      </c>
      <c r="K115" s="21">
        <f t="shared" si="14"/>
        <v>-1.2202562538134048E-3</v>
      </c>
      <c r="L115" s="21">
        <f t="shared" si="14"/>
        <v>-9.1666666666666199E-3</v>
      </c>
      <c r="M115" s="21">
        <f t="shared" si="14"/>
        <v>1.2783265543288885E-2</v>
      </c>
      <c r="N115" s="21">
        <f t="shared" si="14"/>
        <v>2.4345709068775241E-3</v>
      </c>
      <c r="O115" s="21">
        <f t="shared" si="14"/>
        <v>3.948110547095254E-3</v>
      </c>
      <c r="P115" s="21">
        <f t="shared" si="14"/>
        <v>-1.2019230769231793E-3</v>
      </c>
      <c r="Q115" s="21">
        <f t="shared" si="14"/>
        <v>3.1217481789803476E-3</v>
      </c>
      <c r="R115" s="21">
        <f t="shared" si="14"/>
        <v>5.297233666862894E-3</v>
      </c>
      <c r="S115" s="21">
        <f t="shared" si="14"/>
        <v>1.0578718108276397E-2</v>
      </c>
      <c r="T115" s="21">
        <f t="shared" si="14"/>
        <v>6.5281899109791951E-3</v>
      </c>
      <c r="U115" s="21">
        <f t="shared" si="14"/>
        <v>6.0790273556231003E-3</v>
      </c>
      <c r="V115" s="21">
        <f t="shared" si="14"/>
        <v>9.1352009744214372E-3</v>
      </c>
      <c r="W115" s="21">
        <f t="shared" si="14"/>
        <v>4.3451272501552896E-3</v>
      </c>
      <c r="X115" s="21">
        <f t="shared" si="14"/>
        <v>4.6674445740955833E-3</v>
      </c>
      <c r="Y115" s="21">
        <f t="shared" si="14"/>
        <v>2.5559105431310269E-3</v>
      </c>
      <c r="Z115" s="21">
        <f t="shared" si="14"/>
        <v>5.5831265508685217E-3</v>
      </c>
      <c r="AA115" s="21">
        <f t="shared" si="14"/>
        <v>4.2501517911355015E-3</v>
      </c>
      <c r="AB115" s="21">
        <f t="shared" si="14"/>
        <v>8.5889570552147593E-3</v>
      </c>
      <c r="AC115" s="21">
        <f t="shared" si="14"/>
        <v>4.9170251997542186E-3</v>
      </c>
      <c r="AD115" s="21">
        <f t="shared" si="14"/>
        <v>2.4140012070006378E-3</v>
      </c>
    </row>
    <row r="116" spans="2:30" x14ac:dyDescent="0.3">
      <c r="B116" s="20">
        <f t="shared" si="0"/>
        <v>44621</v>
      </c>
      <c r="C116" s="21">
        <f t="shared" ref="C116:AD116" si="15">(C83-C82)/C82</f>
        <v>0.19993126557988886</v>
      </c>
      <c r="D116" s="21">
        <f t="shared" si="15"/>
        <v>8.6666666666667426E-3</v>
      </c>
      <c r="E116" s="21">
        <f t="shared" si="15"/>
        <v>5.0348953140578238E-2</v>
      </c>
      <c r="F116" s="21">
        <f t="shared" si="15"/>
        <v>-4.5506257110352673E-2</v>
      </c>
      <c r="G116" s="21">
        <f t="shared" si="15"/>
        <v>9.3341630367143758E-3</v>
      </c>
      <c r="H116" s="21">
        <f t="shared" si="15"/>
        <v>5.2460789616008592E-2</v>
      </c>
      <c r="I116" s="21">
        <f t="shared" si="15"/>
        <v>2.5374105400130163E-2</v>
      </c>
      <c r="J116" s="21">
        <f t="shared" si="15"/>
        <v>-1.6499705362404145E-2</v>
      </c>
      <c r="K116" s="21">
        <f t="shared" si="15"/>
        <v>1.2217470983507458E-3</v>
      </c>
      <c r="L116" s="21">
        <f t="shared" si="15"/>
        <v>-8.4104289318762419E-4</v>
      </c>
      <c r="M116" s="21">
        <f t="shared" si="15"/>
        <v>1.7785427423981606E-2</v>
      </c>
      <c r="N116" s="21">
        <f t="shared" si="15"/>
        <v>3.6429872495447649E-3</v>
      </c>
      <c r="O116" s="21">
        <f t="shared" si="15"/>
        <v>7.3033707865169176E-3</v>
      </c>
      <c r="P116" s="21">
        <f t="shared" si="15"/>
        <v>1.3237063778580128E-2</v>
      </c>
      <c r="Q116" s="21">
        <f t="shared" si="15"/>
        <v>4.6680497925310023E-3</v>
      </c>
      <c r="R116" s="21">
        <f t="shared" si="15"/>
        <v>7.6112412177984949E-3</v>
      </c>
      <c r="S116" s="21">
        <f t="shared" si="15"/>
        <v>1.354679802955658E-2</v>
      </c>
      <c r="T116" s="21">
        <f t="shared" si="15"/>
        <v>8.8443396226415092E-3</v>
      </c>
      <c r="U116" s="21">
        <f t="shared" si="15"/>
        <v>-1.2084592145014418E-3</v>
      </c>
      <c r="V116" s="21">
        <f t="shared" si="15"/>
        <v>9.0525045262522634E-3</v>
      </c>
      <c r="W116" s="21">
        <f t="shared" si="15"/>
        <v>6.180469715698393E-3</v>
      </c>
      <c r="X116" s="21">
        <f t="shared" si="15"/>
        <v>4.6457607433217848E-3</v>
      </c>
      <c r="Y116" s="21">
        <f t="shared" si="15"/>
        <v>6.3734862970044612E-3</v>
      </c>
      <c r="Z116" s="21">
        <f t="shared" si="15"/>
        <v>7.4028377544726534E-3</v>
      </c>
      <c r="AA116" s="21">
        <f t="shared" si="15"/>
        <v>3.6275695284159267E-3</v>
      </c>
      <c r="AB116" s="21">
        <f t="shared" si="15"/>
        <v>1.7031630170316198E-2</v>
      </c>
      <c r="AC116" s="21">
        <f t="shared" si="15"/>
        <v>6.7278287461773351E-3</v>
      </c>
      <c r="AD116" s="21">
        <f t="shared" si="15"/>
        <v>9.6327513546056245E-3</v>
      </c>
    </row>
    <row r="117" spans="2:30" x14ac:dyDescent="0.3">
      <c r="B117" s="20">
        <f t="shared" si="0"/>
        <v>44652</v>
      </c>
      <c r="C117" s="21">
        <f t="shared" ref="C117:AD117" si="16">(C84-C83)/C83</f>
        <v>-8.7785717712309114E-2</v>
      </c>
      <c r="D117" s="21">
        <f t="shared" si="16"/>
        <v>1.0575016523463279E-2</v>
      </c>
      <c r="E117" s="21">
        <f t="shared" si="16"/>
        <v>5.2206929283342323E-3</v>
      </c>
      <c r="F117" s="21">
        <f t="shared" si="16"/>
        <v>-1.9666269368295658E-2</v>
      </c>
      <c r="G117" s="21">
        <f t="shared" si="16"/>
        <v>1.0480887792848441E-2</v>
      </c>
      <c r="H117" s="21">
        <f t="shared" si="16"/>
        <v>2.5179856115107944E-2</v>
      </c>
      <c r="I117" s="21">
        <f t="shared" si="16"/>
        <v>9.5177664974619297E-2</v>
      </c>
      <c r="J117" s="21">
        <f t="shared" si="16"/>
        <v>-4.1941282204914143E-3</v>
      </c>
      <c r="K117" s="21">
        <f t="shared" si="16"/>
        <v>4.8810250152530989E-3</v>
      </c>
      <c r="L117" s="21">
        <f t="shared" si="16"/>
        <v>1.6835016835017075E-3</v>
      </c>
      <c r="M117" s="21">
        <f t="shared" si="16"/>
        <v>2.1984216459977484E-2</v>
      </c>
      <c r="N117" s="21">
        <f t="shared" si="16"/>
        <v>5.4446460980034916E-3</v>
      </c>
      <c r="O117" s="21">
        <f t="shared" si="16"/>
        <v>8.9235917456776028E-3</v>
      </c>
      <c r="P117" s="21">
        <f t="shared" si="16"/>
        <v>1.4251781472684119E-2</v>
      </c>
      <c r="Q117" s="21">
        <f t="shared" si="16"/>
        <v>1.0325245224574965E-3</v>
      </c>
      <c r="R117" s="21">
        <f t="shared" si="16"/>
        <v>1.0459035444509072E-2</v>
      </c>
      <c r="S117" s="21">
        <f t="shared" si="16"/>
        <v>1.1543134872418018E-2</v>
      </c>
      <c r="T117" s="21">
        <f t="shared" si="16"/>
        <v>9.9357101110462715E-3</v>
      </c>
      <c r="U117" s="21">
        <f t="shared" si="16"/>
        <v>1.0284331518451231E-2</v>
      </c>
      <c r="V117" s="21">
        <f t="shared" si="16"/>
        <v>2.9904306220095697E-2</v>
      </c>
      <c r="W117" s="21">
        <f t="shared" si="16"/>
        <v>7.371007371007301E-3</v>
      </c>
      <c r="X117" s="21">
        <f t="shared" si="16"/>
        <v>5.7803468208092483E-3</v>
      </c>
      <c r="Y117" s="21">
        <f t="shared" si="16"/>
        <v>2.9765674477517344E-2</v>
      </c>
      <c r="Z117" s="21">
        <f t="shared" si="16"/>
        <v>6.7360685854255618E-3</v>
      </c>
      <c r="AA117" s="21">
        <f t="shared" si="16"/>
        <v>5.4216867469879864E-3</v>
      </c>
      <c r="AB117" s="21">
        <f t="shared" si="16"/>
        <v>9.5693779904307587E-3</v>
      </c>
      <c r="AC117" s="21">
        <f t="shared" si="16"/>
        <v>1.3365735115431453E-2</v>
      </c>
      <c r="AD117" s="21">
        <f t="shared" si="16"/>
        <v>1.4311270125223648E-2</v>
      </c>
    </row>
    <row r="118" spans="2:30" x14ac:dyDescent="0.3">
      <c r="B118" s="20">
        <f t="shared" si="0"/>
        <v>44682</v>
      </c>
      <c r="C118" s="21">
        <f t="shared" ref="C118:AD118" si="17">(C85-C84)/C84</f>
        <v>6.3506788685496113E-2</v>
      </c>
      <c r="D118" s="21">
        <f t="shared" si="17"/>
        <v>7.848266841072522E-3</v>
      </c>
      <c r="E118" s="21">
        <f t="shared" si="17"/>
        <v>2.4551463644948011E-2</v>
      </c>
      <c r="F118" s="21">
        <f t="shared" si="17"/>
        <v>-1.2765957446808475E-2</v>
      </c>
      <c r="G118" s="21">
        <f t="shared" si="17"/>
        <v>6.1012812690665035E-3</v>
      </c>
      <c r="H118" s="21">
        <f t="shared" si="17"/>
        <v>1.4536340852130354E-2</v>
      </c>
      <c r="I118" s="21">
        <f t="shared" si="17"/>
        <v>-9.2699884125144513E-3</v>
      </c>
      <c r="J118" s="21">
        <f t="shared" si="17"/>
        <v>5.2346570397112019E-2</v>
      </c>
      <c r="K118" s="21">
        <f t="shared" si="17"/>
        <v>0</v>
      </c>
      <c r="L118" s="21">
        <f t="shared" si="17"/>
        <v>5.8823529411764948E-3</v>
      </c>
      <c r="M118" s="21">
        <f t="shared" si="17"/>
        <v>1.9856591285162681E-2</v>
      </c>
      <c r="N118" s="21">
        <f t="shared" si="17"/>
        <v>5.4151624548736807E-3</v>
      </c>
      <c r="O118" s="21">
        <f t="shared" si="17"/>
        <v>8.8446655610834399E-3</v>
      </c>
      <c r="P118" s="21">
        <f t="shared" si="17"/>
        <v>1.4637002341920374E-2</v>
      </c>
      <c r="Q118" s="21">
        <f t="shared" si="17"/>
        <v>1.0314595152139691E-3</v>
      </c>
      <c r="R118" s="21">
        <f t="shared" si="17"/>
        <v>9.7757331799884339E-3</v>
      </c>
      <c r="S118" s="21">
        <f t="shared" si="17"/>
        <v>1.1411411411411446E-2</v>
      </c>
      <c r="T118" s="21">
        <f t="shared" si="17"/>
        <v>1.0416666666666567E-2</v>
      </c>
      <c r="U118" s="21">
        <f t="shared" si="17"/>
        <v>2.9940119760479044E-3</v>
      </c>
      <c r="V118" s="21">
        <f t="shared" si="17"/>
        <v>1.3937282229965191E-2</v>
      </c>
      <c r="W118" s="21">
        <f t="shared" si="17"/>
        <v>7.3170731707316384E-3</v>
      </c>
      <c r="X118" s="21">
        <f t="shared" si="17"/>
        <v>4.5977011494253523E-3</v>
      </c>
      <c r="Y118" s="21">
        <f t="shared" si="17"/>
        <v>2.4600246002460377E-3</v>
      </c>
      <c r="Z118" s="21">
        <f t="shared" si="17"/>
        <v>4.257907542579006E-3</v>
      </c>
      <c r="AA118" s="21">
        <f t="shared" si="17"/>
        <v>5.9916117435590173E-3</v>
      </c>
      <c r="AB118" s="21">
        <f t="shared" si="17"/>
        <v>-2.3696682464455312E-3</v>
      </c>
      <c r="AC118" s="21">
        <f t="shared" si="17"/>
        <v>4.1966426858512504E-3</v>
      </c>
      <c r="AD118" s="21">
        <f t="shared" si="17"/>
        <v>9.4062316284538178E-3</v>
      </c>
    </row>
    <row r="119" spans="2:30" x14ac:dyDescent="0.3">
      <c r="B119" s="20">
        <f t="shared" si="0"/>
        <v>44713</v>
      </c>
      <c r="C119" s="21">
        <f t="shared" ref="C119:AD119" si="18">(C86-C85)/C85</f>
        <v>5.9415963389681525E-2</v>
      </c>
      <c r="D119" s="21">
        <f t="shared" si="18"/>
        <v>5.8403634003893947E-3</v>
      </c>
      <c r="E119" s="21">
        <f t="shared" si="18"/>
        <v>1.1059907834101408E-2</v>
      </c>
      <c r="F119" s="21">
        <f t="shared" si="18"/>
        <v>5.1724137931034517E-2</v>
      </c>
      <c r="G119" s="21">
        <f t="shared" si="18"/>
        <v>5.4578532443905741E-3</v>
      </c>
      <c r="H119" s="21">
        <f t="shared" si="18"/>
        <v>-7.411067193675889E-3</v>
      </c>
      <c r="I119" s="21">
        <f t="shared" si="18"/>
        <v>-7.6023391812866164E-3</v>
      </c>
      <c r="J119" s="21">
        <f t="shared" si="18"/>
        <v>4.230989136649517E-2</v>
      </c>
      <c r="K119" s="21">
        <f t="shared" si="18"/>
        <v>-2.4286581663629466E-3</v>
      </c>
      <c r="L119" s="21">
        <f t="shared" si="18"/>
        <v>1.6708437761069578E-3</v>
      </c>
      <c r="M119" s="21">
        <f t="shared" si="18"/>
        <v>1.1898323418063756E-2</v>
      </c>
      <c r="N119" s="21">
        <f t="shared" si="18"/>
        <v>4.7875523638540481E-3</v>
      </c>
      <c r="O119" s="21">
        <f t="shared" si="18"/>
        <v>7.6712328767123599E-3</v>
      </c>
      <c r="P119" s="21">
        <f t="shared" si="18"/>
        <v>9.2325447201384546E-3</v>
      </c>
      <c r="Q119" s="21">
        <f t="shared" si="18"/>
        <v>1.0303967027306391E-3</v>
      </c>
      <c r="R119" s="21">
        <f t="shared" si="18"/>
        <v>8.5421412300683373E-3</v>
      </c>
      <c r="S119" s="21">
        <f t="shared" si="18"/>
        <v>8.9073634204275536E-3</v>
      </c>
      <c r="T119" s="21">
        <f t="shared" si="18"/>
        <v>8.0183276059565042E-3</v>
      </c>
      <c r="U119" s="21">
        <f t="shared" si="18"/>
        <v>-4.1791044776118723E-3</v>
      </c>
      <c r="V119" s="21">
        <f t="shared" si="18"/>
        <v>8.0183276059565042E-3</v>
      </c>
      <c r="W119" s="21">
        <f t="shared" si="18"/>
        <v>7.2639225181599099E-3</v>
      </c>
      <c r="X119" s="21">
        <f t="shared" si="18"/>
        <v>3.4324942791761686E-3</v>
      </c>
      <c r="Y119" s="21">
        <f t="shared" si="18"/>
        <v>-1.1656441717791446E-2</v>
      </c>
      <c r="Z119" s="21">
        <f t="shared" si="18"/>
        <v>4.2398546335555244E-3</v>
      </c>
      <c r="AA119" s="21">
        <f t="shared" si="18"/>
        <v>6.5515187611673272E-3</v>
      </c>
      <c r="AB119" s="21">
        <f t="shared" si="18"/>
        <v>5.9382422802850355E-3</v>
      </c>
      <c r="AC119" s="21">
        <f t="shared" si="18"/>
        <v>0</v>
      </c>
      <c r="AD119" s="21">
        <f t="shared" si="18"/>
        <v>5.2417006406523343E-3</v>
      </c>
    </row>
    <row r="120" spans="2:30" x14ac:dyDescent="0.3">
      <c r="B120" s="20">
        <f t="shared" si="0"/>
        <v>44743</v>
      </c>
      <c r="C120" s="21">
        <f t="shared" ref="C120:AD120" si="19">(C87-C86)/C86</f>
        <v>-9.0681941866876919E-2</v>
      </c>
      <c r="D120" s="21">
        <f t="shared" si="19"/>
        <v>9.6774193548387101E-3</v>
      </c>
      <c r="E120" s="21">
        <f t="shared" si="19"/>
        <v>-2.9170464904284436E-2</v>
      </c>
      <c r="F120" s="21">
        <f t="shared" si="19"/>
        <v>2.5761124121779725E-2</v>
      </c>
      <c r="G120" s="21">
        <f t="shared" si="19"/>
        <v>4.8250904704462173E-3</v>
      </c>
      <c r="H120" s="21">
        <f t="shared" si="19"/>
        <v>-2.5385764061722219E-2</v>
      </c>
      <c r="I120" s="21">
        <f t="shared" si="19"/>
        <v>2.6517383618149679E-2</v>
      </c>
      <c r="J120" s="21">
        <f t="shared" si="19"/>
        <v>-1.0970927043336097E-3</v>
      </c>
      <c r="K120" s="21">
        <f t="shared" si="19"/>
        <v>0</v>
      </c>
      <c r="L120" s="21">
        <f t="shared" si="19"/>
        <v>8.3402835696408937E-4</v>
      </c>
      <c r="M120" s="21">
        <f t="shared" si="19"/>
        <v>1.5499732763228252E-2</v>
      </c>
      <c r="N120" s="21">
        <f t="shared" si="19"/>
        <v>2.9779630732578916E-3</v>
      </c>
      <c r="O120" s="21">
        <f t="shared" si="19"/>
        <v>7.0690592713430287E-3</v>
      </c>
      <c r="P120" s="21">
        <f t="shared" si="19"/>
        <v>5.7175528873638828E-4</v>
      </c>
      <c r="Q120" s="21">
        <f t="shared" si="19"/>
        <v>1.5440041173442251E-3</v>
      </c>
      <c r="R120" s="21">
        <f t="shared" si="19"/>
        <v>6.7758328627894812E-3</v>
      </c>
      <c r="S120" s="21">
        <f t="shared" si="19"/>
        <v>8.2401412595644822E-3</v>
      </c>
      <c r="T120" s="21">
        <f t="shared" si="19"/>
        <v>7.3863636363637013E-3</v>
      </c>
      <c r="U120" s="21">
        <f t="shared" si="19"/>
        <v>5.9952038369304557E-3</v>
      </c>
      <c r="V120" s="21">
        <f t="shared" si="19"/>
        <v>2.0454545454545423E-2</v>
      </c>
      <c r="W120" s="21">
        <f t="shared" si="19"/>
        <v>6.0096153846153841E-3</v>
      </c>
      <c r="X120" s="21">
        <f t="shared" si="19"/>
        <v>3.9908779931584299E-3</v>
      </c>
      <c r="Y120" s="21">
        <f t="shared" si="19"/>
        <v>3.1036623215394167E-3</v>
      </c>
      <c r="Z120" s="21">
        <f t="shared" si="19"/>
        <v>3.0156815440289505E-3</v>
      </c>
      <c r="AA120" s="21">
        <f t="shared" si="19"/>
        <v>1.4201183431952697E-2</v>
      </c>
      <c r="AB120" s="21">
        <f t="shared" si="19"/>
        <v>1.7709563164107611E-3</v>
      </c>
      <c r="AC120" s="21">
        <f t="shared" si="19"/>
        <v>5.3731343283582433E-3</v>
      </c>
      <c r="AD120" s="21">
        <f t="shared" si="19"/>
        <v>4.634994206257308E-3</v>
      </c>
    </row>
    <row r="121" spans="2:30" x14ac:dyDescent="0.3">
      <c r="B121" s="20">
        <f t="shared" si="0"/>
        <v>44774</v>
      </c>
      <c r="C121" s="21">
        <f t="shared" ref="C121:AD121" si="20">(C88-C87)/C87</f>
        <v>-7.6658321402549315E-2</v>
      </c>
      <c r="D121" s="21">
        <f t="shared" si="20"/>
        <v>2.4281150159744483E-2</v>
      </c>
      <c r="E121" s="21">
        <f t="shared" si="20"/>
        <v>-3.0516431924882629E-2</v>
      </c>
      <c r="F121" s="21">
        <f t="shared" si="20"/>
        <v>-3.4246575342465758E-2</v>
      </c>
      <c r="G121" s="21">
        <f t="shared" si="20"/>
        <v>9.00360144057623E-3</v>
      </c>
      <c r="H121" s="21">
        <f t="shared" si="20"/>
        <v>-1.7364657814096043E-2</v>
      </c>
      <c r="I121" s="21">
        <f t="shared" si="20"/>
        <v>-7.4626865671640818E-3</v>
      </c>
      <c r="J121" s="21">
        <f t="shared" si="20"/>
        <v>2.5260845689181737E-2</v>
      </c>
      <c r="K121" s="21">
        <f t="shared" si="20"/>
        <v>1.7650639074862917E-2</v>
      </c>
      <c r="L121" s="21">
        <f t="shared" si="20"/>
        <v>7.5000000000000474E-3</v>
      </c>
      <c r="M121" s="21">
        <f t="shared" si="20"/>
        <v>1.8947368421052602E-2</v>
      </c>
      <c r="N121" s="21">
        <f t="shared" si="20"/>
        <v>2.3752969121140478E-3</v>
      </c>
      <c r="O121" s="21">
        <f t="shared" si="20"/>
        <v>5.9395248380130824E-3</v>
      </c>
      <c r="P121" s="21">
        <f t="shared" si="20"/>
        <v>7.4285714285714935E-3</v>
      </c>
      <c r="Q121" s="21">
        <f t="shared" si="20"/>
        <v>2.0554984583761853E-3</v>
      </c>
      <c r="R121" s="21">
        <f t="shared" si="20"/>
        <v>6.7302299495232108E-3</v>
      </c>
      <c r="S121" s="21">
        <f t="shared" si="20"/>
        <v>8.1727962638644316E-3</v>
      </c>
      <c r="T121" s="21">
        <f t="shared" si="20"/>
        <v>6.7681895093061962E-3</v>
      </c>
      <c r="U121" s="21">
        <f t="shared" si="20"/>
        <v>7.1513706793801465E-3</v>
      </c>
      <c r="V121" s="21">
        <f t="shared" si="20"/>
        <v>-4.4543429844097048E-3</v>
      </c>
      <c r="W121" s="21">
        <f t="shared" si="20"/>
        <v>6.571087216248472E-3</v>
      </c>
      <c r="X121" s="21">
        <f t="shared" si="20"/>
        <v>3.9750141964793699E-3</v>
      </c>
      <c r="Y121" s="21">
        <f t="shared" si="20"/>
        <v>1.8564356435644268E-3</v>
      </c>
      <c r="Z121" s="21">
        <f t="shared" si="20"/>
        <v>3.6079374624172836E-3</v>
      </c>
      <c r="AA121" s="21">
        <f t="shared" si="20"/>
        <v>5.2508751458576761E-3</v>
      </c>
      <c r="AB121" s="21">
        <f t="shared" si="20"/>
        <v>8.8391278727165592E-3</v>
      </c>
      <c r="AC121" s="21">
        <f t="shared" si="20"/>
        <v>4.1567695961994573E-3</v>
      </c>
      <c r="AD121" s="21">
        <f t="shared" si="20"/>
        <v>5.1903114186851538E-3</v>
      </c>
    </row>
    <row r="122" spans="2:30" x14ac:dyDescent="0.3">
      <c r="B122" s="20">
        <f t="shared" si="0"/>
        <v>44805</v>
      </c>
      <c r="C122" s="21">
        <f t="shared" ref="C122:AD122" si="21">(C89-C88)/C88</f>
        <v>-6.8766052866020555E-2</v>
      </c>
      <c r="D122" s="21">
        <f t="shared" si="21"/>
        <v>1.9962570180910719E-2</v>
      </c>
      <c r="E122" s="21">
        <f t="shared" si="21"/>
        <v>1.3075060532687597E-2</v>
      </c>
      <c r="F122" s="21">
        <f t="shared" si="21"/>
        <v>2.9550827423167852E-3</v>
      </c>
      <c r="G122" s="21">
        <f t="shared" si="21"/>
        <v>9.5181439619273899E-3</v>
      </c>
      <c r="H122" s="21">
        <f t="shared" si="21"/>
        <v>-1.9230769230769319E-2</v>
      </c>
      <c r="I122" s="21">
        <f t="shared" si="21"/>
        <v>-4.1642567958357531E-2</v>
      </c>
      <c r="J122" s="21">
        <f t="shared" si="21"/>
        <v>2.7316550615961558E-2</v>
      </c>
      <c r="K122" s="21">
        <f t="shared" si="21"/>
        <v>1.1363636363636399E-2</v>
      </c>
      <c r="L122" s="21">
        <f t="shared" si="21"/>
        <v>5.7899090157153728E-3</v>
      </c>
      <c r="M122" s="21">
        <f t="shared" si="21"/>
        <v>1.9111570247933973E-2</v>
      </c>
      <c r="N122" s="21">
        <f t="shared" si="21"/>
        <v>3.5545023696682125E-3</v>
      </c>
      <c r="O122" s="21">
        <f t="shared" si="21"/>
        <v>5.9044551798174676E-3</v>
      </c>
      <c r="P122" s="21">
        <f t="shared" si="21"/>
        <v>8.5082246171298923E-3</v>
      </c>
      <c r="Q122" s="21">
        <f t="shared" si="21"/>
        <v>4.6153846153846444E-3</v>
      </c>
      <c r="R122" s="21">
        <f t="shared" si="21"/>
        <v>7.7994428969359649E-3</v>
      </c>
      <c r="S122" s="21">
        <f t="shared" si="21"/>
        <v>9.2646207295890154E-3</v>
      </c>
      <c r="T122" s="21">
        <f t="shared" si="21"/>
        <v>7.8431372549019919E-3</v>
      </c>
      <c r="U122" s="21">
        <f t="shared" si="21"/>
        <v>2.9585798816568047E-3</v>
      </c>
      <c r="V122" s="21">
        <f t="shared" si="21"/>
        <v>3.9149888143176093E-3</v>
      </c>
      <c r="W122" s="21">
        <f t="shared" si="21"/>
        <v>5.9347181008902079E-3</v>
      </c>
      <c r="X122" s="21">
        <f t="shared" si="21"/>
        <v>5.6561085972850677E-3</v>
      </c>
      <c r="Y122" s="21">
        <f t="shared" si="21"/>
        <v>2.470660901791264E-3</v>
      </c>
      <c r="Z122" s="21">
        <f t="shared" si="21"/>
        <v>4.1941282204912443E-3</v>
      </c>
      <c r="AA122" s="21">
        <f t="shared" si="21"/>
        <v>4.6430644225187636E-3</v>
      </c>
      <c r="AB122" s="21">
        <f t="shared" si="21"/>
        <v>-1.7523364485980313E-3</v>
      </c>
      <c r="AC122" s="21">
        <f t="shared" si="21"/>
        <v>3.548196333530422E-3</v>
      </c>
      <c r="AD122" s="21">
        <f t="shared" si="21"/>
        <v>5.737234652897303E-3</v>
      </c>
    </row>
    <row r="123" spans="2:30" x14ac:dyDescent="0.3">
      <c r="B123" s="20">
        <f t="shared" si="0"/>
        <v>44835</v>
      </c>
      <c r="C123" s="21">
        <f t="shared" ref="C123:AD123" si="22">(C90-C89)/C89</f>
        <v>1.0943048058662044E-2</v>
      </c>
      <c r="D123" s="21">
        <f t="shared" si="22"/>
        <v>1.0397553516819502E-2</v>
      </c>
      <c r="E123" s="21">
        <f t="shared" si="22"/>
        <v>8.1261950286807706E-3</v>
      </c>
      <c r="F123" s="21">
        <f t="shared" si="22"/>
        <v>7.0713022981733478E-3</v>
      </c>
      <c r="G123" s="21">
        <f t="shared" si="22"/>
        <v>7.0713022981733478E-3</v>
      </c>
      <c r="H123" s="21">
        <f t="shared" si="22"/>
        <v>-1.1658717541070422E-2</v>
      </c>
      <c r="I123" s="21">
        <f t="shared" si="22"/>
        <v>-1.1466505733252729E-2</v>
      </c>
      <c r="J123" s="21">
        <f t="shared" si="22"/>
        <v>4.118873826903012E-2</v>
      </c>
      <c r="K123" s="21">
        <f t="shared" si="22"/>
        <v>4.1395623891189656E-3</v>
      </c>
      <c r="L123" s="21">
        <f t="shared" si="22"/>
        <v>2.4671052631579883E-3</v>
      </c>
      <c r="M123" s="21">
        <f t="shared" si="22"/>
        <v>1.3177901672579798E-2</v>
      </c>
      <c r="N123" s="21">
        <f t="shared" si="22"/>
        <v>2.9515938606847697E-3</v>
      </c>
      <c r="O123" s="21">
        <f t="shared" si="22"/>
        <v>4.8025613660619302E-3</v>
      </c>
      <c r="P123" s="21">
        <f t="shared" si="22"/>
        <v>1.0123734533183255E-2</v>
      </c>
      <c r="Q123" s="21">
        <f t="shared" si="22"/>
        <v>2.0418580908627142E-3</v>
      </c>
      <c r="R123" s="21">
        <f t="shared" si="22"/>
        <v>5.5279159756771697E-3</v>
      </c>
      <c r="S123" s="21">
        <f t="shared" si="22"/>
        <v>5.737234652897303E-3</v>
      </c>
      <c r="T123" s="21">
        <f t="shared" si="22"/>
        <v>6.1145080600333197E-3</v>
      </c>
      <c r="U123" s="21">
        <f t="shared" si="22"/>
        <v>1.0029498525073679E-2</v>
      </c>
      <c r="V123" s="21">
        <f t="shared" si="22"/>
        <v>5.5710306406685237E-3</v>
      </c>
      <c r="W123" s="21">
        <f t="shared" si="22"/>
        <v>5.30973451327437E-3</v>
      </c>
      <c r="X123" s="21">
        <f t="shared" si="22"/>
        <v>5.0618672665915477E-3</v>
      </c>
      <c r="Y123" s="21">
        <f t="shared" si="22"/>
        <v>3.6968576709796321E-3</v>
      </c>
      <c r="Z123" s="21">
        <f t="shared" si="22"/>
        <v>3.579952267303069E-3</v>
      </c>
      <c r="AA123" s="21">
        <f t="shared" si="22"/>
        <v>1.7331022530329948E-3</v>
      </c>
      <c r="AB123" s="21">
        <f t="shared" si="22"/>
        <v>7.021650087770559E-3</v>
      </c>
      <c r="AC123" s="21">
        <f t="shared" si="22"/>
        <v>4.7142015321155655E-3</v>
      </c>
      <c r="AD123" s="21">
        <f t="shared" si="22"/>
        <v>7.9863091842554308E-3</v>
      </c>
    </row>
    <row r="124" spans="2:30" x14ac:dyDescent="0.3">
      <c r="B124" s="20">
        <f t="shared" si="0"/>
        <v>44866</v>
      </c>
      <c r="C124" s="21">
        <f t="shared" ref="C124:AD124" si="23">(C91-C90)/C90</f>
        <v>-4.5220612565410795E-2</v>
      </c>
      <c r="D124" s="21">
        <f t="shared" si="23"/>
        <v>1.3317191283293082E-2</v>
      </c>
      <c r="E124" s="21">
        <f t="shared" si="23"/>
        <v>-7.1123755334281651E-3</v>
      </c>
      <c r="F124" s="21">
        <f t="shared" si="23"/>
        <v>6.1439438267992974E-2</v>
      </c>
      <c r="G124" s="21">
        <f t="shared" si="23"/>
        <v>8.1919251023990971E-3</v>
      </c>
      <c r="H124" s="21">
        <f t="shared" si="23"/>
        <v>1.286863270777483E-2</v>
      </c>
      <c r="I124" s="21">
        <f t="shared" si="23"/>
        <v>-1.8925518925519063E-2</v>
      </c>
      <c r="J124" s="21">
        <f t="shared" si="23"/>
        <v>-8.3124687030545791E-2</v>
      </c>
      <c r="K124" s="21">
        <f t="shared" si="23"/>
        <v>4.1224970553591792E-3</v>
      </c>
      <c r="L124" s="21">
        <f t="shared" si="23"/>
        <v>1.640689089417462E-3</v>
      </c>
      <c r="M124" s="21">
        <f t="shared" si="23"/>
        <v>1.4507253626813434E-2</v>
      </c>
      <c r="N124" s="21">
        <f t="shared" si="23"/>
        <v>2.942907592701589E-3</v>
      </c>
      <c r="O124" s="21">
        <f t="shared" si="23"/>
        <v>6.3728093467869812E-3</v>
      </c>
      <c r="P124" s="21">
        <f t="shared" si="23"/>
        <v>-7.2383073496658295E-3</v>
      </c>
      <c r="Q124" s="21">
        <f t="shared" si="23"/>
        <v>3.0565461029036897E-3</v>
      </c>
      <c r="R124" s="21">
        <f t="shared" si="23"/>
        <v>6.5970313358987825E-3</v>
      </c>
      <c r="S124" s="21">
        <f t="shared" si="23"/>
        <v>5.1340559041641596E-3</v>
      </c>
      <c r="T124" s="21">
        <f t="shared" si="23"/>
        <v>6.0773480662983112E-3</v>
      </c>
      <c r="U124" s="21">
        <f t="shared" si="23"/>
        <v>3.5046728971963948E-3</v>
      </c>
      <c r="V124" s="21">
        <f t="shared" si="23"/>
        <v>4.4321329639889825E-3</v>
      </c>
      <c r="W124" s="21">
        <f t="shared" si="23"/>
        <v>5.8685446009389668E-3</v>
      </c>
      <c r="X124" s="21">
        <f t="shared" si="23"/>
        <v>6.1555679910465745E-3</v>
      </c>
      <c r="Y124" s="21">
        <f t="shared" si="23"/>
        <v>6.1387354205030267E-4</v>
      </c>
      <c r="Z124" s="21">
        <f t="shared" si="23"/>
        <v>1.7835909631391878E-3</v>
      </c>
      <c r="AA124" s="21">
        <f t="shared" si="23"/>
        <v>1.7301038062282753E-3</v>
      </c>
      <c r="AB124" s="21">
        <f t="shared" si="23"/>
        <v>8.7158628704241715E-3</v>
      </c>
      <c r="AC124" s="21">
        <f t="shared" si="23"/>
        <v>3.5190615835776792E-3</v>
      </c>
      <c r="AD124" s="21">
        <f t="shared" si="23"/>
        <v>-1.1318619128465684E-3</v>
      </c>
    </row>
    <row r="125" spans="2:30" x14ac:dyDescent="0.3">
      <c r="B125" s="20">
        <f t="shared" si="0"/>
        <v>44896</v>
      </c>
      <c r="C125" s="21">
        <f t="shared" ref="C125:AD125" si="24">(C92-C91)/C91</f>
        <v>-0.1079506472833215</v>
      </c>
      <c r="D125" s="21">
        <f t="shared" si="24"/>
        <v>1.0752688172042909E-2</v>
      </c>
      <c r="E125" s="21">
        <f t="shared" si="24"/>
        <v>-1.9102196752626823E-3</v>
      </c>
      <c r="F125" s="21">
        <f t="shared" si="24"/>
        <v>4.8511576626240255E-2</v>
      </c>
      <c r="G125" s="21">
        <f t="shared" si="24"/>
        <v>7.5449796865930518E-3</v>
      </c>
      <c r="H125" s="21">
        <f t="shared" si="24"/>
        <v>-2.1175224986765785E-3</v>
      </c>
      <c r="I125" s="21">
        <f t="shared" si="24"/>
        <v>-1.6801493466085806E-2</v>
      </c>
      <c r="J125" s="21">
        <f t="shared" si="24"/>
        <v>-0.12670671764063349</v>
      </c>
      <c r="K125" s="21">
        <f t="shared" si="24"/>
        <v>1.7595307917889231E-3</v>
      </c>
      <c r="L125" s="21">
        <f t="shared" si="24"/>
        <v>-2.457002457002434E-3</v>
      </c>
      <c r="M125" s="21">
        <f t="shared" si="24"/>
        <v>1.1834319526627106E-2</v>
      </c>
      <c r="N125" s="21">
        <f t="shared" si="24"/>
        <v>3.521126760563347E-3</v>
      </c>
      <c r="O125" s="21">
        <f t="shared" si="24"/>
        <v>4.2216358839050729E-3</v>
      </c>
      <c r="P125" s="21">
        <f t="shared" si="24"/>
        <v>-1.3460459899046581E-2</v>
      </c>
      <c r="Q125" s="21">
        <f t="shared" si="24"/>
        <v>2.031488065007647E-3</v>
      </c>
      <c r="R125" s="21">
        <f t="shared" si="24"/>
        <v>4.9153468050246079E-3</v>
      </c>
      <c r="S125" s="21">
        <f t="shared" si="24"/>
        <v>4.5402951191828118E-3</v>
      </c>
      <c r="T125" s="21">
        <f t="shared" si="24"/>
        <v>4.9423393739703777E-3</v>
      </c>
      <c r="U125" s="21">
        <f t="shared" si="24"/>
        <v>-6.4027939464494921E-3</v>
      </c>
      <c r="V125" s="21">
        <f t="shared" si="24"/>
        <v>3.8610038610037982E-3</v>
      </c>
      <c r="W125" s="21">
        <f t="shared" si="24"/>
        <v>4.0840140023336562E-3</v>
      </c>
      <c r="X125" s="21">
        <f t="shared" si="24"/>
        <v>7.2302558398219295E-3</v>
      </c>
      <c r="Y125" s="21">
        <f t="shared" si="24"/>
        <v>2.4539877300613845E-3</v>
      </c>
      <c r="Z125" s="21">
        <f t="shared" si="24"/>
        <v>2.3738872403561168E-3</v>
      </c>
      <c r="AA125" s="21">
        <f t="shared" si="24"/>
        <v>2.3028209556707293E-3</v>
      </c>
      <c r="AB125" s="21">
        <f t="shared" si="24"/>
        <v>1.2672811059907932E-2</v>
      </c>
      <c r="AC125" s="21">
        <f t="shared" si="24"/>
        <v>5.2600818234950653E-3</v>
      </c>
      <c r="AD125" s="21">
        <f t="shared" si="24"/>
        <v>-4.5325779036827843E-3</v>
      </c>
    </row>
    <row r="126" spans="2:30" x14ac:dyDescent="0.3">
      <c r="B126" s="20">
        <f t="shared" si="0"/>
        <v>44927</v>
      </c>
      <c r="C126" s="21">
        <f t="shared" ref="C126:AD126" si="25">(C93-C92)/C92</f>
        <v>3.6124114857364886E-2</v>
      </c>
      <c r="D126" s="21">
        <f t="shared" si="25"/>
        <v>2.7186761229314557E-2</v>
      </c>
      <c r="E126" s="21">
        <f t="shared" si="25"/>
        <v>8.1339712918659744E-3</v>
      </c>
      <c r="F126" s="21">
        <f t="shared" si="25"/>
        <v>2.2607781282860208E-2</v>
      </c>
      <c r="G126" s="21">
        <f t="shared" si="25"/>
        <v>5.7603686635944703E-3</v>
      </c>
      <c r="H126" s="21">
        <f t="shared" si="25"/>
        <v>-6.8965517241379917E-3</v>
      </c>
      <c r="I126" s="21">
        <f t="shared" si="25"/>
        <v>1.8987341772152618E-3</v>
      </c>
      <c r="J126" s="21">
        <f t="shared" si="25"/>
        <v>-3.7523452157598496E-2</v>
      </c>
      <c r="K126" s="21">
        <f t="shared" si="25"/>
        <v>5.854800936767817E-4</v>
      </c>
      <c r="L126" s="21">
        <f t="shared" si="25"/>
        <v>-5.7471264367816325E-3</v>
      </c>
      <c r="M126" s="21">
        <f t="shared" si="25"/>
        <v>1.5594541910331468E-2</v>
      </c>
      <c r="N126" s="21">
        <f t="shared" si="25"/>
        <v>2.339181286549741E-3</v>
      </c>
      <c r="O126" s="21">
        <f t="shared" si="25"/>
        <v>4.7293746715710832E-3</v>
      </c>
      <c r="P126" s="21">
        <f t="shared" si="25"/>
        <v>4.5480386583284984E-3</v>
      </c>
      <c r="Q126" s="21">
        <f t="shared" si="25"/>
        <v>4.5615813482005937E-3</v>
      </c>
      <c r="R126" s="21">
        <f t="shared" si="25"/>
        <v>4.8913043478261177E-3</v>
      </c>
      <c r="S126" s="21">
        <f t="shared" si="25"/>
        <v>3.3898305084745441E-3</v>
      </c>
      <c r="T126" s="21">
        <f t="shared" si="25"/>
        <v>4.3715846994536144E-3</v>
      </c>
      <c r="U126" s="21">
        <f t="shared" si="25"/>
        <v>8.201523140011751E-3</v>
      </c>
      <c r="V126" s="21">
        <f t="shared" si="25"/>
        <v>0</v>
      </c>
      <c r="W126" s="21">
        <f t="shared" si="25"/>
        <v>4.648460197559625E-3</v>
      </c>
      <c r="X126" s="21">
        <f t="shared" si="25"/>
        <v>6.6261733848703317E-3</v>
      </c>
      <c r="Y126" s="21">
        <f t="shared" si="25"/>
        <v>1.2239902080782657E-3</v>
      </c>
      <c r="Z126" s="21">
        <f t="shared" si="25"/>
        <v>3.5523978685612452E-3</v>
      </c>
      <c r="AA126" s="21">
        <f t="shared" si="25"/>
        <v>1.1487650775417408E-3</v>
      </c>
      <c r="AB126" s="21">
        <f t="shared" si="25"/>
        <v>1.5927189988623337E-2</v>
      </c>
      <c r="AC126" s="21">
        <f t="shared" si="25"/>
        <v>4.6511627906977403E-3</v>
      </c>
      <c r="AD126" s="21">
        <f t="shared" si="25"/>
        <v>4.5532157085942599E-3</v>
      </c>
    </row>
    <row r="127" spans="2:30" x14ac:dyDescent="0.3">
      <c r="B127" s="20">
        <f t="shared" si="0"/>
        <v>44958</v>
      </c>
      <c r="C127" s="21">
        <f t="shared" ref="C127:AD127" si="26">(C94-C93)/C93</f>
        <v>1.676222127830582E-2</v>
      </c>
      <c r="D127" s="21">
        <f t="shared" si="26"/>
        <v>3.4522439585730398E-3</v>
      </c>
      <c r="E127" s="21">
        <f t="shared" si="26"/>
        <v>-1.423825344091125E-2</v>
      </c>
      <c r="F127" s="21">
        <f t="shared" si="26"/>
        <v>-9.9228791773778982E-2</v>
      </c>
      <c r="G127" s="21">
        <f t="shared" si="26"/>
        <v>1.5463917525773294E-2</v>
      </c>
      <c r="H127" s="21">
        <f t="shared" si="26"/>
        <v>-4.2200854700854579E-2</v>
      </c>
      <c r="I127" s="21">
        <f t="shared" si="26"/>
        <v>7.0751737207833149E-2</v>
      </c>
      <c r="J127" s="21">
        <f t="shared" si="26"/>
        <v>-7.7972709551658026E-3</v>
      </c>
      <c r="K127" s="21">
        <f t="shared" si="26"/>
        <v>5.8513750731418557E-4</v>
      </c>
      <c r="L127" s="21">
        <f t="shared" si="26"/>
        <v>-9.0834021469859156E-3</v>
      </c>
      <c r="M127" s="21">
        <f t="shared" si="26"/>
        <v>6.2380038387715112E-3</v>
      </c>
      <c r="N127" s="21">
        <f t="shared" si="26"/>
        <v>5.2508751458576761E-3</v>
      </c>
      <c r="O127" s="21">
        <f t="shared" si="26"/>
        <v>9.4142259414226534E-3</v>
      </c>
      <c r="P127" s="21">
        <f t="shared" si="26"/>
        <v>1.6977928692700134E-3</v>
      </c>
      <c r="Q127" s="21">
        <f t="shared" si="26"/>
        <v>6.5590312815338621E-3</v>
      </c>
      <c r="R127" s="21">
        <f t="shared" si="26"/>
        <v>7.0308274743103453E-3</v>
      </c>
      <c r="S127" s="21">
        <f t="shared" si="26"/>
        <v>6.1936936936936617E-3</v>
      </c>
      <c r="T127" s="21">
        <f t="shared" si="26"/>
        <v>7.0729053318823879E-3</v>
      </c>
      <c r="U127" s="21">
        <f t="shared" si="26"/>
        <v>8.1348053457292614E-3</v>
      </c>
      <c r="V127" s="21">
        <f t="shared" si="26"/>
        <v>5.4945054945051823E-4</v>
      </c>
      <c r="W127" s="21">
        <f t="shared" si="26"/>
        <v>7.5187969924811037E-3</v>
      </c>
      <c r="X127" s="21">
        <f t="shared" si="26"/>
        <v>1.1519473395501889E-2</v>
      </c>
      <c r="Y127" s="21">
        <f t="shared" si="26"/>
        <v>3.6674816625916523E-3</v>
      </c>
      <c r="Z127" s="21">
        <f t="shared" si="26"/>
        <v>4.7197640117994768E-3</v>
      </c>
      <c r="AA127" s="21">
        <f t="shared" si="26"/>
        <v>4.016064257028047E-3</v>
      </c>
      <c r="AB127" s="21">
        <f t="shared" si="26"/>
        <v>1.3437849944008991E-2</v>
      </c>
      <c r="AC127" s="21">
        <f t="shared" si="26"/>
        <v>7.5231481481480489E-3</v>
      </c>
      <c r="AD127" s="21">
        <f t="shared" si="26"/>
        <v>3.9660056657223148E-3</v>
      </c>
    </row>
    <row r="128" spans="2:30" x14ac:dyDescent="0.3">
      <c r="B128" s="20">
        <f t="shared" si="0"/>
        <v>44986</v>
      </c>
      <c r="C128" s="21">
        <f t="shared" ref="C128:AD128" si="27">(C95-C94)/C94</f>
        <v>-4.5445857664744529E-2</v>
      </c>
      <c r="D128" s="21">
        <f t="shared" si="27"/>
        <v>0</v>
      </c>
      <c r="E128" s="21">
        <f t="shared" si="27"/>
        <v>0</v>
      </c>
      <c r="F128" s="21">
        <f t="shared" si="27"/>
        <v>0</v>
      </c>
      <c r="G128" s="21">
        <f t="shared" si="27"/>
        <v>0</v>
      </c>
      <c r="H128" s="21">
        <f t="shared" si="27"/>
        <v>-5.5772448410497898E-4</v>
      </c>
      <c r="I128" s="21">
        <f t="shared" si="27"/>
        <v>0</v>
      </c>
      <c r="J128" s="21">
        <f t="shared" si="27"/>
        <v>6.5487884741337755E-4</v>
      </c>
      <c r="K128" s="21">
        <f t="shared" si="27"/>
        <v>5.8479532163739363E-4</v>
      </c>
      <c r="L128" s="21">
        <f t="shared" si="27"/>
        <v>0</v>
      </c>
      <c r="M128" s="21">
        <f t="shared" si="27"/>
        <v>0</v>
      </c>
      <c r="N128" s="21">
        <f t="shared" si="27"/>
        <v>0</v>
      </c>
      <c r="O128" s="21">
        <f t="shared" si="27"/>
        <v>0</v>
      </c>
      <c r="P128" s="21">
        <f t="shared" si="27"/>
        <v>0</v>
      </c>
      <c r="Q128" s="21">
        <f t="shared" si="27"/>
        <v>0</v>
      </c>
      <c r="R128" s="21">
        <f t="shared" si="27"/>
        <v>-5.3705692803434116E-4</v>
      </c>
      <c r="S128" s="21">
        <f t="shared" si="27"/>
        <v>0</v>
      </c>
      <c r="T128" s="21">
        <f t="shared" si="27"/>
        <v>0</v>
      </c>
      <c r="U128" s="21">
        <f t="shared" si="27"/>
        <v>0</v>
      </c>
      <c r="V128" s="21">
        <f t="shared" si="27"/>
        <v>-1.0982976386600144E-3</v>
      </c>
      <c r="W128" s="21">
        <f t="shared" si="27"/>
        <v>0</v>
      </c>
      <c r="X128" s="21">
        <f t="shared" si="27"/>
        <v>0</v>
      </c>
      <c r="Y128" s="21">
        <f t="shared" si="27"/>
        <v>0</v>
      </c>
      <c r="Z128" s="21">
        <f t="shared" si="27"/>
        <v>0</v>
      </c>
      <c r="AA128" s="21">
        <f t="shared" si="27"/>
        <v>0</v>
      </c>
      <c r="AB128" s="21">
        <f t="shared" si="27"/>
        <v>0</v>
      </c>
      <c r="AC128" s="21">
        <f t="shared" si="27"/>
        <v>0</v>
      </c>
      <c r="AD128" s="21">
        <f t="shared" si="27"/>
        <v>0</v>
      </c>
    </row>
    <row r="129" spans="2:30" x14ac:dyDescent="0.3">
      <c r="B129" s="20">
        <f t="shared" si="0"/>
        <v>45017</v>
      </c>
      <c r="C129" s="21">
        <f t="shared" ref="C129:AD129" si="28">(C96-C95)/C95</f>
        <v>6.6410907167830421E-2</v>
      </c>
      <c r="D129" s="21">
        <f t="shared" si="28"/>
        <v>-3.4403669724770315E-3</v>
      </c>
      <c r="E129" s="21">
        <f t="shared" si="28"/>
        <v>7.7034183919115207E-3</v>
      </c>
      <c r="F129" s="21">
        <f t="shared" si="28"/>
        <v>-3.1963470319634674E-2</v>
      </c>
      <c r="G129" s="21">
        <f t="shared" si="28"/>
        <v>6.2041737168640398E-3</v>
      </c>
      <c r="H129" s="21">
        <f t="shared" si="28"/>
        <v>-2.3995535714285622E-2</v>
      </c>
      <c r="I129" s="21">
        <f t="shared" si="28"/>
        <v>4.0117994100295054E-2</v>
      </c>
      <c r="J129" s="21">
        <f t="shared" si="28"/>
        <v>1.7015706806282685E-2</v>
      </c>
      <c r="K129" s="21">
        <f t="shared" si="28"/>
        <v>1.3442431326709593E-2</v>
      </c>
      <c r="L129" s="21">
        <f t="shared" si="28"/>
        <v>1.0833333333333309E-2</v>
      </c>
      <c r="M129" s="21">
        <f t="shared" si="28"/>
        <v>1.5259895088221351E-2</v>
      </c>
      <c r="N129" s="21">
        <f t="shared" si="28"/>
        <v>3.4822983168891135E-3</v>
      </c>
      <c r="O129" s="21">
        <f t="shared" si="28"/>
        <v>2.5906735751295338E-3</v>
      </c>
      <c r="P129" s="21">
        <f t="shared" si="28"/>
        <v>5.0847457627118961E-3</v>
      </c>
      <c r="Q129" s="21">
        <f t="shared" si="28"/>
        <v>5.5137844611528536E-3</v>
      </c>
      <c r="R129" s="21">
        <f t="shared" si="28"/>
        <v>4.2987641053197816E-3</v>
      </c>
      <c r="S129" s="21">
        <f t="shared" si="28"/>
        <v>2.7979854504756579E-3</v>
      </c>
      <c r="T129" s="21">
        <f t="shared" si="28"/>
        <v>3.2414910858994833E-3</v>
      </c>
      <c r="U129" s="21">
        <f t="shared" si="28"/>
        <v>9.7982708933716921E-3</v>
      </c>
      <c r="V129" s="21">
        <f t="shared" si="28"/>
        <v>-1.0995052226499013E-3</v>
      </c>
      <c r="W129" s="21">
        <f t="shared" si="28"/>
        <v>2.2962112514351646E-3</v>
      </c>
      <c r="X129" s="21">
        <f t="shared" si="28"/>
        <v>3.2537960954446546E-3</v>
      </c>
      <c r="Y129" s="21">
        <f t="shared" si="28"/>
        <v>1.8270401948843567E-3</v>
      </c>
      <c r="Z129" s="21">
        <f t="shared" si="28"/>
        <v>2.3487962419258793E-3</v>
      </c>
      <c r="AA129" s="21">
        <f t="shared" si="28"/>
        <v>8.0000000000000331E-3</v>
      </c>
      <c r="AB129" s="21">
        <f t="shared" si="28"/>
        <v>1.6574585635359115E-2</v>
      </c>
      <c r="AC129" s="21">
        <f t="shared" si="28"/>
        <v>5.1694428489374254E-3</v>
      </c>
      <c r="AD129" s="21">
        <f t="shared" si="28"/>
        <v>5.0790067720090613E-3</v>
      </c>
    </row>
    <row r="130" spans="2:30" x14ac:dyDescent="0.3">
      <c r="B130" s="20">
        <f t="shared" si="0"/>
        <v>45047</v>
      </c>
      <c r="C130" s="21">
        <f t="shared" ref="C130:AD130" si="29">(C97-C96)/C96</f>
        <v>-0.10475521515911457</v>
      </c>
      <c r="D130" s="21">
        <f t="shared" si="29"/>
        <v>-5.7537399309564284E-4</v>
      </c>
      <c r="E130" s="21">
        <f t="shared" si="29"/>
        <v>2.3889154323936932E-2</v>
      </c>
      <c r="F130" s="21">
        <f t="shared" si="29"/>
        <v>2.122641509433959E-2</v>
      </c>
      <c r="G130" s="21">
        <f t="shared" si="29"/>
        <v>6.1659192825111791E-3</v>
      </c>
      <c r="H130" s="21">
        <f t="shared" si="29"/>
        <v>-2.801600914808465E-2</v>
      </c>
      <c r="I130" s="21">
        <f t="shared" si="29"/>
        <v>-2.32558139534885E-2</v>
      </c>
      <c r="J130" s="21">
        <f t="shared" si="29"/>
        <v>3.6036036036036001E-2</v>
      </c>
      <c r="K130" s="21">
        <f t="shared" si="29"/>
        <v>1.2687427912341341E-2</v>
      </c>
      <c r="L130" s="21">
        <f t="shared" si="29"/>
        <v>1.1541632316570533E-2</v>
      </c>
      <c r="M130" s="21">
        <f t="shared" si="29"/>
        <v>2.3954908407703118E-2</v>
      </c>
      <c r="N130" s="21">
        <f t="shared" si="29"/>
        <v>2.8918449971081549E-3</v>
      </c>
      <c r="O130" s="21">
        <f t="shared" si="29"/>
        <v>3.6175710594314658E-3</v>
      </c>
      <c r="P130" s="21">
        <f t="shared" si="29"/>
        <v>6.7453625632377095E-3</v>
      </c>
      <c r="Q130" s="21">
        <f t="shared" si="29"/>
        <v>1.9940179461615439E-3</v>
      </c>
      <c r="R130" s="21">
        <f t="shared" si="29"/>
        <v>2.1401819154628445E-3</v>
      </c>
      <c r="S130" s="21">
        <f t="shared" si="29"/>
        <v>2.7901785714285715E-3</v>
      </c>
      <c r="T130" s="21">
        <f t="shared" si="29"/>
        <v>2.6925148088314489E-3</v>
      </c>
      <c r="U130" s="21">
        <f t="shared" si="29"/>
        <v>2.2831050228310826E-3</v>
      </c>
      <c r="V130" s="21">
        <f t="shared" si="29"/>
        <v>6.0539350577876877E-3</v>
      </c>
      <c r="W130" s="21">
        <f t="shared" si="29"/>
        <v>3.4364261168384554E-3</v>
      </c>
      <c r="X130" s="21">
        <f t="shared" si="29"/>
        <v>3.7837837837837222E-3</v>
      </c>
      <c r="Y130" s="21">
        <f t="shared" si="29"/>
        <v>1.8237082066869992E-3</v>
      </c>
      <c r="Z130" s="21">
        <f t="shared" si="29"/>
        <v>2.9291154071470417E-3</v>
      </c>
      <c r="AA130" s="21">
        <f t="shared" si="29"/>
        <v>3.9682539682539038E-3</v>
      </c>
      <c r="AB130" s="21">
        <f t="shared" si="29"/>
        <v>6.5217391304347207E-3</v>
      </c>
      <c r="AC130" s="21">
        <f t="shared" si="29"/>
        <v>3.999999999999935E-3</v>
      </c>
      <c r="AD130" s="21">
        <f t="shared" si="29"/>
        <v>5.614823133071308E-3</v>
      </c>
    </row>
  </sheetData>
  <conditionalFormatting sqref="D37:D63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{633FAE93-EE5B-4DDA-9E8B-B14E166142B9}</x14:id>
        </ext>
      </extLst>
    </cfRule>
  </conditionalFormatting>
  <pageMargins left="0.7" right="0.7" top="0.75" bottom="0.75" header="0.3" footer="0.3"/>
  <drawing r:id="rId1"/>
  <tableParts count="3">
    <tablePart r:id="rId2"/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33FAE93-EE5B-4DDA-9E8B-B14E166142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D37:D63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C7FBC-1E3E-4A22-91B2-71879C84E067}">
  <sheetPr codeName="Sheet8"/>
  <dimension ref="A1:G113"/>
  <sheetViews>
    <sheetView workbookViewId="0">
      <selection activeCell="B13" sqref="B13"/>
    </sheetView>
  </sheetViews>
  <sheetFormatPr defaultRowHeight="14.4" x14ac:dyDescent="0.3"/>
  <cols>
    <col min="1" max="1" width="30.44140625" bestFit="1" customWidth="1"/>
    <col min="2" max="2" width="103.77734375" bestFit="1" customWidth="1"/>
    <col min="3" max="3" width="65.109375" bestFit="1" customWidth="1"/>
    <col min="4" max="4" width="57.5546875" bestFit="1" customWidth="1"/>
    <col min="5" max="5" width="17" customWidth="1"/>
    <col min="6" max="6" width="19.6640625" customWidth="1"/>
    <col min="7" max="7" width="20.44140625" customWidth="1"/>
  </cols>
  <sheetData>
    <row r="1" spans="1:4" x14ac:dyDescent="0.3">
      <c r="A1" s="106" t="s">
        <v>114</v>
      </c>
      <c r="B1" s="106"/>
    </row>
    <row r="2" spans="1:4" x14ac:dyDescent="0.3">
      <c r="A2" s="71" t="s">
        <v>88</v>
      </c>
      <c r="B2" s="76" t="s">
        <v>89</v>
      </c>
    </row>
    <row r="3" spans="1:4" x14ac:dyDescent="0.3">
      <c r="A3" s="67" t="s">
        <v>90</v>
      </c>
      <c r="B3" s="82">
        <f>ROWS(CPI_Data[])</f>
        <v>375</v>
      </c>
    </row>
    <row r="4" spans="1:4" x14ac:dyDescent="0.3">
      <c r="A4" s="67" t="s">
        <v>91</v>
      </c>
      <c r="B4" s="82">
        <f>COLUMNS(CPI_Data[])</f>
        <v>31</v>
      </c>
    </row>
    <row r="5" spans="1:4" x14ac:dyDescent="0.3">
      <c r="A5" s="67" t="s">
        <v>92</v>
      </c>
      <c r="B5" s="83">
        <f>MIN(CPI_Data[Date])</f>
        <v>41275</v>
      </c>
    </row>
    <row r="6" spans="1:4" x14ac:dyDescent="0.3">
      <c r="A6" s="67" t="s">
        <v>93</v>
      </c>
      <c r="B6" s="83">
        <f>MAX(CPI_Data[Date])</f>
        <v>45047</v>
      </c>
    </row>
    <row r="7" spans="1:4" x14ac:dyDescent="0.3">
      <c r="A7" s="67" t="s">
        <v>94</v>
      </c>
      <c r="B7" s="82">
        <f>COUNTA(_xlfn.UNIQUE(CPI_Data[Sector]))</f>
        <v>3</v>
      </c>
    </row>
    <row r="8" spans="1:4" x14ac:dyDescent="0.3">
      <c r="A8" s="67" t="s">
        <v>95</v>
      </c>
      <c r="B8" s="82">
        <f>(DATEDIF(B5,B6,"m")+1)*B7</f>
        <v>375</v>
      </c>
    </row>
    <row r="9" spans="1:4" x14ac:dyDescent="0.3">
      <c r="A9" s="67" t="s">
        <v>96</v>
      </c>
      <c r="B9" s="82">
        <f>B3</f>
        <v>375</v>
      </c>
    </row>
    <row r="10" spans="1:4" x14ac:dyDescent="0.3">
      <c r="A10" s="84" t="s">
        <v>97</v>
      </c>
      <c r="B10" s="85" t="str">
        <f>IF(B9=B8,"Complete","Incomplete")</f>
        <v>Complete</v>
      </c>
    </row>
    <row r="16" spans="1:4" ht="15.6" x14ac:dyDescent="0.3">
      <c r="A16" s="61" t="s">
        <v>49</v>
      </c>
      <c r="B16" s="62" t="s">
        <v>50</v>
      </c>
      <c r="C16" s="62" t="s">
        <v>51</v>
      </c>
      <c r="D16" s="63" t="s">
        <v>52</v>
      </c>
    </row>
    <row r="17" spans="1:4" ht="15.6" x14ac:dyDescent="0.3">
      <c r="A17" s="59" t="s">
        <v>0</v>
      </c>
      <c r="B17" s="4" t="s">
        <v>53</v>
      </c>
      <c r="C17" s="9" t="s">
        <v>83</v>
      </c>
      <c r="D17" s="60" t="s">
        <v>84</v>
      </c>
    </row>
    <row r="18" spans="1:4" ht="15.6" x14ac:dyDescent="0.3">
      <c r="A18" s="59" t="s">
        <v>1</v>
      </c>
      <c r="B18" s="4" t="s">
        <v>54</v>
      </c>
      <c r="C18" s="9" t="s">
        <v>83</v>
      </c>
      <c r="D18" s="60" t="s">
        <v>84</v>
      </c>
    </row>
    <row r="19" spans="1:4" ht="15.6" x14ac:dyDescent="0.3">
      <c r="A19" s="59" t="s">
        <v>2</v>
      </c>
      <c r="B19" s="4" t="s">
        <v>55</v>
      </c>
      <c r="C19" s="9" t="s">
        <v>86</v>
      </c>
      <c r="D19" s="60" t="s">
        <v>85</v>
      </c>
    </row>
    <row r="20" spans="1:4" ht="15.6" x14ac:dyDescent="0.3">
      <c r="A20" s="59" t="s">
        <v>3</v>
      </c>
      <c r="B20" s="4" t="s">
        <v>56</v>
      </c>
      <c r="C20" s="9" t="s">
        <v>100</v>
      </c>
      <c r="D20" s="60" t="s">
        <v>85</v>
      </c>
    </row>
    <row r="21" spans="1:4" ht="15.6" x14ac:dyDescent="0.3">
      <c r="A21" s="59" t="s">
        <v>4</v>
      </c>
      <c r="B21" s="4" t="s">
        <v>57</v>
      </c>
      <c r="C21" s="9" t="s">
        <v>100</v>
      </c>
      <c r="D21" s="60" t="s">
        <v>85</v>
      </c>
    </row>
    <row r="22" spans="1:4" ht="15.6" x14ac:dyDescent="0.3">
      <c r="A22" s="59" t="s">
        <v>5</v>
      </c>
      <c r="B22" s="4" t="s">
        <v>58</v>
      </c>
      <c r="C22" s="9" t="s">
        <v>100</v>
      </c>
      <c r="D22" s="60" t="s">
        <v>85</v>
      </c>
    </row>
    <row r="23" spans="1:4" ht="15.6" x14ac:dyDescent="0.3">
      <c r="A23" s="59" t="s">
        <v>6</v>
      </c>
      <c r="B23" s="4" t="s">
        <v>59</v>
      </c>
      <c r="C23" s="9" t="s">
        <v>100</v>
      </c>
      <c r="D23" s="60" t="s">
        <v>85</v>
      </c>
    </row>
    <row r="24" spans="1:4" ht="15.6" x14ac:dyDescent="0.3">
      <c r="A24" s="59" t="s">
        <v>7</v>
      </c>
      <c r="B24" s="4" t="s">
        <v>60</v>
      </c>
      <c r="C24" s="9" t="s">
        <v>100</v>
      </c>
      <c r="D24" s="60" t="s">
        <v>85</v>
      </c>
    </row>
    <row r="25" spans="1:4" ht="15.6" x14ac:dyDescent="0.3">
      <c r="A25" s="59" t="s">
        <v>8</v>
      </c>
      <c r="B25" s="4" t="s">
        <v>61</v>
      </c>
      <c r="C25" s="9" t="s">
        <v>100</v>
      </c>
      <c r="D25" s="60" t="s">
        <v>85</v>
      </c>
    </row>
    <row r="26" spans="1:4" ht="15.6" x14ac:dyDescent="0.3">
      <c r="A26" s="59" t="s">
        <v>9</v>
      </c>
      <c r="B26" s="4" t="s">
        <v>62</v>
      </c>
      <c r="C26" s="9" t="s">
        <v>100</v>
      </c>
      <c r="D26" s="60" t="s">
        <v>85</v>
      </c>
    </row>
    <row r="27" spans="1:4" ht="15.6" x14ac:dyDescent="0.3">
      <c r="A27" s="59" t="s">
        <v>10</v>
      </c>
      <c r="B27" s="4" t="s">
        <v>63</v>
      </c>
      <c r="C27" s="9" t="s">
        <v>100</v>
      </c>
      <c r="D27" s="60" t="s">
        <v>85</v>
      </c>
    </row>
    <row r="28" spans="1:4" ht="15.6" x14ac:dyDescent="0.3">
      <c r="A28" s="59" t="s">
        <v>11</v>
      </c>
      <c r="B28" s="4" t="s">
        <v>64</v>
      </c>
      <c r="C28" s="9" t="s">
        <v>100</v>
      </c>
      <c r="D28" s="60" t="s">
        <v>85</v>
      </c>
    </row>
    <row r="29" spans="1:4" ht="15.6" x14ac:dyDescent="0.3">
      <c r="A29" s="59" t="s">
        <v>12</v>
      </c>
      <c r="B29" s="4" t="s">
        <v>65</v>
      </c>
      <c r="C29" s="9" t="s">
        <v>100</v>
      </c>
      <c r="D29" s="60" t="s">
        <v>85</v>
      </c>
    </row>
    <row r="30" spans="1:4" ht="15.6" x14ac:dyDescent="0.3">
      <c r="A30" s="59" t="s">
        <v>13</v>
      </c>
      <c r="B30" s="4" t="s">
        <v>66</v>
      </c>
      <c r="C30" s="9" t="s">
        <v>100</v>
      </c>
      <c r="D30" s="60" t="s">
        <v>85</v>
      </c>
    </row>
    <row r="31" spans="1:4" ht="15.6" x14ac:dyDescent="0.3">
      <c r="A31" s="59" t="s">
        <v>14</v>
      </c>
      <c r="B31" s="4" t="s">
        <v>67</v>
      </c>
      <c r="C31" s="9" t="s">
        <v>100</v>
      </c>
      <c r="D31" s="60" t="s">
        <v>85</v>
      </c>
    </row>
    <row r="32" spans="1:4" ht="15.6" x14ac:dyDescent="0.3">
      <c r="A32" s="59" t="s">
        <v>15</v>
      </c>
      <c r="B32" s="4" t="s">
        <v>68</v>
      </c>
      <c r="C32" s="9" t="s">
        <v>100</v>
      </c>
      <c r="D32" s="60" t="s">
        <v>85</v>
      </c>
    </row>
    <row r="33" spans="1:4" ht="15.6" x14ac:dyDescent="0.3">
      <c r="A33" s="59" t="s">
        <v>16</v>
      </c>
      <c r="B33" s="4" t="s">
        <v>69</v>
      </c>
      <c r="C33" s="9" t="s">
        <v>100</v>
      </c>
      <c r="D33" s="60" t="s">
        <v>85</v>
      </c>
    </row>
    <row r="34" spans="1:4" ht="15.6" x14ac:dyDescent="0.3">
      <c r="A34" s="59" t="s">
        <v>17</v>
      </c>
      <c r="B34" s="4" t="s">
        <v>70</v>
      </c>
      <c r="C34" s="9" t="s">
        <v>100</v>
      </c>
      <c r="D34" s="60" t="s">
        <v>85</v>
      </c>
    </row>
    <row r="35" spans="1:4" ht="15.6" x14ac:dyDescent="0.3">
      <c r="A35" s="59" t="s">
        <v>18</v>
      </c>
      <c r="B35" s="4" t="s">
        <v>71</v>
      </c>
      <c r="C35" s="9" t="s">
        <v>100</v>
      </c>
      <c r="D35" s="60" t="s">
        <v>85</v>
      </c>
    </row>
    <row r="36" spans="1:4" ht="15.6" x14ac:dyDescent="0.3">
      <c r="A36" s="59" t="s">
        <v>19</v>
      </c>
      <c r="B36" s="4" t="s">
        <v>72</v>
      </c>
      <c r="C36" s="9" t="s">
        <v>100</v>
      </c>
      <c r="D36" s="60" t="s">
        <v>85</v>
      </c>
    </row>
    <row r="37" spans="1:4" ht="15.6" x14ac:dyDescent="0.3">
      <c r="A37" s="59" t="s">
        <v>20</v>
      </c>
      <c r="B37" s="4" t="s">
        <v>73</v>
      </c>
      <c r="C37" s="9" t="s">
        <v>101</v>
      </c>
      <c r="D37" s="60" t="s">
        <v>102</v>
      </c>
    </row>
    <row r="38" spans="1:4" ht="15.6" x14ac:dyDescent="0.3">
      <c r="A38" s="59" t="s">
        <v>21</v>
      </c>
      <c r="B38" s="4" t="s">
        <v>74</v>
      </c>
      <c r="C38" s="9" t="s">
        <v>100</v>
      </c>
      <c r="D38" s="60" t="s">
        <v>85</v>
      </c>
    </row>
    <row r="39" spans="1:4" ht="15.6" x14ac:dyDescent="0.3">
      <c r="A39" s="59" t="s">
        <v>22</v>
      </c>
      <c r="B39" s="4" t="s">
        <v>75</v>
      </c>
      <c r="C39" s="9" t="s">
        <v>100</v>
      </c>
      <c r="D39" s="60" t="s">
        <v>85</v>
      </c>
    </row>
    <row r="40" spans="1:4" ht="15.6" x14ac:dyDescent="0.3">
      <c r="A40" s="59" t="s">
        <v>23</v>
      </c>
      <c r="B40" s="4" t="s">
        <v>76</v>
      </c>
      <c r="C40" s="9" t="s">
        <v>100</v>
      </c>
      <c r="D40" s="60" t="s">
        <v>85</v>
      </c>
    </row>
    <row r="41" spans="1:4" ht="15.6" x14ac:dyDescent="0.3">
      <c r="A41" s="59" t="s">
        <v>24</v>
      </c>
      <c r="B41" s="4" t="s">
        <v>77</v>
      </c>
      <c r="C41" s="9" t="s">
        <v>100</v>
      </c>
      <c r="D41" s="60" t="s">
        <v>85</v>
      </c>
    </row>
    <row r="42" spans="1:4" ht="15.6" x14ac:dyDescent="0.3">
      <c r="A42" s="59" t="s">
        <v>25</v>
      </c>
      <c r="B42" s="4" t="s">
        <v>78</v>
      </c>
      <c r="C42" s="9" t="s">
        <v>100</v>
      </c>
      <c r="D42" s="60" t="s">
        <v>85</v>
      </c>
    </row>
    <row r="43" spans="1:4" ht="15.6" x14ac:dyDescent="0.3">
      <c r="A43" s="59" t="s">
        <v>26</v>
      </c>
      <c r="B43" s="4" t="s">
        <v>79</v>
      </c>
      <c r="C43" s="9" t="s">
        <v>100</v>
      </c>
      <c r="D43" s="60" t="s">
        <v>85</v>
      </c>
    </row>
    <row r="44" spans="1:4" ht="15.6" x14ac:dyDescent="0.3">
      <c r="A44" s="59" t="s">
        <v>27</v>
      </c>
      <c r="B44" s="4" t="s">
        <v>80</v>
      </c>
      <c r="C44" s="9" t="s">
        <v>100</v>
      </c>
      <c r="D44" s="60" t="s">
        <v>85</v>
      </c>
    </row>
    <row r="45" spans="1:4" ht="15.6" x14ac:dyDescent="0.3">
      <c r="A45" s="59" t="s">
        <v>28</v>
      </c>
      <c r="B45" s="4" t="s">
        <v>81</v>
      </c>
      <c r="C45" s="9" t="s">
        <v>100</v>
      </c>
      <c r="D45" s="60" t="s">
        <v>85</v>
      </c>
    </row>
    <row r="46" spans="1:4" ht="15.6" x14ac:dyDescent="0.3">
      <c r="A46" s="58" t="s">
        <v>29</v>
      </c>
      <c r="B46" s="64" t="s">
        <v>82</v>
      </c>
      <c r="C46" s="65" t="s">
        <v>100</v>
      </c>
      <c r="D46" s="66" t="s">
        <v>85</v>
      </c>
    </row>
    <row r="49" spans="1:4" x14ac:dyDescent="0.3">
      <c r="A49" s="96" t="s">
        <v>103</v>
      </c>
      <c r="B49" s="97"/>
      <c r="C49" s="97"/>
    </row>
    <row r="53" spans="1:4" x14ac:dyDescent="0.3">
      <c r="A53" s="98" t="s">
        <v>105</v>
      </c>
      <c r="B53" s="99"/>
      <c r="C53" s="99"/>
      <c r="D53" s="100"/>
    </row>
    <row r="54" spans="1:4" x14ac:dyDescent="0.3">
      <c r="A54" s="101"/>
      <c r="B54" s="102"/>
      <c r="C54" s="102"/>
      <c r="D54" s="103"/>
    </row>
    <row r="55" spans="1:4" x14ac:dyDescent="0.3">
      <c r="A55" s="71" t="s">
        <v>98</v>
      </c>
      <c r="B55" s="75" t="s">
        <v>30</v>
      </c>
      <c r="C55" s="75" t="s">
        <v>33</v>
      </c>
      <c r="D55" s="76" t="s">
        <v>99</v>
      </c>
    </row>
    <row r="56" spans="1:4" x14ac:dyDescent="0.3">
      <c r="A56" s="67" t="s">
        <v>3</v>
      </c>
      <c r="B56" s="5">
        <v>137.1</v>
      </c>
      <c r="C56" s="5">
        <v>140.1</v>
      </c>
      <c r="D56" s="69">
        <v>138</v>
      </c>
    </row>
    <row r="57" spans="1:4" x14ac:dyDescent="0.3">
      <c r="A57" s="67" t="s">
        <v>4</v>
      </c>
      <c r="B57" s="5">
        <v>156.19999999999999</v>
      </c>
      <c r="C57" s="5">
        <v>153.6</v>
      </c>
      <c r="D57" s="69">
        <v>155.30000000000001</v>
      </c>
    </row>
    <row r="58" spans="1:4" x14ac:dyDescent="0.3">
      <c r="A58" s="67" t="s">
        <v>5</v>
      </c>
      <c r="B58" s="5">
        <v>134.69999999999999</v>
      </c>
      <c r="C58" s="5">
        <v>139.4</v>
      </c>
      <c r="D58" s="69">
        <v>136.5</v>
      </c>
    </row>
    <row r="59" spans="1:4" x14ac:dyDescent="0.3">
      <c r="A59" s="67" t="s">
        <v>6</v>
      </c>
      <c r="B59" s="5">
        <v>142.4</v>
      </c>
      <c r="C59" s="5">
        <v>141.9</v>
      </c>
      <c r="D59" s="69">
        <v>142.19999999999999</v>
      </c>
    </row>
    <row r="60" spans="1:4" x14ac:dyDescent="0.3">
      <c r="A60" s="67" t="s">
        <v>7</v>
      </c>
      <c r="B60" s="5">
        <v>124</v>
      </c>
      <c r="C60" s="5">
        <v>118.4</v>
      </c>
      <c r="D60" s="69">
        <v>121.9</v>
      </c>
    </row>
    <row r="61" spans="1:4" x14ac:dyDescent="0.3">
      <c r="A61" s="67" t="s">
        <v>8</v>
      </c>
      <c r="B61" s="5">
        <v>143.69999999999999</v>
      </c>
      <c r="C61" s="5">
        <v>148.6</v>
      </c>
      <c r="D61" s="69">
        <v>146</v>
      </c>
    </row>
    <row r="62" spans="1:4" x14ac:dyDescent="0.3">
      <c r="A62" s="67" t="s">
        <v>9</v>
      </c>
      <c r="B62" s="5">
        <v>129.30000000000001</v>
      </c>
      <c r="C62" s="5">
        <v>150.1</v>
      </c>
      <c r="D62" s="69">
        <v>136.4</v>
      </c>
    </row>
    <row r="63" spans="1:4" x14ac:dyDescent="0.3">
      <c r="A63" s="67" t="s">
        <v>10</v>
      </c>
      <c r="B63" s="5">
        <v>122.8</v>
      </c>
      <c r="C63" s="5">
        <v>121.7</v>
      </c>
      <c r="D63" s="69">
        <v>122.4</v>
      </c>
    </row>
    <row r="64" spans="1:4" x14ac:dyDescent="0.3">
      <c r="A64" s="67" t="s">
        <v>11</v>
      </c>
      <c r="B64" s="5">
        <v>108.4</v>
      </c>
      <c r="C64" s="5">
        <v>110.4</v>
      </c>
      <c r="D64" s="69">
        <v>109.1</v>
      </c>
    </row>
    <row r="65" spans="1:4" x14ac:dyDescent="0.3">
      <c r="A65" s="67" t="s">
        <v>12</v>
      </c>
      <c r="B65" s="5">
        <v>138.69999999999999</v>
      </c>
      <c r="C65" s="5">
        <v>140.4</v>
      </c>
      <c r="D65" s="69">
        <v>139.30000000000001</v>
      </c>
    </row>
    <row r="66" spans="1:4" x14ac:dyDescent="0.3">
      <c r="A66" s="67" t="s">
        <v>13</v>
      </c>
      <c r="B66" s="5">
        <v>137.5</v>
      </c>
      <c r="C66" s="5">
        <v>128.69999999999999</v>
      </c>
      <c r="D66" s="69">
        <v>133.80000000000001</v>
      </c>
    </row>
    <row r="67" spans="1:4" x14ac:dyDescent="0.3">
      <c r="A67" s="67" t="s">
        <v>14</v>
      </c>
      <c r="B67" s="5">
        <v>156.30000000000001</v>
      </c>
      <c r="C67" s="5">
        <v>154.19999999999999</v>
      </c>
      <c r="D67" s="69">
        <v>155.30000000000001</v>
      </c>
    </row>
    <row r="68" spans="1:4" x14ac:dyDescent="0.3">
      <c r="A68" s="67" t="s">
        <v>15</v>
      </c>
      <c r="B68" s="5">
        <v>138</v>
      </c>
      <c r="C68" s="5">
        <v>141.69999999999999</v>
      </c>
      <c r="D68" s="69">
        <v>139.4</v>
      </c>
    </row>
    <row r="69" spans="1:4" x14ac:dyDescent="0.3">
      <c r="A69" s="67" t="s">
        <v>16</v>
      </c>
      <c r="B69" s="5">
        <v>162.9</v>
      </c>
      <c r="C69" s="5">
        <v>165.7</v>
      </c>
      <c r="D69" s="69">
        <v>163.6</v>
      </c>
    </row>
    <row r="70" spans="1:4" x14ac:dyDescent="0.3">
      <c r="A70" s="67" t="s">
        <v>17</v>
      </c>
      <c r="B70" s="5">
        <v>150.80000000000001</v>
      </c>
      <c r="C70" s="5">
        <v>143.9</v>
      </c>
      <c r="D70" s="69">
        <v>148.1</v>
      </c>
    </row>
    <row r="71" spans="1:4" x14ac:dyDescent="0.3">
      <c r="A71" s="67" t="s">
        <v>18</v>
      </c>
      <c r="B71" s="5">
        <v>146.19999999999999</v>
      </c>
      <c r="C71" s="5">
        <v>131.30000000000001</v>
      </c>
      <c r="D71" s="69">
        <v>140</v>
      </c>
    </row>
    <row r="72" spans="1:4" x14ac:dyDescent="0.3">
      <c r="A72" s="67" t="s">
        <v>19</v>
      </c>
      <c r="B72" s="5">
        <v>150.19999999999999</v>
      </c>
      <c r="C72" s="5">
        <v>142</v>
      </c>
      <c r="D72" s="69">
        <v>146.9</v>
      </c>
    </row>
    <row r="73" spans="1:4" x14ac:dyDescent="0.3">
      <c r="A73" s="68" t="s">
        <v>20</v>
      </c>
      <c r="B73" s="6"/>
      <c r="C73" s="6">
        <v>149.69999999999999</v>
      </c>
      <c r="D73" s="70">
        <v>149.69999999999999</v>
      </c>
    </row>
    <row r="74" spans="1:4" x14ac:dyDescent="0.3">
      <c r="A74" s="67" t="s">
        <v>21</v>
      </c>
      <c r="B74" s="5">
        <v>146.6</v>
      </c>
      <c r="C74" s="5">
        <v>129.1</v>
      </c>
      <c r="D74" s="69">
        <v>140</v>
      </c>
    </row>
    <row r="75" spans="1:4" x14ac:dyDescent="0.3">
      <c r="A75" s="67" t="s">
        <v>22</v>
      </c>
      <c r="B75" s="5">
        <v>149.4</v>
      </c>
      <c r="C75" s="5">
        <v>136.9</v>
      </c>
      <c r="D75" s="69">
        <v>143.5</v>
      </c>
    </row>
    <row r="76" spans="1:4" x14ac:dyDescent="0.3">
      <c r="A76" s="67" t="s">
        <v>23</v>
      </c>
      <c r="B76" s="5">
        <v>151</v>
      </c>
      <c r="C76" s="5">
        <v>139.5</v>
      </c>
      <c r="D76" s="69">
        <v>146.6</v>
      </c>
    </row>
    <row r="77" spans="1:4" x14ac:dyDescent="0.3">
      <c r="A77" s="67" t="s">
        <v>24</v>
      </c>
      <c r="B77" s="5">
        <v>130.19999999999999</v>
      </c>
      <c r="C77" s="5">
        <v>120.2</v>
      </c>
      <c r="D77" s="69">
        <v>124.9</v>
      </c>
    </row>
    <row r="78" spans="1:4" x14ac:dyDescent="0.3">
      <c r="A78" s="67" t="s">
        <v>25</v>
      </c>
      <c r="B78" s="5">
        <v>144.9</v>
      </c>
      <c r="C78" s="5">
        <v>133.80000000000001</v>
      </c>
      <c r="D78" s="69">
        <v>138.6</v>
      </c>
    </row>
    <row r="79" spans="1:4" x14ac:dyDescent="0.3">
      <c r="A79" s="67" t="s">
        <v>26</v>
      </c>
      <c r="B79" s="5">
        <v>156.30000000000001</v>
      </c>
      <c r="C79" s="5">
        <v>147.6</v>
      </c>
      <c r="D79" s="69">
        <v>151.19999999999999</v>
      </c>
    </row>
    <row r="80" spans="1:4" x14ac:dyDescent="0.3">
      <c r="A80" s="67" t="s">
        <v>27</v>
      </c>
      <c r="B80" s="5">
        <v>133.69999999999999</v>
      </c>
      <c r="C80" s="5">
        <v>132.4</v>
      </c>
      <c r="D80" s="69">
        <v>133.19999999999999</v>
      </c>
    </row>
    <row r="81" spans="1:7" x14ac:dyDescent="0.3">
      <c r="A81" s="67" t="s">
        <v>28</v>
      </c>
      <c r="B81" s="5">
        <v>142.6</v>
      </c>
      <c r="C81" s="5">
        <v>133.1</v>
      </c>
      <c r="D81" s="69">
        <v>138</v>
      </c>
    </row>
    <row r="82" spans="1:7" x14ac:dyDescent="0.3">
      <c r="A82" s="72" t="s">
        <v>29</v>
      </c>
      <c r="B82" s="73">
        <v>141.69999999999999</v>
      </c>
      <c r="C82" s="73">
        <v>140.5</v>
      </c>
      <c r="D82" s="74">
        <v>141.1</v>
      </c>
    </row>
    <row r="85" spans="1:7" ht="42" customHeight="1" x14ac:dyDescent="0.3">
      <c r="A85" s="104" t="s">
        <v>113</v>
      </c>
      <c r="B85" s="105"/>
      <c r="C85" s="105"/>
      <c r="D85" s="105"/>
      <c r="E85" s="105"/>
      <c r="F85" s="105"/>
      <c r="G85" s="105"/>
    </row>
    <row r="86" spans="1:7" x14ac:dyDescent="0.3">
      <c r="A86" s="78" t="s">
        <v>106</v>
      </c>
      <c r="B86" s="79" t="s">
        <v>107</v>
      </c>
      <c r="C86" s="79" t="s">
        <v>108</v>
      </c>
      <c r="D86" s="79" t="s">
        <v>109</v>
      </c>
      <c r="E86" s="79" t="s">
        <v>110</v>
      </c>
      <c r="F86" s="79" t="s">
        <v>111</v>
      </c>
      <c r="G86" s="80" t="s">
        <v>112</v>
      </c>
    </row>
    <row r="87" spans="1:7" x14ac:dyDescent="0.3">
      <c r="A87" s="59" t="s">
        <v>3</v>
      </c>
      <c r="B87" s="4">
        <v>147.19999999999999</v>
      </c>
      <c r="C87" s="4">
        <v>147.5</v>
      </c>
      <c r="D87" s="4">
        <v>151.80000000000001</v>
      </c>
      <c r="E87" s="4">
        <v>150.4</v>
      </c>
      <c r="F87" s="4">
        <v>148.69999999999999</v>
      </c>
      <c r="G87" s="77">
        <v>148.4</v>
      </c>
    </row>
    <row r="88" spans="1:7" x14ac:dyDescent="0.3">
      <c r="A88" s="59" t="s">
        <v>4</v>
      </c>
      <c r="B88" s="4">
        <v>168.9</v>
      </c>
      <c r="C88" s="4">
        <v>181.5</v>
      </c>
      <c r="D88" s="4">
        <v>171.3</v>
      </c>
      <c r="E88" s="4">
        <v>188.1</v>
      </c>
      <c r="F88" s="4">
        <v>169.7</v>
      </c>
      <c r="G88" s="77">
        <v>183.8</v>
      </c>
    </row>
    <row r="89" spans="1:7" x14ac:dyDescent="0.3">
      <c r="A89" s="59" t="s">
        <v>5</v>
      </c>
      <c r="B89" s="4">
        <v>146.9</v>
      </c>
      <c r="C89" s="4">
        <v>146.4</v>
      </c>
      <c r="D89" s="4">
        <v>151.9</v>
      </c>
      <c r="E89" s="4">
        <v>150</v>
      </c>
      <c r="F89" s="4">
        <v>148.80000000000001</v>
      </c>
      <c r="G89" s="77">
        <v>147.80000000000001</v>
      </c>
    </row>
    <row r="90" spans="1:7" x14ac:dyDescent="0.3">
      <c r="A90" s="59" t="s">
        <v>6</v>
      </c>
      <c r="B90" s="4">
        <v>155.6</v>
      </c>
      <c r="C90" s="4">
        <v>154.9</v>
      </c>
      <c r="D90" s="4">
        <v>155.5</v>
      </c>
      <c r="E90" s="4">
        <v>155.4</v>
      </c>
      <c r="F90" s="4">
        <v>155.6</v>
      </c>
      <c r="G90" s="77">
        <v>155.1</v>
      </c>
    </row>
    <row r="91" spans="1:7" x14ac:dyDescent="0.3">
      <c r="A91" s="59" t="s">
        <v>7</v>
      </c>
      <c r="B91" s="4">
        <v>137.1</v>
      </c>
      <c r="C91" s="4">
        <v>139.19999999999999</v>
      </c>
      <c r="D91" s="4">
        <v>131.6</v>
      </c>
      <c r="E91" s="4">
        <v>131.9</v>
      </c>
      <c r="F91" s="4">
        <v>135.1</v>
      </c>
      <c r="G91" s="77">
        <v>136.5</v>
      </c>
    </row>
    <row r="92" spans="1:7" x14ac:dyDescent="0.3">
      <c r="A92" s="59" t="s">
        <v>8</v>
      </c>
      <c r="B92" s="4">
        <v>147.30000000000001</v>
      </c>
      <c r="C92" s="4">
        <v>146.19999999999999</v>
      </c>
      <c r="D92" s="4">
        <v>152.9</v>
      </c>
      <c r="E92" s="4">
        <v>153</v>
      </c>
      <c r="F92" s="4">
        <v>149.9</v>
      </c>
      <c r="G92" s="77">
        <v>149.4</v>
      </c>
    </row>
    <row r="93" spans="1:7" x14ac:dyDescent="0.3">
      <c r="A93" s="59" t="s">
        <v>9</v>
      </c>
      <c r="B93" s="4">
        <v>162.69999999999999</v>
      </c>
      <c r="C93" s="4">
        <v>145.1</v>
      </c>
      <c r="D93" s="4">
        <v>180</v>
      </c>
      <c r="E93" s="4">
        <v>161.80000000000001</v>
      </c>
      <c r="F93" s="4">
        <v>168.6</v>
      </c>
      <c r="G93" s="77">
        <v>150.80000000000001</v>
      </c>
    </row>
    <row r="94" spans="1:7" x14ac:dyDescent="0.3">
      <c r="A94" s="59" t="s">
        <v>10</v>
      </c>
      <c r="B94" s="4">
        <v>150.19999999999999</v>
      </c>
      <c r="C94" s="4">
        <v>151.1</v>
      </c>
      <c r="D94" s="4">
        <v>150.80000000000001</v>
      </c>
      <c r="E94" s="4">
        <v>151.4</v>
      </c>
      <c r="F94" s="4">
        <v>150.4</v>
      </c>
      <c r="G94" s="77">
        <v>151.19999999999999</v>
      </c>
    </row>
    <row r="95" spans="1:7" x14ac:dyDescent="0.3">
      <c r="A95" s="59" t="s">
        <v>11</v>
      </c>
      <c r="B95" s="4">
        <v>119.8</v>
      </c>
      <c r="C95" s="4">
        <v>116.2</v>
      </c>
      <c r="D95" s="4">
        <v>121.2</v>
      </c>
      <c r="E95" s="4">
        <v>117.2</v>
      </c>
      <c r="F95" s="4">
        <v>120.3</v>
      </c>
      <c r="G95" s="77">
        <v>116.5</v>
      </c>
    </row>
    <row r="96" spans="1:7" x14ac:dyDescent="0.3">
      <c r="A96" s="59" t="s">
        <v>12</v>
      </c>
      <c r="B96" s="4">
        <v>158.69999999999999</v>
      </c>
      <c r="C96" s="4">
        <v>158.69999999999999</v>
      </c>
      <c r="D96" s="4">
        <v>154</v>
      </c>
      <c r="E96" s="4">
        <v>154.69999999999999</v>
      </c>
      <c r="F96" s="4">
        <v>157.1</v>
      </c>
      <c r="G96" s="77">
        <v>157.4</v>
      </c>
    </row>
    <row r="97" spans="1:7" x14ac:dyDescent="0.3">
      <c r="A97" s="59" t="s">
        <v>13</v>
      </c>
      <c r="B97" s="4">
        <v>139.19999999999999</v>
      </c>
      <c r="C97" s="4">
        <v>141.4</v>
      </c>
      <c r="D97" s="4">
        <v>133.5</v>
      </c>
      <c r="E97" s="4">
        <v>134.1</v>
      </c>
      <c r="F97" s="4">
        <v>136.80000000000001</v>
      </c>
      <c r="G97" s="77">
        <v>138.4</v>
      </c>
    </row>
    <row r="98" spans="1:7" x14ac:dyDescent="0.3">
      <c r="A98" s="59" t="s">
        <v>14</v>
      </c>
      <c r="B98" s="4">
        <v>162.1</v>
      </c>
      <c r="C98" s="4">
        <v>161.9</v>
      </c>
      <c r="D98" s="4">
        <v>162.69999999999999</v>
      </c>
      <c r="E98" s="4">
        <v>162.4</v>
      </c>
      <c r="F98" s="4">
        <v>162.4</v>
      </c>
      <c r="G98" s="77">
        <v>162.1</v>
      </c>
    </row>
    <row r="99" spans="1:7" x14ac:dyDescent="0.3">
      <c r="A99" s="59" t="s">
        <v>15</v>
      </c>
      <c r="B99" s="4">
        <v>152.80000000000001</v>
      </c>
      <c r="C99" s="4">
        <v>151.4</v>
      </c>
      <c r="D99" s="4">
        <v>156.1</v>
      </c>
      <c r="E99" s="4">
        <v>154.80000000000001</v>
      </c>
      <c r="F99" s="4">
        <v>154</v>
      </c>
      <c r="G99" s="77">
        <v>152.69999999999999</v>
      </c>
    </row>
    <row r="100" spans="1:7" x14ac:dyDescent="0.3">
      <c r="A100" s="59" t="s">
        <v>16</v>
      </c>
      <c r="B100" s="4">
        <v>171.1</v>
      </c>
      <c r="C100" s="4">
        <v>171.2</v>
      </c>
      <c r="D100" s="4">
        <v>179.1</v>
      </c>
      <c r="E100" s="4">
        <v>183.4</v>
      </c>
      <c r="F100" s="4">
        <v>173.2</v>
      </c>
      <c r="G100" s="77">
        <v>174.4</v>
      </c>
    </row>
    <row r="101" spans="1:7" x14ac:dyDescent="0.3">
      <c r="A101" s="59" t="s">
        <v>17</v>
      </c>
      <c r="B101" s="4">
        <v>153.9</v>
      </c>
      <c r="C101" s="4">
        <v>154</v>
      </c>
      <c r="D101" s="4">
        <v>152.6</v>
      </c>
      <c r="E101" s="4">
        <v>153</v>
      </c>
      <c r="F101" s="4">
        <v>153.4</v>
      </c>
      <c r="G101" s="77">
        <v>153.6</v>
      </c>
    </row>
    <row r="102" spans="1:7" x14ac:dyDescent="0.3">
      <c r="A102" s="59" t="s">
        <v>18</v>
      </c>
      <c r="B102" s="4">
        <v>148.1</v>
      </c>
      <c r="C102" s="4">
        <v>148.19999999999999</v>
      </c>
      <c r="D102" s="4">
        <v>138.30000000000001</v>
      </c>
      <c r="E102" s="4">
        <v>138.6</v>
      </c>
      <c r="F102" s="4">
        <v>144</v>
      </c>
      <c r="G102" s="77">
        <v>144.19999999999999</v>
      </c>
    </row>
    <row r="103" spans="1:7" x14ac:dyDescent="0.3">
      <c r="A103" s="59" t="s">
        <v>19</v>
      </c>
      <c r="B103" s="4">
        <v>153.1</v>
      </c>
      <c r="C103" s="4">
        <v>153.19999999999999</v>
      </c>
      <c r="D103" s="4">
        <v>150.4</v>
      </c>
      <c r="E103" s="4">
        <v>150.80000000000001</v>
      </c>
      <c r="F103" s="4">
        <v>152</v>
      </c>
      <c r="G103" s="77">
        <v>152.30000000000001</v>
      </c>
    </row>
    <row r="104" spans="1:7" x14ac:dyDescent="0.3">
      <c r="A104" s="59" t="s">
        <v>20</v>
      </c>
      <c r="B104" s="4"/>
      <c r="C104" s="4"/>
      <c r="D104" s="4">
        <v>155.6</v>
      </c>
      <c r="E104" s="4">
        <v>155.6</v>
      </c>
      <c r="F104" s="4">
        <v>155.6</v>
      </c>
      <c r="G104" s="77">
        <v>155.6</v>
      </c>
    </row>
    <row r="105" spans="1:7" x14ac:dyDescent="0.3">
      <c r="A105" s="59" t="s">
        <v>21</v>
      </c>
      <c r="B105" s="4">
        <v>148.4</v>
      </c>
      <c r="C105" s="4">
        <v>146.4</v>
      </c>
      <c r="D105" s="4">
        <v>137.1</v>
      </c>
      <c r="E105" s="4">
        <v>136.19999999999999</v>
      </c>
      <c r="F105" s="4">
        <v>144.1</v>
      </c>
      <c r="G105" s="77">
        <v>142.5</v>
      </c>
    </row>
    <row r="106" spans="1:7" x14ac:dyDescent="0.3">
      <c r="A106" s="59" t="s">
        <v>22</v>
      </c>
      <c r="B106" s="4">
        <v>152</v>
      </c>
      <c r="C106" s="4">
        <v>152.1</v>
      </c>
      <c r="D106" s="4">
        <v>145.5</v>
      </c>
      <c r="E106" s="4">
        <v>145.9</v>
      </c>
      <c r="F106" s="4">
        <v>148.9</v>
      </c>
      <c r="G106" s="77">
        <v>149.19999999999999</v>
      </c>
    </row>
    <row r="107" spans="1:7" x14ac:dyDescent="0.3">
      <c r="A107" s="59" t="s">
        <v>23</v>
      </c>
      <c r="B107" s="4">
        <v>154.30000000000001</v>
      </c>
      <c r="C107" s="4">
        <v>157</v>
      </c>
      <c r="D107" s="4">
        <v>144.80000000000001</v>
      </c>
      <c r="E107" s="4">
        <v>146.1</v>
      </c>
      <c r="F107" s="4">
        <v>150.69999999999999</v>
      </c>
      <c r="G107" s="77">
        <v>152.9</v>
      </c>
    </row>
    <row r="108" spans="1:7" x14ac:dyDescent="0.3">
      <c r="A108" s="59" t="s">
        <v>24</v>
      </c>
      <c r="B108" s="4">
        <v>136.30000000000001</v>
      </c>
      <c r="C108" s="4">
        <v>136.30000000000001</v>
      </c>
      <c r="D108" s="4">
        <v>128.69999999999999</v>
      </c>
      <c r="E108" s="4">
        <v>129.1</v>
      </c>
      <c r="F108" s="4">
        <v>132.30000000000001</v>
      </c>
      <c r="G108" s="77">
        <v>132.5</v>
      </c>
    </row>
    <row r="109" spans="1:7" x14ac:dyDescent="0.3">
      <c r="A109" s="59" t="s">
        <v>25</v>
      </c>
      <c r="B109" s="4">
        <v>151.69999999999999</v>
      </c>
      <c r="C109" s="4">
        <v>151.80000000000001</v>
      </c>
      <c r="D109" s="4">
        <v>142.5</v>
      </c>
      <c r="E109" s="4">
        <v>142.9</v>
      </c>
      <c r="F109" s="4">
        <v>146.5</v>
      </c>
      <c r="G109" s="77">
        <v>146.80000000000001</v>
      </c>
    </row>
    <row r="110" spans="1:7" x14ac:dyDescent="0.3">
      <c r="A110" s="59" t="s">
        <v>26</v>
      </c>
      <c r="B110" s="4">
        <v>161.69999999999999</v>
      </c>
      <c r="C110" s="4">
        <v>161.80000000000001</v>
      </c>
      <c r="D110" s="4">
        <v>157.6</v>
      </c>
      <c r="E110" s="4">
        <v>158</v>
      </c>
      <c r="F110" s="4">
        <v>159.30000000000001</v>
      </c>
      <c r="G110" s="77">
        <v>159.6</v>
      </c>
    </row>
    <row r="111" spans="1:7" x14ac:dyDescent="0.3">
      <c r="A111" s="59" t="s">
        <v>27</v>
      </c>
      <c r="B111" s="4">
        <v>145.6</v>
      </c>
      <c r="C111" s="4">
        <v>145.69999999999999</v>
      </c>
      <c r="D111" s="4">
        <v>150.1</v>
      </c>
      <c r="E111" s="4">
        <v>150.5</v>
      </c>
      <c r="F111" s="4">
        <v>147.5</v>
      </c>
      <c r="G111" s="77">
        <v>147.69999999999999</v>
      </c>
    </row>
    <row r="112" spans="1:7" x14ac:dyDescent="0.3">
      <c r="A112" s="59" t="s">
        <v>28</v>
      </c>
      <c r="B112" s="4">
        <v>148.4</v>
      </c>
      <c r="C112" s="4">
        <v>149.19999999999999</v>
      </c>
      <c r="D112" s="4">
        <v>142.5</v>
      </c>
      <c r="E112" s="4">
        <v>143</v>
      </c>
      <c r="F112" s="4">
        <v>145.5</v>
      </c>
      <c r="G112" s="77">
        <v>146.19999999999999</v>
      </c>
    </row>
    <row r="113" spans="1:7" x14ac:dyDescent="0.3">
      <c r="A113" s="58" t="s">
        <v>104</v>
      </c>
      <c r="B113" s="81">
        <v>151.9</v>
      </c>
      <c r="C113" s="64">
        <v>151.19999999999999</v>
      </c>
      <c r="D113" s="64">
        <v>150.9</v>
      </c>
      <c r="E113" s="64">
        <v>150.6</v>
      </c>
      <c r="F113" s="64">
        <v>151.4</v>
      </c>
      <c r="G113" s="57">
        <v>150.9</v>
      </c>
    </row>
  </sheetData>
  <mergeCells count="4">
    <mergeCell ref="A49:C49"/>
    <mergeCell ref="A53:D54"/>
    <mergeCell ref="A85:G85"/>
    <mergeCell ref="A1:B1"/>
  </mergeCells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3568A-CC5C-4702-A700-9C3F90798B46}">
  <sheetPr codeName="Sheet9"/>
  <dimension ref="A1:AE376"/>
  <sheetViews>
    <sheetView zoomScaleNormal="100" workbookViewId="0">
      <pane xSplit="1" topLeftCell="I1" activePane="topRight" state="frozen"/>
      <selection activeCell="K56" sqref="K56"/>
      <selection pane="topRight" activeCell="K1" sqref="K1"/>
    </sheetView>
  </sheetViews>
  <sheetFormatPr defaultRowHeight="14.4" x14ac:dyDescent="0.3"/>
  <cols>
    <col min="1" max="1" width="11.21875" bestFit="1" customWidth="1"/>
    <col min="2" max="2" width="6.5546875" customWidth="1"/>
    <col min="3" max="3" width="10" bestFit="1" customWidth="1"/>
    <col min="4" max="4" width="13" style="3" customWidth="1"/>
    <col min="5" max="5" width="20.44140625" customWidth="1"/>
    <col min="6" max="6" width="14.44140625" customWidth="1"/>
    <col min="7" max="7" width="11.21875" customWidth="1"/>
    <col min="8" max="8" width="18.109375" customWidth="1"/>
    <col min="9" max="9" width="13.109375" customWidth="1"/>
    <col min="10" max="10" width="7.44140625" customWidth="1"/>
    <col min="11" max="11" width="12.109375" customWidth="1"/>
    <col min="12" max="12" width="19.6640625" customWidth="1"/>
    <col min="13" max="13" width="23.6640625" customWidth="1"/>
    <col min="14" max="14" width="8.109375" customWidth="1"/>
    <col min="15" max="15" width="23.5546875" customWidth="1"/>
    <col min="16" max="16" width="32.6640625" customWidth="1"/>
    <col min="17" max="17" width="19.77734375" customWidth="1"/>
    <col min="18" max="18" width="27.109375" customWidth="1"/>
    <col min="19" max="19" width="9.88671875" customWidth="1"/>
    <col min="20" max="20" width="10.77734375" customWidth="1"/>
    <col min="21" max="21" width="21.6640625" customWidth="1"/>
    <col min="22" max="22" width="9.6640625" customWidth="1"/>
    <col min="23" max="23" width="14.109375" customWidth="1"/>
    <col min="24" max="24" width="28.109375" customWidth="1"/>
    <col min="25" max="25" width="8.33203125" customWidth="1"/>
    <col min="26" max="26" width="28.33203125" customWidth="1"/>
    <col min="27" max="27" width="26" customWidth="1"/>
    <col min="28" max="28" width="11.33203125" customWidth="1"/>
    <col min="29" max="29" width="23.88671875" customWidth="1"/>
    <col min="30" max="30" width="14.77734375" customWidth="1"/>
    <col min="31" max="31" width="22.33203125" bestFit="1" customWidth="1"/>
    <col min="32" max="32" width="28.6640625" bestFit="1" customWidth="1"/>
  </cols>
  <sheetData>
    <row r="1" spans="1:31" x14ac:dyDescent="0.3">
      <c r="A1" s="1" t="s">
        <v>0</v>
      </c>
      <c r="B1" s="1" t="s">
        <v>1</v>
      </c>
      <c r="C1" s="1" t="s">
        <v>2</v>
      </c>
      <c r="D1" s="2" t="s">
        <v>87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 x14ac:dyDescent="0.3">
      <c r="A2" t="s">
        <v>30</v>
      </c>
      <c r="B2">
        <v>2013</v>
      </c>
      <c r="C2" t="s">
        <v>31</v>
      </c>
      <c r="D2" s="3">
        <v>41275</v>
      </c>
      <c r="E2">
        <v>107.5</v>
      </c>
      <c r="F2">
        <v>106.3</v>
      </c>
      <c r="G2">
        <v>108.1</v>
      </c>
      <c r="H2">
        <v>104.9</v>
      </c>
      <c r="I2">
        <v>106.1</v>
      </c>
      <c r="J2">
        <v>103.9</v>
      </c>
      <c r="K2">
        <v>101.9</v>
      </c>
      <c r="L2">
        <v>106.1</v>
      </c>
      <c r="M2">
        <v>106.8</v>
      </c>
      <c r="N2">
        <v>103.1</v>
      </c>
      <c r="O2">
        <v>104.8</v>
      </c>
      <c r="P2">
        <v>106.7</v>
      </c>
      <c r="Q2">
        <v>105.5</v>
      </c>
      <c r="R2">
        <v>105.1</v>
      </c>
      <c r="S2">
        <v>106.5</v>
      </c>
      <c r="T2">
        <v>105.8</v>
      </c>
      <c r="U2">
        <v>106.4</v>
      </c>
      <c r="W2">
        <v>105.5</v>
      </c>
      <c r="X2">
        <v>104.8</v>
      </c>
      <c r="Y2">
        <v>104</v>
      </c>
      <c r="Z2">
        <v>103.3</v>
      </c>
      <c r="AA2">
        <v>103.4</v>
      </c>
      <c r="AB2">
        <v>103.8</v>
      </c>
      <c r="AC2">
        <v>104.7</v>
      </c>
      <c r="AD2">
        <v>104</v>
      </c>
      <c r="AE2">
        <v>105.1</v>
      </c>
    </row>
    <row r="3" spans="1:31" x14ac:dyDescent="0.3">
      <c r="A3" t="s">
        <v>33</v>
      </c>
      <c r="B3">
        <v>2013</v>
      </c>
      <c r="C3" t="s">
        <v>31</v>
      </c>
      <c r="D3" s="3">
        <v>41275</v>
      </c>
      <c r="E3">
        <v>110.5</v>
      </c>
      <c r="F3">
        <v>109.1</v>
      </c>
      <c r="G3">
        <v>113</v>
      </c>
      <c r="H3">
        <v>103.6</v>
      </c>
      <c r="I3">
        <v>103.4</v>
      </c>
      <c r="J3">
        <v>102.3</v>
      </c>
      <c r="K3">
        <v>102.9</v>
      </c>
      <c r="L3">
        <v>105.8</v>
      </c>
      <c r="M3">
        <v>105.1</v>
      </c>
      <c r="N3">
        <v>101.8</v>
      </c>
      <c r="O3">
        <v>105.1</v>
      </c>
      <c r="P3">
        <v>107.9</v>
      </c>
      <c r="Q3">
        <v>105.9</v>
      </c>
      <c r="R3">
        <v>105.2</v>
      </c>
      <c r="S3">
        <v>105.9</v>
      </c>
      <c r="T3">
        <v>105</v>
      </c>
      <c r="U3">
        <v>105.8</v>
      </c>
      <c r="V3">
        <v>100.3</v>
      </c>
      <c r="W3">
        <v>105.4</v>
      </c>
      <c r="X3">
        <v>104.8</v>
      </c>
      <c r="Y3">
        <v>104.1</v>
      </c>
      <c r="Z3">
        <v>103.2</v>
      </c>
      <c r="AA3">
        <v>102.9</v>
      </c>
      <c r="AB3">
        <v>103.5</v>
      </c>
      <c r="AC3">
        <v>104.3</v>
      </c>
      <c r="AD3">
        <v>103.7</v>
      </c>
      <c r="AE3">
        <v>104</v>
      </c>
    </row>
    <row r="4" spans="1:31" x14ac:dyDescent="0.3">
      <c r="A4" t="s">
        <v>34</v>
      </c>
      <c r="B4">
        <v>2013</v>
      </c>
      <c r="C4" t="s">
        <v>31</v>
      </c>
      <c r="D4" s="3">
        <v>41275</v>
      </c>
      <c r="E4">
        <v>108.4</v>
      </c>
      <c r="F4">
        <v>107.3</v>
      </c>
      <c r="G4">
        <v>110</v>
      </c>
      <c r="H4">
        <v>104.4</v>
      </c>
      <c r="I4">
        <v>105.1</v>
      </c>
      <c r="J4">
        <v>103.2</v>
      </c>
      <c r="K4">
        <v>102.2</v>
      </c>
      <c r="L4">
        <v>106</v>
      </c>
      <c r="M4">
        <v>106.2</v>
      </c>
      <c r="N4">
        <v>102.7</v>
      </c>
      <c r="O4">
        <v>104.9</v>
      </c>
      <c r="P4">
        <v>107.3</v>
      </c>
      <c r="Q4">
        <v>105.6</v>
      </c>
      <c r="R4">
        <v>105.1</v>
      </c>
      <c r="S4">
        <v>106.3</v>
      </c>
      <c r="T4">
        <v>105.5</v>
      </c>
      <c r="U4">
        <v>106.2</v>
      </c>
      <c r="V4">
        <v>100.3</v>
      </c>
      <c r="W4">
        <v>105.5</v>
      </c>
      <c r="X4">
        <v>104.8</v>
      </c>
      <c r="Y4">
        <v>104</v>
      </c>
      <c r="Z4">
        <v>103.2</v>
      </c>
      <c r="AA4">
        <v>103.1</v>
      </c>
      <c r="AB4">
        <v>103.6</v>
      </c>
      <c r="AC4">
        <v>104.5</v>
      </c>
      <c r="AD4">
        <v>103.9</v>
      </c>
      <c r="AE4">
        <v>104.6</v>
      </c>
    </row>
    <row r="5" spans="1:31" x14ac:dyDescent="0.3">
      <c r="A5" t="s">
        <v>30</v>
      </c>
      <c r="B5">
        <v>2013</v>
      </c>
      <c r="C5" t="s">
        <v>35</v>
      </c>
      <c r="D5" s="3">
        <v>41306</v>
      </c>
      <c r="E5">
        <v>109.2</v>
      </c>
      <c r="F5">
        <v>108.7</v>
      </c>
      <c r="G5">
        <v>110.2</v>
      </c>
      <c r="H5">
        <v>105.4</v>
      </c>
      <c r="I5">
        <v>106.7</v>
      </c>
      <c r="J5">
        <v>104</v>
      </c>
      <c r="K5">
        <v>102.4</v>
      </c>
      <c r="L5">
        <v>105.9</v>
      </c>
      <c r="M5">
        <v>105.7</v>
      </c>
      <c r="N5">
        <v>103.1</v>
      </c>
      <c r="O5">
        <v>105.1</v>
      </c>
      <c r="P5">
        <v>107.7</v>
      </c>
      <c r="Q5">
        <v>106.3</v>
      </c>
      <c r="R5">
        <v>105.6</v>
      </c>
      <c r="S5">
        <v>107.1</v>
      </c>
      <c r="T5">
        <v>106.3</v>
      </c>
      <c r="U5">
        <v>107</v>
      </c>
      <c r="W5">
        <v>106.2</v>
      </c>
      <c r="X5">
        <v>105.2</v>
      </c>
      <c r="Y5">
        <v>104.4</v>
      </c>
      <c r="Z5">
        <v>103.9</v>
      </c>
      <c r="AA5">
        <v>104</v>
      </c>
      <c r="AB5">
        <v>104.1</v>
      </c>
      <c r="AC5">
        <v>104.6</v>
      </c>
      <c r="AD5">
        <v>104.4</v>
      </c>
      <c r="AE5">
        <v>105.8</v>
      </c>
    </row>
    <row r="6" spans="1:31" x14ac:dyDescent="0.3">
      <c r="A6" t="s">
        <v>33</v>
      </c>
      <c r="B6">
        <v>2013</v>
      </c>
      <c r="C6" t="s">
        <v>35</v>
      </c>
      <c r="D6" s="3">
        <v>41306</v>
      </c>
      <c r="E6">
        <v>112.9</v>
      </c>
      <c r="F6">
        <v>112.9</v>
      </c>
      <c r="G6">
        <v>116.9</v>
      </c>
      <c r="H6">
        <v>104</v>
      </c>
      <c r="I6">
        <v>103.5</v>
      </c>
      <c r="J6">
        <v>103.1</v>
      </c>
      <c r="K6">
        <v>104.9</v>
      </c>
      <c r="L6">
        <v>104.1</v>
      </c>
      <c r="M6">
        <v>103.8</v>
      </c>
      <c r="N6">
        <v>102.3</v>
      </c>
      <c r="O6">
        <v>106</v>
      </c>
      <c r="P6">
        <v>109</v>
      </c>
      <c r="Q6">
        <v>107.2</v>
      </c>
      <c r="R6">
        <v>106</v>
      </c>
      <c r="S6">
        <v>106.6</v>
      </c>
      <c r="T6">
        <v>105.5</v>
      </c>
      <c r="U6">
        <v>106.4</v>
      </c>
      <c r="V6">
        <v>100.4</v>
      </c>
      <c r="W6">
        <v>105.7</v>
      </c>
      <c r="X6">
        <v>105.2</v>
      </c>
      <c r="Y6">
        <v>104.7</v>
      </c>
      <c r="Z6">
        <v>104.4</v>
      </c>
      <c r="AA6">
        <v>103.3</v>
      </c>
      <c r="AB6">
        <v>103.7</v>
      </c>
      <c r="AC6">
        <v>104.3</v>
      </c>
      <c r="AD6">
        <v>104.3</v>
      </c>
      <c r="AE6">
        <v>104.7</v>
      </c>
    </row>
    <row r="7" spans="1:31" x14ac:dyDescent="0.3">
      <c r="A7" t="s">
        <v>34</v>
      </c>
      <c r="B7">
        <v>2013</v>
      </c>
      <c r="C7" t="s">
        <v>35</v>
      </c>
      <c r="D7" s="3">
        <v>41306</v>
      </c>
      <c r="E7">
        <v>110.4</v>
      </c>
      <c r="F7">
        <v>110.2</v>
      </c>
      <c r="G7">
        <v>112.8</v>
      </c>
      <c r="H7">
        <v>104.9</v>
      </c>
      <c r="I7">
        <v>105.5</v>
      </c>
      <c r="J7">
        <v>103.6</v>
      </c>
      <c r="K7">
        <v>103.2</v>
      </c>
      <c r="L7">
        <v>105.3</v>
      </c>
      <c r="M7">
        <v>105.1</v>
      </c>
      <c r="N7">
        <v>102.8</v>
      </c>
      <c r="O7">
        <v>105.5</v>
      </c>
      <c r="P7">
        <v>108.3</v>
      </c>
      <c r="Q7">
        <v>106.6</v>
      </c>
      <c r="R7">
        <v>105.7</v>
      </c>
      <c r="S7">
        <v>106.9</v>
      </c>
      <c r="T7">
        <v>106</v>
      </c>
      <c r="U7">
        <v>106.8</v>
      </c>
      <c r="V7">
        <v>100.4</v>
      </c>
      <c r="W7">
        <v>106</v>
      </c>
      <c r="X7">
        <v>105.2</v>
      </c>
      <c r="Y7">
        <v>104.5</v>
      </c>
      <c r="Z7">
        <v>104.2</v>
      </c>
      <c r="AA7">
        <v>103.6</v>
      </c>
      <c r="AB7">
        <v>103.9</v>
      </c>
      <c r="AC7">
        <v>104.5</v>
      </c>
      <c r="AD7">
        <v>104.4</v>
      </c>
      <c r="AE7">
        <v>105.3</v>
      </c>
    </row>
    <row r="8" spans="1:31" x14ac:dyDescent="0.3">
      <c r="A8" t="s">
        <v>30</v>
      </c>
      <c r="B8">
        <v>2013</v>
      </c>
      <c r="C8" t="s">
        <v>36</v>
      </c>
      <c r="D8" s="3">
        <v>41334</v>
      </c>
      <c r="E8">
        <v>110.2</v>
      </c>
      <c r="F8">
        <v>108.8</v>
      </c>
      <c r="G8">
        <v>109.9</v>
      </c>
      <c r="H8">
        <v>105.6</v>
      </c>
      <c r="I8">
        <v>106.2</v>
      </c>
      <c r="J8">
        <v>105.7</v>
      </c>
      <c r="K8">
        <v>101.4</v>
      </c>
      <c r="L8">
        <v>105.7</v>
      </c>
      <c r="M8">
        <v>105</v>
      </c>
      <c r="N8">
        <v>103.3</v>
      </c>
      <c r="O8">
        <v>105.6</v>
      </c>
      <c r="P8">
        <v>108.2</v>
      </c>
      <c r="Q8">
        <v>106.6</v>
      </c>
      <c r="R8">
        <v>106.5</v>
      </c>
      <c r="S8">
        <v>107.6</v>
      </c>
      <c r="T8">
        <v>106.8</v>
      </c>
      <c r="U8">
        <v>107.5</v>
      </c>
      <c r="W8">
        <v>106.1</v>
      </c>
      <c r="X8">
        <v>105.6</v>
      </c>
      <c r="Y8">
        <v>104.7</v>
      </c>
      <c r="Z8">
        <v>104.6</v>
      </c>
      <c r="AA8">
        <v>104</v>
      </c>
      <c r="AB8">
        <v>104.3</v>
      </c>
      <c r="AC8">
        <v>104.3</v>
      </c>
      <c r="AD8">
        <v>104.6</v>
      </c>
      <c r="AE8">
        <v>106</v>
      </c>
    </row>
    <row r="9" spans="1:31" x14ac:dyDescent="0.3">
      <c r="A9" t="s">
        <v>33</v>
      </c>
      <c r="B9">
        <v>2013</v>
      </c>
      <c r="C9" t="s">
        <v>36</v>
      </c>
      <c r="D9" s="3">
        <v>41334</v>
      </c>
      <c r="E9">
        <v>113.9</v>
      </c>
      <c r="F9">
        <v>111.4</v>
      </c>
      <c r="G9">
        <v>113.2</v>
      </c>
      <c r="H9">
        <v>104.3</v>
      </c>
      <c r="I9">
        <v>102.7</v>
      </c>
      <c r="J9">
        <v>104.9</v>
      </c>
      <c r="K9">
        <v>103.8</v>
      </c>
      <c r="L9">
        <v>103.5</v>
      </c>
      <c r="M9">
        <v>102.6</v>
      </c>
      <c r="N9">
        <v>102.4</v>
      </c>
      <c r="O9">
        <v>107</v>
      </c>
      <c r="P9">
        <v>109.8</v>
      </c>
      <c r="Q9">
        <v>107.3</v>
      </c>
      <c r="R9">
        <v>106.8</v>
      </c>
      <c r="S9">
        <v>107.2</v>
      </c>
      <c r="T9">
        <v>106</v>
      </c>
      <c r="U9">
        <v>107</v>
      </c>
      <c r="V9">
        <v>100.4</v>
      </c>
      <c r="W9">
        <v>106</v>
      </c>
      <c r="X9">
        <v>105.7</v>
      </c>
      <c r="Y9">
        <v>105.2</v>
      </c>
      <c r="Z9">
        <v>105.5</v>
      </c>
      <c r="AA9">
        <v>103.5</v>
      </c>
      <c r="AB9">
        <v>103.8</v>
      </c>
      <c r="AC9">
        <v>104.2</v>
      </c>
      <c r="AD9">
        <v>104.9</v>
      </c>
      <c r="AE9">
        <v>105</v>
      </c>
    </row>
    <row r="10" spans="1:31" x14ac:dyDescent="0.3">
      <c r="A10" t="s">
        <v>34</v>
      </c>
      <c r="B10">
        <v>2013</v>
      </c>
      <c r="C10" t="s">
        <v>36</v>
      </c>
      <c r="D10" s="3">
        <v>41334</v>
      </c>
      <c r="E10">
        <v>111.4</v>
      </c>
      <c r="F10">
        <v>109.7</v>
      </c>
      <c r="G10">
        <v>111.2</v>
      </c>
      <c r="H10">
        <v>105.1</v>
      </c>
      <c r="I10">
        <v>104.9</v>
      </c>
      <c r="J10">
        <v>105.3</v>
      </c>
      <c r="K10">
        <v>102.2</v>
      </c>
      <c r="L10">
        <v>105</v>
      </c>
      <c r="M10">
        <v>104.2</v>
      </c>
      <c r="N10">
        <v>103</v>
      </c>
      <c r="O10">
        <v>106.2</v>
      </c>
      <c r="P10">
        <v>108.9</v>
      </c>
      <c r="Q10">
        <v>106.9</v>
      </c>
      <c r="R10">
        <v>106.6</v>
      </c>
      <c r="S10">
        <v>107.4</v>
      </c>
      <c r="T10">
        <v>106.5</v>
      </c>
      <c r="U10">
        <v>107.3</v>
      </c>
      <c r="V10">
        <v>100.4</v>
      </c>
      <c r="W10">
        <v>106.1</v>
      </c>
      <c r="X10">
        <v>105.6</v>
      </c>
      <c r="Y10">
        <v>104.9</v>
      </c>
      <c r="Z10">
        <v>105.1</v>
      </c>
      <c r="AA10">
        <v>103.7</v>
      </c>
      <c r="AB10">
        <v>104</v>
      </c>
      <c r="AC10">
        <v>104.3</v>
      </c>
      <c r="AD10">
        <v>104.7</v>
      </c>
      <c r="AE10">
        <v>105.5</v>
      </c>
    </row>
    <row r="11" spans="1:31" x14ac:dyDescent="0.3">
      <c r="A11" t="s">
        <v>30</v>
      </c>
      <c r="B11">
        <v>2013</v>
      </c>
      <c r="C11" t="s">
        <v>37</v>
      </c>
      <c r="D11" s="3">
        <v>41365</v>
      </c>
      <c r="E11">
        <v>110.2</v>
      </c>
      <c r="F11">
        <v>109.5</v>
      </c>
      <c r="G11">
        <v>106.9</v>
      </c>
      <c r="H11">
        <v>106.3</v>
      </c>
      <c r="I11">
        <v>105.7</v>
      </c>
      <c r="J11">
        <v>108.3</v>
      </c>
      <c r="K11">
        <v>103.4</v>
      </c>
      <c r="L11">
        <v>105.7</v>
      </c>
      <c r="M11">
        <v>104.2</v>
      </c>
      <c r="N11">
        <v>103.2</v>
      </c>
      <c r="O11">
        <v>106.5</v>
      </c>
      <c r="P11">
        <v>108.8</v>
      </c>
      <c r="Q11">
        <v>107.1</v>
      </c>
      <c r="R11">
        <v>107.1</v>
      </c>
      <c r="S11">
        <v>108.1</v>
      </c>
      <c r="T11">
        <v>107.4</v>
      </c>
      <c r="U11">
        <v>108</v>
      </c>
      <c r="W11">
        <v>106.5</v>
      </c>
      <c r="X11">
        <v>106.1</v>
      </c>
      <c r="Y11">
        <v>105.1</v>
      </c>
      <c r="Z11">
        <v>104.4</v>
      </c>
      <c r="AA11">
        <v>104.5</v>
      </c>
      <c r="AB11">
        <v>104.8</v>
      </c>
      <c r="AC11">
        <v>102.7</v>
      </c>
      <c r="AD11">
        <v>104.6</v>
      </c>
      <c r="AE11">
        <v>106.4</v>
      </c>
    </row>
    <row r="12" spans="1:31" x14ac:dyDescent="0.3">
      <c r="A12" t="s">
        <v>33</v>
      </c>
      <c r="B12">
        <v>2013</v>
      </c>
      <c r="C12" t="s">
        <v>37</v>
      </c>
      <c r="D12" s="3">
        <v>41365</v>
      </c>
      <c r="E12">
        <v>114.6</v>
      </c>
      <c r="F12">
        <v>113.4</v>
      </c>
      <c r="G12">
        <v>106</v>
      </c>
      <c r="H12">
        <v>104.7</v>
      </c>
      <c r="I12">
        <v>102.1</v>
      </c>
      <c r="J12">
        <v>109.5</v>
      </c>
      <c r="K12">
        <v>109.7</v>
      </c>
      <c r="L12">
        <v>104.6</v>
      </c>
      <c r="M12">
        <v>102</v>
      </c>
      <c r="N12">
        <v>103.5</v>
      </c>
      <c r="O12">
        <v>108.2</v>
      </c>
      <c r="P12">
        <v>110.6</v>
      </c>
      <c r="Q12">
        <v>108.8</v>
      </c>
      <c r="R12">
        <v>108.5</v>
      </c>
      <c r="S12">
        <v>107.9</v>
      </c>
      <c r="T12">
        <v>106.4</v>
      </c>
      <c r="U12">
        <v>107.7</v>
      </c>
      <c r="V12">
        <v>100.5</v>
      </c>
      <c r="W12">
        <v>106.4</v>
      </c>
      <c r="X12">
        <v>106.5</v>
      </c>
      <c r="Y12">
        <v>105.7</v>
      </c>
      <c r="Z12">
        <v>105</v>
      </c>
      <c r="AA12">
        <v>104</v>
      </c>
      <c r="AB12">
        <v>105.2</v>
      </c>
      <c r="AC12">
        <v>103.2</v>
      </c>
      <c r="AD12">
        <v>105.1</v>
      </c>
      <c r="AE12">
        <v>105.7</v>
      </c>
    </row>
    <row r="13" spans="1:31" x14ac:dyDescent="0.3">
      <c r="A13" t="s">
        <v>34</v>
      </c>
      <c r="B13">
        <v>2013</v>
      </c>
      <c r="C13" t="s">
        <v>37</v>
      </c>
      <c r="D13" s="3">
        <v>41365</v>
      </c>
      <c r="E13">
        <v>111.6</v>
      </c>
      <c r="F13">
        <v>110.9</v>
      </c>
      <c r="G13">
        <v>106.6</v>
      </c>
      <c r="H13">
        <v>105.7</v>
      </c>
      <c r="I13">
        <v>104.4</v>
      </c>
      <c r="J13">
        <v>108.9</v>
      </c>
      <c r="K13">
        <v>105.5</v>
      </c>
      <c r="L13">
        <v>105.3</v>
      </c>
      <c r="M13">
        <v>103.5</v>
      </c>
      <c r="N13">
        <v>103.3</v>
      </c>
      <c r="O13">
        <v>107.2</v>
      </c>
      <c r="P13">
        <v>109.6</v>
      </c>
      <c r="Q13">
        <v>107.7</v>
      </c>
      <c r="R13">
        <v>107.5</v>
      </c>
      <c r="S13">
        <v>108</v>
      </c>
      <c r="T13">
        <v>107</v>
      </c>
      <c r="U13">
        <v>107.9</v>
      </c>
      <c r="V13">
        <v>100.5</v>
      </c>
      <c r="W13">
        <v>106.5</v>
      </c>
      <c r="X13">
        <v>106.3</v>
      </c>
      <c r="Y13">
        <v>105.3</v>
      </c>
      <c r="Z13">
        <v>104.7</v>
      </c>
      <c r="AA13">
        <v>104.2</v>
      </c>
      <c r="AB13">
        <v>105</v>
      </c>
      <c r="AC13">
        <v>102.9</v>
      </c>
      <c r="AD13">
        <v>104.8</v>
      </c>
      <c r="AE13">
        <v>106.1</v>
      </c>
    </row>
    <row r="14" spans="1:31" x14ac:dyDescent="0.3">
      <c r="A14" t="s">
        <v>30</v>
      </c>
      <c r="B14">
        <v>2013</v>
      </c>
      <c r="C14" t="s">
        <v>38</v>
      </c>
      <c r="D14" s="3">
        <v>41395</v>
      </c>
      <c r="E14">
        <v>110.9</v>
      </c>
      <c r="F14">
        <v>109.8</v>
      </c>
      <c r="G14">
        <v>105.9</v>
      </c>
      <c r="H14">
        <v>107.5</v>
      </c>
      <c r="I14">
        <v>105.3</v>
      </c>
      <c r="J14">
        <v>108.1</v>
      </c>
      <c r="K14">
        <v>107.3</v>
      </c>
      <c r="L14">
        <v>106.1</v>
      </c>
      <c r="M14">
        <v>103.7</v>
      </c>
      <c r="N14">
        <v>104</v>
      </c>
      <c r="O14">
        <v>107.4</v>
      </c>
      <c r="P14">
        <v>109.9</v>
      </c>
      <c r="Q14">
        <v>108.1</v>
      </c>
      <c r="R14">
        <v>108.1</v>
      </c>
      <c r="S14">
        <v>108.8</v>
      </c>
      <c r="T14">
        <v>107.9</v>
      </c>
      <c r="U14">
        <v>108.6</v>
      </c>
      <c r="W14">
        <v>107.5</v>
      </c>
      <c r="X14">
        <v>106.8</v>
      </c>
      <c r="Y14">
        <v>105.7</v>
      </c>
      <c r="Z14">
        <v>104.1</v>
      </c>
      <c r="AA14">
        <v>105</v>
      </c>
      <c r="AB14">
        <v>105.5</v>
      </c>
      <c r="AC14">
        <v>102.1</v>
      </c>
      <c r="AD14">
        <v>104.8</v>
      </c>
      <c r="AE14">
        <v>107.2</v>
      </c>
    </row>
    <row r="15" spans="1:31" x14ac:dyDescent="0.3">
      <c r="A15" t="s">
        <v>33</v>
      </c>
      <c r="B15">
        <v>2013</v>
      </c>
      <c r="C15" t="s">
        <v>38</v>
      </c>
      <c r="D15" s="3">
        <v>41395</v>
      </c>
      <c r="E15">
        <v>115.4</v>
      </c>
      <c r="F15">
        <v>114.2</v>
      </c>
      <c r="G15">
        <v>102.7</v>
      </c>
      <c r="H15">
        <v>105.5</v>
      </c>
      <c r="I15">
        <v>101.5</v>
      </c>
      <c r="J15">
        <v>110.6</v>
      </c>
      <c r="K15">
        <v>123.7</v>
      </c>
      <c r="L15">
        <v>105.2</v>
      </c>
      <c r="M15">
        <v>101.9</v>
      </c>
      <c r="N15">
        <v>105</v>
      </c>
      <c r="O15">
        <v>109.1</v>
      </c>
      <c r="P15">
        <v>111.3</v>
      </c>
      <c r="Q15">
        <v>111.1</v>
      </c>
      <c r="R15">
        <v>109.8</v>
      </c>
      <c r="S15">
        <v>108.5</v>
      </c>
      <c r="T15">
        <v>106.7</v>
      </c>
      <c r="U15">
        <v>108.3</v>
      </c>
      <c r="V15">
        <v>100.5</v>
      </c>
      <c r="W15">
        <v>107.2</v>
      </c>
      <c r="X15">
        <v>107.1</v>
      </c>
      <c r="Y15">
        <v>106.2</v>
      </c>
      <c r="Z15">
        <v>103.9</v>
      </c>
      <c r="AA15">
        <v>104.6</v>
      </c>
      <c r="AB15">
        <v>105.7</v>
      </c>
      <c r="AC15">
        <v>102.6</v>
      </c>
      <c r="AD15">
        <v>104.9</v>
      </c>
      <c r="AE15">
        <v>106.6</v>
      </c>
    </row>
    <row r="16" spans="1:31" x14ac:dyDescent="0.3">
      <c r="A16" t="s">
        <v>34</v>
      </c>
      <c r="B16">
        <v>2013</v>
      </c>
      <c r="C16" t="s">
        <v>38</v>
      </c>
      <c r="D16" s="3">
        <v>41395</v>
      </c>
      <c r="E16">
        <v>112.3</v>
      </c>
      <c r="F16">
        <v>111.3</v>
      </c>
      <c r="G16">
        <v>104.7</v>
      </c>
      <c r="H16">
        <v>106.8</v>
      </c>
      <c r="I16">
        <v>103.9</v>
      </c>
      <c r="J16">
        <v>109.3</v>
      </c>
      <c r="K16">
        <v>112.9</v>
      </c>
      <c r="L16">
        <v>105.8</v>
      </c>
      <c r="M16">
        <v>103.1</v>
      </c>
      <c r="N16">
        <v>104.3</v>
      </c>
      <c r="O16">
        <v>108.1</v>
      </c>
      <c r="P16">
        <v>110.5</v>
      </c>
      <c r="Q16">
        <v>109.2</v>
      </c>
      <c r="R16">
        <v>108.6</v>
      </c>
      <c r="S16">
        <v>108.7</v>
      </c>
      <c r="T16">
        <v>107.4</v>
      </c>
      <c r="U16">
        <v>108.5</v>
      </c>
      <c r="V16">
        <v>100.5</v>
      </c>
      <c r="W16">
        <v>107.4</v>
      </c>
      <c r="X16">
        <v>106.9</v>
      </c>
      <c r="Y16">
        <v>105.9</v>
      </c>
      <c r="Z16">
        <v>104</v>
      </c>
      <c r="AA16">
        <v>104.8</v>
      </c>
      <c r="AB16">
        <v>105.6</v>
      </c>
      <c r="AC16">
        <v>102.3</v>
      </c>
      <c r="AD16">
        <v>104.8</v>
      </c>
      <c r="AE16">
        <v>106.9</v>
      </c>
    </row>
    <row r="17" spans="1:31" x14ac:dyDescent="0.3">
      <c r="A17" t="s">
        <v>30</v>
      </c>
      <c r="B17">
        <v>2013</v>
      </c>
      <c r="C17" t="s">
        <v>39</v>
      </c>
      <c r="D17" s="3">
        <v>41426</v>
      </c>
      <c r="E17">
        <v>112.3</v>
      </c>
      <c r="F17">
        <v>112.1</v>
      </c>
      <c r="G17">
        <v>108.1</v>
      </c>
      <c r="H17">
        <v>108.3</v>
      </c>
      <c r="I17">
        <v>105.9</v>
      </c>
      <c r="J17">
        <v>109.2</v>
      </c>
      <c r="K17">
        <v>118</v>
      </c>
      <c r="L17">
        <v>106.8</v>
      </c>
      <c r="M17">
        <v>104.1</v>
      </c>
      <c r="N17">
        <v>105.4</v>
      </c>
      <c r="O17">
        <v>108.2</v>
      </c>
      <c r="P17">
        <v>111</v>
      </c>
      <c r="Q17">
        <v>110.6</v>
      </c>
      <c r="R17">
        <v>109</v>
      </c>
      <c r="S17">
        <v>109.7</v>
      </c>
      <c r="T17">
        <v>108.8</v>
      </c>
      <c r="U17">
        <v>109.5</v>
      </c>
      <c r="W17">
        <v>108.5</v>
      </c>
      <c r="X17">
        <v>107.5</v>
      </c>
      <c r="Y17">
        <v>106.3</v>
      </c>
      <c r="Z17">
        <v>105</v>
      </c>
      <c r="AA17">
        <v>105.6</v>
      </c>
      <c r="AB17">
        <v>106.5</v>
      </c>
      <c r="AC17">
        <v>102.5</v>
      </c>
      <c r="AD17">
        <v>105.5</v>
      </c>
      <c r="AE17">
        <v>108.9</v>
      </c>
    </row>
    <row r="18" spans="1:31" x14ac:dyDescent="0.3">
      <c r="A18" t="s">
        <v>33</v>
      </c>
      <c r="B18">
        <v>2013</v>
      </c>
      <c r="C18" t="s">
        <v>39</v>
      </c>
      <c r="D18" s="3">
        <v>41426</v>
      </c>
      <c r="E18">
        <v>117</v>
      </c>
      <c r="F18">
        <v>120.1</v>
      </c>
      <c r="G18">
        <v>112.5</v>
      </c>
      <c r="H18">
        <v>107.3</v>
      </c>
      <c r="I18">
        <v>101.3</v>
      </c>
      <c r="J18">
        <v>112.4</v>
      </c>
      <c r="K18">
        <v>143.6</v>
      </c>
      <c r="L18">
        <v>105.4</v>
      </c>
      <c r="M18">
        <v>101.4</v>
      </c>
      <c r="N18">
        <v>106.4</v>
      </c>
      <c r="O18">
        <v>110</v>
      </c>
      <c r="P18">
        <v>112.2</v>
      </c>
      <c r="Q18">
        <v>115</v>
      </c>
      <c r="R18">
        <v>110.9</v>
      </c>
      <c r="S18">
        <v>109.2</v>
      </c>
      <c r="T18">
        <v>107.2</v>
      </c>
      <c r="U18">
        <v>108.9</v>
      </c>
      <c r="V18">
        <v>106.6</v>
      </c>
      <c r="W18">
        <v>108</v>
      </c>
      <c r="X18">
        <v>107.7</v>
      </c>
      <c r="Y18">
        <v>106.5</v>
      </c>
      <c r="Z18">
        <v>105.2</v>
      </c>
      <c r="AA18">
        <v>105.2</v>
      </c>
      <c r="AB18">
        <v>108.1</v>
      </c>
      <c r="AC18">
        <v>103.3</v>
      </c>
      <c r="AD18">
        <v>106.1</v>
      </c>
      <c r="AE18">
        <v>109.7</v>
      </c>
    </row>
    <row r="19" spans="1:31" x14ac:dyDescent="0.3">
      <c r="A19" t="s">
        <v>34</v>
      </c>
      <c r="B19">
        <v>2013</v>
      </c>
      <c r="C19" t="s">
        <v>39</v>
      </c>
      <c r="D19" s="3">
        <v>41426</v>
      </c>
      <c r="E19">
        <v>113.8</v>
      </c>
      <c r="F19">
        <v>114.9</v>
      </c>
      <c r="G19">
        <v>109.8</v>
      </c>
      <c r="H19">
        <v>107.9</v>
      </c>
      <c r="I19">
        <v>104.2</v>
      </c>
      <c r="J19">
        <v>110.7</v>
      </c>
      <c r="K19">
        <v>126.7</v>
      </c>
      <c r="L19">
        <v>106.3</v>
      </c>
      <c r="M19">
        <v>103.2</v>
      </c>
      <c r="N19">
        <v>105.7</v>
      </c>
      <c r="O19">
        <v>109</v>
      </c>
      <c r="P19">
        <v>111.6</v>
      </c>
      <c r="Q19">
        <v>112.2</v>
      </c>
      <c r="R19">
        <v>109.5</v>
      </c>
      <c r="S19">
        <v>109.5</v>
      </c>
      <c r="T19">
        <v>108.1</v>
      </c>
      <c r="U19">
        <v>109.3</v>
      </c>
      <c r="V19">
        <v>106.6</v>
      </c>
      <c r="W19">
        <v>108.3</v>
      </c>
      <c r="X19">
        <v>107.6</v>
      </c>
      <c r="Y19">
        <v>106.4</v>
      </c>
      <c r="Z19">
        <v>105.1</v>
      </c>
      <c r="AA19">
        <v>105.4</v>
      </c>
      <c r="AB19">
        <v>107.4</v>
      </c>
      <c r="AC19">
        <v>102.8</v>
      </c>
      <c r="AD19">
        <v>105.8</v>
      </c>
      <c r="AE19">
        <v>109.3</v>
      </c>
    </row>
    <row r="20" spans="1:31" x14ac:dyDescent="0.3">
      <c r="A20" t="s">
        <v>30</v>
      </c>
      <c r="B20">
        <v>2013</v>
      </c>
      <c r="C20" t="s">
        <v>40</v>
      </c>
      <c r="D20" s="3">
        <v>41456</v>
      </c>
      <c r="E20">
        <v>113.4</v>
      </c>
      <c r="F20">
        <v>114.9</v>
      </c>
      <c r="G20">
        <v>110.5</v>
      </c>
      <c r="H20">
        <v>109.3</v>
      </c>
      <c r="I20">
        <v>106.2</v>
      </c>
      <c r="J20">
        <v>110.3</v>
      </c>
      <c r="K20">
        <v>129.19999999999999</v>
      </c>
      <c r="L20">
        <v>107.1</v>
      </c>
      <c r="M20">
        <v>104.3</v>
      </c>
      <c r="N20">
        <v>106.4</v>
      </c>
      <c r="O20">
        <v>109.1</v>
      </c>
      <c r="P20">
        <v>112.1</v>
      </c>
      <c r="Q20">
        <v>113.1</v>
      </c>
      <c r="R20">
        <v>109.8</v>
      </c>
      <c r="S20">
        <v>110.5</v>
      </c>
      <c r="T20">
        <v>109.5</v>
      </c>
      <c r="U20">
        <v>110.3</v>
      </c>
      <c r="W20">
        <v>109.5</v>
      </c>
      <c r="X20">
        <v>108.3</v>
      </c>
      <c r="Y20">
        <v>106.9</v>
      </c>
      <c r="Z20">
        <v>106.8</v>
      </c>
      <c r="AA20">
        <v>106.4</v>
      </c>
      <c r="AB20">
        <v>107.8</v>
      </c>
      <c r="AC20">
        <v>102.5</v>
      </c>
      <c r="AD20">
        <v>106.5</v>
      </c>
      <c r="AE20">
        <v>110.7</v>
      </c>
    </row>
    <row r="21" spans="1:31" x14ac:dyDescent="0.3">
      <c r="A21" t="s">
        <v>33</v>
      </c>
      <c r="B21">
        <v>2013</v>
      </c>
      <c r="C21" t="s">
        <v>40</v>
      </c>
      <c r="D21" s="3">
        <v>41456</v>
      </c>
      <c r="E21">
        <v>117.8</v>
      </c>
      <c r="F21">
        <v>119.2</v>
      </c>
      <c r="G21">
        <v>114</v>
      </c>
      <c r="H21">
        <v>108.3</v>
      </c>
      <c r="I21">
        <v>101.1</v>
      </c>
      <c r="J21">
        <v>113.2</v>
      </c>
      <c r="K21">
        <v>160.9</v>
      </c>
      <c r="L21">
        <v>105.1</v>
      </c>
      <c r="M21">
        <v>101.3</v>
      </c>
      <c r="N21">
        <v>107.5</v>
      </c>
      <c r="O21">
        <v>110.4</v>
      </c>
      <c r="P21">
        <v>113.1</v>
      </c>
      <c r="Q21">
        <v>117.5</v>
      </c>
      <c r="R21">
        <v>111.7</v>
      </c>
      <c r="S21">
        <v>109.8</v>
      </c>
      <c r="T21">
        <v>107.8</v>
      </c>
      <c r="U21">
        <v>109.5</v>
      </c>
      <c r="V21">
        <v>107.7</v>
      </c>
      <c r="W21">
        <v>108.6</v>
      </c>
      <c r="X21">
        <v>108.1</v>
      </c>
      <c r="Y21">
        <v>107.1</v>
      </c>
      <c r="Z21">
        <v>107.3</v>
      </c>
      <c r="AA21">
        <v>105.9</v>
      </c>
      <c r="AB21">
        <v>110.1</v>
      </c>
      <c r="AC21">
        <v>103.2</v>
      </c>
      <c r="AD21">
        <v>107.3</v>
      </c>
      <c r="AE21">
        <v>111.4</v>
      </c>
    </row>
    <row r="22" spans="1:31" x14ac:dyDescent="0.3">
      <c r="A22" t="s">
        <v>34</v>
      </c>
      <c r="B22">
        <v>2013</v>
      </c>
      <c r="C22" t="s">
        <v>40</v>
      </c>
      <c r="D22" s="3">
        <v>41456</v>
      </c>
      <c r="E22">
        <v>114.8</v>
      </c>
      <c r="F22">
        <v>116.4</v>
      </c>
      <c r="G22">
        <v>111.9</v>
      </c>
      <c r="H22">
        <v>108.9</v>
      </c>
      <c r="I22">
        <v>104.3</v>
      </c>
      <c r="J22">
        <v>111.7</v>
      </c>
      <c r="K22">
        <v>140</v>
      </c>
      <c r="L22">
        <v>106.4</v>
      </c>
      <c r="M22">
        <v>103.3</v>
      </c>
      <c r="N22">
        <v>106.8</v>
      </c>
      <c r="O22">
        <v>109.6</v>
      </c>
      <c r="P22">
        <v>112.6</v>
      </c>
      <c r="Q22">
        <v>114.7</v>
      </c>
      <c r="R22">
        <v>110.3</v>
      </c>
      <c r="S22">
        <v>110.2</v>
      </c>
      <c r="T22">
        <v>108.8</v>
      </c>
      <c r="U22">
        <v>110</v>
      </c>
      <c r="V22">
        <v>107.7</v>
      </c>
      <c r="W22">
        <v>109.2</v>
      </c>
      <c r="X22">
        <v>108.2</v>
      </c>
      <c r="Y22">
        <v>107</v>
      </c>
      <c r="Z22">
        <v>107.1</v>
      </c>
      <c r="AA22">
        <v>106.1</v>
      </c>
      <c r="AB22">
        <v>109.1</v>
      </c>
      <c r="AC22">
        <v>102.8</v>
      </c>
      <c r="AD22">
        <v>106.9</v>
      </c>
      <c r="AE22">
        <v>111</v>
      </c>
    </row>
    <row r="23" spans="1:31" x14ac:dyDescent="0.3">
      <c r="A23" t="s">
        <v>30</v>
      </c>
      <c r="B23">
        <v>2013</v>
      </c>
      <c r="C23" t="s">
        <v>41</v>
      </c>
      <c r="D23" s="3">
        <v>41487</v>
      </c>
      <c r="E23">
        <v>114.3</v>
      </c>
      <c r="F23">
        <v>115.4</v>
      </c>
      <c r="G23">
        <v>111.1</v>
      </c>
      <c r="H23">
        <v>110</v>
      </c>
      <c r="I23">
        <v>106.4</v>
      </c>
      <c r="J23">
        <v>110.8</v>
      </c>
      <c r="K23">
        <v>138.9</v>
      </c>
      <c r="L23">
        <v>107.4</v>
      </c>
      <c r="M23">
        <v>104.1</v>
      </c>
      <c r="N23">
        <v>106.9</v>
      </c>
      <c r="O23">
        <v>109.7</v>
      </c>
      <c r="P23">
        <v>112.6</v>
      </c>
      <c r="Q23">
        <v>114.9</v>
      </c>
      <c r="R23">
        <v>110.7</v>
      </c>
      <c r="S23">
        <v>111.3</v>
      </c>
      <c r="T23">
        <v>110.2</v>
      </c>
      <c r="U23">
        <v>111.1</v>
      </c>
      <c r="W23">
        <v>109.9</v>
      </c>
      <c r="X23">
        <v>108.7</v>
      </c>
      <c r="Y23">
        <v>107.5</v>
      </c>
      <c r="Z23">
        <v>107.8</v>
      </c>
      <c r="AA23">
        <v>106.8</v>
      </c>
      <c r="AB23">
        <v>108.7</v>
      </c>
      <c r="AC23">
        <v>105</v>
      </c>
      <c r="AD23">
        <v>107.5</v>
      </c>
      <c r="AE23">
        <v>112.1</v>
      </c>
    </row>
    <row r="24" spans="1:31" x14ac:dyDescent="0.3">
      <c r="A24" t="s">
        <v>33</v>
      </c>
      <c r="B24">
        <v>2013</v>
      </c>
      <c r="C24" t="s">
        <v>41</v>
      </c>
      <c r="D24" s="3">
        <v>41487</v>
      </c>
      <c r="E24">
        <v>118.3</v>
      </c>
      <c r="F24">
        <v>120.4</v>
      </c>
      <c r="G24">
        <v>112.7</v>
      </c>
      <c r="H24">
        <v>108.9</v>
      </c>
      <c r="I24">
        <v>101.1</v>
      </c>
      <c r="J24">
        <v>108.7</v>
      </c>
      <c r="K24">
        <v>177</v>
      </c>
      <c r="L24">
        <v>104.7</v>
      </c>
      <c r="M24">
        <v>101</v>
      </c>
      <c r="N24">
        <v>108.5</v>
      </c>
      <c r="O24">
        <v>110.9</v>
      </c>
      <c r="P24">
        <v>114.3</v>
      </c>
      <c r="Q24">
        <v>119.6</v>
      </c>
      <c r="R24">
        <v>112.4</v>
      </c>
      <c r="S24">
        <v>110.6</v>
      </c>
      <c r="T24">
        <v>108.3</v>
      </c>
      <c r="U24">
        <v>110.2</v>
      </c>
      <c r="V24">
        <v>108.9</v>
      </c>
      <c r="W24">
        <v>109.3</v>
      </c>
      <c r="X24">
        <v>108.7</v>
      </c>
      <c r="Y24">
        <v>107.6</v>
      </c>
      <c r="Z24">
        <v>108.1</v>
      </c>
      <c r="AA24">
        <v>106.5</v>
      </c>
      <c r="AB24">
        <v>110.8</v>
      </c>
      <c r="AC24">
        <v>106</v>
      </c>
      <c r="AD24">
        <v>108.3</v>
      </c>
      <c r="AE24">
        <v>112.7</v>
      </c>
    </row>
    <row r="25" spans="1:31" x14ac:dyDescent="0.3">
      <c r="A25" t="s">
        <v>34</v>
      </c>
      <c r="B25">
        <v>2013</v>
      </c>
      <c r="C25" t="s">
        <v>41</v>
      </c>
      <c r="D25" s="3">
        <v>41487</v>
      </c>
      <c r="E25">
        <v>115.6</v>
      </c>
      <c r="F25">
        <v>117.2</v>
      </c>
      <c r="G25">
        <v>111.7</v>
      </c>
      <c r="H25">
        <v>109.6</v>
      </c>
      <c r="I25">
        <v>104.5</v>
      </c>
      <c r="J25">
        <v>109.8</v>
      </c>
      <c r="K25">
        <v>151.80000000000001</v>
      </c>
      <c r="L25">
        <v>106.5</v>
      </c>
      <c r="M25">
        <v>103.1</v>
      </c>
      <c r="N25">
        <v>107.4</v>
      </c>
      <c r="O25">
        <v>110.2</v>
      </c>
      <c r="P25">
        <v>113.4</v>
      </c>
      <c r="Q25">
        <v>116.6</v>
      </c>
      <c r="R25">
        <v>111.2</v>
      </c>
      <c r="S25">
        <v>111</v>
      </c>
      <c r="T25">
        <v>109.4</v>
      </c>
      <c r="U25">
        <v>110.7</v>
      </c>
      <c r="V25">
        <v>108.9</v>
      </c>
      <c r="W25">
        <v>109.7</v>
      </c>
      <c r="X25">
        <v>108.7</v>
      </c>
      <c r="Y25">
        <v>107.5</v>
      </c>
      <c r="Z25">
        <v>108</v>
      </c>
      <c r="AA25">
        <v>106.6</v>
      </c>
      <c r="AB25">
        <v>109.9</v>
      </c>
      <c r="AC25">
        <v>105.4</v>
      </c>
      <c r="AD25">
        <v>107.9</v>
      </c>
      <c r="AE25">
        <v>112.4</v>
      </c>
    </row>
    <row r="26" spans="1:31" x14ac:dyDescent="0.3">
      <c r="A26" t="s">
        <v>30</v>
      </c>
      <c r="B26">
        <v>2013</v>
      </c>
      <c r="C26" t="s">
        <v>42</v>
      </c>
      <c r="D26" s="3">
        <v>41518</v>
      </c>
      <c r="E26">
        <v>115.4</v>
      </c>
      <c r="F26">
        <v>115.7</v>
      </c>
      <c r="G26">
        <v>111.7</v>
      </c>
      <c r="H26">
        <v>111</v>
      </c>
      <c r="I26">
        <v>107.4</v>
      </c>
      <c r="J26">
        <v>110.9</v>
      </c>
      <c r="K26">
        <v>154</v>
      </c>
      <c r="L26">
        <v>108.1</v>
      </c>
      <c r="M26">
        <v>104.2</v>
      </c>
      <c r="N26">
        <v>107.9</v>
      </c>
      <c r="O26">
        <v>110.4</v>
      </c>
      <c r="P26">
        <v>114</v>
      </c>
      <c r="Q26">
        <v>117.8</v>
      </c>
      <c r="R26">
        <v>111.7</v>
      </c>
      <c r="S26">
        <v>112.7</v>
      </c>
      <c r="T26">
        <v>111.4</v>
      </c>
      <c r="U26">
        <v>112.5</v>
      </c>
      <c r="W26">
        <v>111.1</v>
      </c>
      <c r="X26">
        <v>109.6</v>
      </c>
      <c r="Y26">
        <v>108.3</v>
      </c>
      <c r="Z26">
        <v>109.3</v>
      </c>
      <c r="AA26">
        <v>107.7</v>
      </c>
      <c r="AB26">
        <v>109.8</v>
      </c>
      <c r="AC26">
        <v>106.7</v>
      </c>
      <c r="AD26">
        <v>108.7</v>
      </c>
      <c r="AE26">
        <v>114.2</v>
      </c>
    </row>
    <row r="27" spans="1:31" x14ac:dyDescent="0.3">
      <c r="A27" t="s">
        <v>33</v>
      </c>
      <c r="B27">
        <v>2013</v>
      </c>
      <c r="C27" t="s">
        <v>42</v>
      </c>
      <c r="D27" s="3">
        <v>41518</v>
      </c>
      <c r="E27">
        <v>118.6</v>
      </c>
      <c r="F27">
        <v>119.1</v>
      </c>
      <c r="G27">
        <v>113.2</v>
      </c>
      <c r="H27">
        <v>109.6</v>
      </c>
      <c r="I27">
        <v>101.7</v>
      </c>
      <c r="J27">
        <v>103.2</v>
      </c>
      <c r="K27">
        <v>174.3</v>
      </c>
      <c r="L27">
        <v>105.1</v>
      </c>
      <c r="M27">
        <v>100.8</v>
      </c>
      <c r="N27">
        <v>109.1</v>
      </c>
      <c r="O27">
        <v>111.1</v>
      </c>
      <c r="P27">
        <v>115.4</v>
      </c>
      <c r="Q27">
        <v>119.2</v>
      </c>
      <c r="R27">
        <v>112.9</v>
      </c>
      <c r="S27">
        <v>111.4</v>
      </c>
      <c r="T27">
        <v>109</v>
      </c>
      <c r="U27">
        <v>111.1</v>
      </c>
      <c r="V27">
        <v>109.7</v>
      </c>
      <c r="W27">
        <v>109.5</v>
      </c>
      <c r="X27">
        <v>109.6</v>
      </c>
      <c r="Y27">
        <v>107.9</v>
      </c>
      <c r="Z27">
        <v>110.4</v>
      </c>
      <c r="AA27">
        <v>107.4</v>
      </c>
      <c r="AB27">
        <v>111.2</v>
      </c>
      <c r="AC27">
        <v>106.9</v>
      </c>
      <c r="AD27">
        <v>109.4</v>
      </c>
      <c r="AE27">
        <v>113.2</v>
      </c>
    </row>
    <row r="28" spans="1:31" x14ac:dyDescent="0.3">
      <c r="A28" t="s">
        <v>34</v>
      </c>
      <c r="B28">
        <v>2013</v>
      </c>
      <c r="C28" t="s">
        <v>42</v>
      </c>
      <c r="D28" s="3">
        <v>41518</v>
      </c>
      <c r="E28">
        <v>116.4</v>
      </c>
      <c r="F28">
        <v>116.9</v>
      </c>
      <c r="G28">
        <v>112.3</v>
      </c>
      <c r="H28">
        <v>110.5</v>
      </c>
      <c r="I28">
        <v>105.3</v>
      </c>
      <c r="J28">
        <v>107.3</v>
      </c>
      <c r="K28">
        <v>160.9</v>
      </c>
      <c r="L28">
        <v>107.1</v>
      </c>
      <c r="M28">
        <v>103.1</v>
      </c>
      <c r="N28">
        <v>108.3</v>
      </c>
      <c r="O28">
        <v>110.7</v>
      </c>
      <c r="P28">
        <v>114.6</v>
      </c>
      <c r="Q28">
        <v>118.3</v>
      </c>
      <c r="R28">
        <v>112</v>
      </c>
      <c r="S28">
        <v>112.2</v>
      </c>
      <c r="T28">
        <v>110.4</v>
      </c>
      <c r="U28">
        <v>111.9</v>
      </c>
      <c r="V28">
        <v>109.7</v>
      </c>
      <c r="W28">
        <v>110.5</v>
      </c>
      <c r="X28">
        <v>109.6</v>
      </c>
      <c r="Y28">
        <v>108.1</v>
      </c>
      <c r="Z28">
        <v>109.9</v>
      </c>
      <c r="AA28">
        <v>107.5</v>
      </c>
      <c r="AB28">
        <v>110.6</v>
      </c>
      <c r="AC28">
        <v>106.8</v>
      </c>
      <c r="AD28">
        <v>109</v>
      </c>
      <c r="AE28">
        <v>113.7</v>
      </c>
    </row>
    <row r="29" spans="1:31" x14ac:dyDescent="0.3">
      <c r="A29" t="s">
        <v>30</v>
      </c>
      <c r="B29">
        <v>2013</v>
      </c>
      <c r="C29" t="s">
        <v>43</v>
      </c>
      <c r="D29" s="3">
        <v>41548</v>
      </c>
      <c r="E29">
        <v>116.3</v>
      </c>
      <c r="F29">
        <v>115.4</v>
      </c>
      <c r="G29">
        <v>112.6</v>
      </c>
      <c r="H29">
        <v>111.7</v>
      </c>
      <c r="I29">
        <v>107.7</v>
      </c>
      <c r="J29">
        <v>113.2</v>
      </c>
      <c r="K29">
        <v>164.9</v>
      </c>
      <c r="L29">
        <v>108.3</v>
      </c>
      <c r="M29">
        <v>103.9</v>
      </c>
      <c r="N29">
        <v>108.2</v>
      </c>
      <c r="O29">
        <v>111.1</v>
      </c>
      <c r="P29">
        <v>114.9</v>
      </c>
      <c r="Q29">
        <v>119.8</v>
      </c>
      <c r="R29">
        <v>112.2</v>
      </c>
      <c r="S29">
        <v>113.6</v>
      </c>
      <c r="T29">
        <v>112.3</v>
      </c>
      <c r="U29">
        <v>113.4</v>
      </c>
      <c r="W29">
        <v>111.6</v>
      </c>
      <c r="X29">
        <v>110.4</v>
      </c>
      <c r="Y29">
        <v>108.9</v>
      </c>
      <c r="Z29">
        <v>109.3</v>
      </c>
      <c r="AA29">
        <v>108.3</v>
      </c>
      <c r="AB29">
        <v>110.2</v>
      </c>
      <c r="AC29">
        <v>107.5</v>
      </c>
      <c r="AD29">
        <v>109.1</v>
      </c>
      <c r="AE29">
        <v>115.5</v>
      </c>
    </row>
    <row r="30" spans="1:31" x14ac:dyDescent="0.3">
      <c r="A30" t="s">
        <v>33</v>
      </c>
      <c r="B30">
        <v>2013</v>
      </c>
      <c r="C30" t="s">
        <v>43</v>
      </c>
      <c r="D30" s="3">
        <v>41548</v>
      </c>
      <c r="E30">
        <v>118.9</v>
      </c>
      <c r="F30">
        <v>118.1</v>
      </c>
      <c r="G30">
        <v>114.5</v>
      </c>
      <c r="H30">
        <v>110.4</v>
      </c>
      <c r="I30">
        <v>102.3</v>
      </c>
      <c r="J30">
        <v>106.2</v>
      </c>
      <c r="K30">
        <v>183.5</v>
      </c>
      <c r="L30">
        <v>105.3</v>
      </c>
      <c r="M30">
        <v>100.2</v>
      </c>
      <c r="N30">
        <v>109.6</v>
      </c>
      <c r="O30">
        <v>111.4</v>
      </c>
      <c r="P30">
        <v>116</v>
      </c>
      <c r="Q30">
        <v>120.8</v>
      </c>
      <c r="R30">
        <v>113.5</v>
      </c>
      <c r="S30">
        <v>112.5</v>
      </c>
      <c r="T30">
        <v>109.7</v>
      </c>
      <c r="U30">
        <v>112</v>
      </c>
      <c r="V30">
        <v>110.5</v>
      </c>
      <c r="W30">
        <v>109.7</v>
      </c>
      <c r="X30">
        <v>110.2</v>
      </c>
      <c r="Y30">
        <v>108.2</v>
      </c>
      <c r="Z30">
        <v>109.7</v>
      </c>
      <c r="AA30">
        <v>108</v>
      </c>
      <c r="AB30">
        <v>111.3</v>
      </c>
      <c r="AC30">
        <v>107.3</v>
      </c>
      <c r="AD30">
        <v>109.4</v>
      </c>
      <c r="AE30">
        <v>114</v>
      </c>
    </row>
    <row r="31" spans="1:31" x14ac:dyDescent="0.3">
      <c r="A31" t="s">
        <v>34</v>
      </c>
      <c r="B31">
        <v>2013</v>
      </c>
      <c r="C31" t="s">
        <v>43</v>
      </c>
      <c r="D31" s="3">
        <v>41548</v>
      </c>
      <c r="E31">
        <v>117.1</v>
      </c>
      <c r="F31">
        <v>116.3</v>
      </c>
      <c r="G31">
        <v>113.3</v>
      </c>
      <c r="H31">
        <v>111.2</v>
      </c>
      <c r="I31">
        <v>105.7</v>
      </c>
      <c r="J31">
        <v>109.9</v>
      </c>
      <c r="K31">
        <v>171.2</v>
      </c>
      <c r="L31">
        <v>107.3</v>
      </c>
      <c r="M31">
        <v>102.7</v>
      </c>
      <c r="N31">
        <v>108.7</v>
      </c>
      <c r="O31">
        <v>111.2</v>
      </c>
      <c r="P31">
        <v>115.4</v>
      </c>
      <c r="Q31">
        <v>120.2</v>
      </c>
      <c r="R31">
        <v>112.5</v>
      </c>
      <c r="S31">
        <v>113.2</v>
      </c>
      <c r="T31">
        <v>111.2</v>
      </c>
      <c r="U31">
        <v>112.8</v>
      </c>
      <c r="V31">
        <v>110.5</v>
      </c>
      <c r="W31">
        <v>110.9</v>
      </c>
      <c r="X31">
        <v>110.3</v>
      </c>
      <c r="Y31">
        <v>108.6</v>
      </c>
      <c r="Z31">
        <v>109.5</v>
      </c>
      <c r="AA31">
        <v>108.1</v>
      </c>
      <c r="AB31">
        <v>110.8</v>
      </c>
      <c r="AC31">
        <v>107.4</v>
      </c>
      <c r="AD31">
        <v>109.2</v>
      </c>
      <c r="AE31">
        <v>114.8</v>
      </c>
    </row>
    <row r="32" spans="1:31" x14ac:dyDescent="0.3">
      <c r="A32" t="s">
        <v>30</v>
      </c>
      <c r="B32">
        <v>2013</v>
      </c>
      <c r="C32" t="s">
        <v>45</v>
      </c>
      <c r="D32" s="3">
        <v>41579</v>
      </c>
      <c r="E32">
        <v>117.3</v>
      </c>
      <c r="F32">
        <v>114.9</v>
      </c>
      <c r="G32">
        <v>116.2</v>
      </c>
      <c r="H32">
        <v>112.8</v>
      </c>
      <c r="I32">
        <v>108.9</v>
      </c>
      <c r="J32">
        <v>116.6</v>
      </c>
      <c r="K32">
        <v>178.1</v>
      </c>
      <c r="L32">
        <v>109.1</v>
      </c>
      <c r="M32">
        <v>103.6</v>
      </c>
      <c r="N32">
        <v>109</v>
      </c>
      <c r="O32">
        <v>111.8</v>
      </c>
      <c r="P32">
        <v>116</v>
      </c>
      <c r="Q32">
        <v>122.5</v>
      </c>
      <c r="R32">
        <v>112.8</v>
      </c>
      <c r="S32">
        <v>114.6</v>
      </c>
      <c r="T32">
        <v>113.1</v>
      </c>
      <c r="U32">
        <v>114.4</v>
      </c>
      <c r="W32">
        <v>112.6</v>
      </c>
      <c r="X32">
        <v>111.3</v>
      </c>
      <c r="Y32">
        <v>109.7</v>
      </c>
      <c r="Z32">
        <v>109.6</v>
      </c>
      <c r="AA32">
        <v>108.7</v>
      </c>
      <c r="AB32">
        <v>111</v>
      </c>
      <c r="AC32">
        <v>108.2</v>
      </c>
      <c r="AD32">
        <v>109.8</v>
      </c>
      <c r="AE32">
        <v>117.4</v>
      </c>
    </row>
    <row r="33" spans="1:31" x14ac:dyDescent="0.3">
      <c r="A33" t="s">
        <v>33</v>
      </c>
      <c r="B33">
        <v>2013</v>
      </c>
      <c r="C33" t="s">
        <v>45</v>
      </c>
      <c r="D33" s="3">
        <v>41579</v>
      </c>
      <c r="E33">
        <v>119.8</v>
      </c>
      <c r="F33">
        <v>116.3</v>
      </c>
      <c r="G33">
        <v>122.6</v>
      </c>
      <c r="H33">
        <v>112</v>
      </c>
      <c r="I33">
        <v>103.2</v>
      </c>
      <c r="J33">
        <v>110</v>
      </c>
      <c r="K33">
        <v>192.8</v>
      </c>
      <c r="L33">
        <v>106.3</v>
      </c>
      <c r="M33">
        <v>99.5</v>
      </c>
      <c r="N33">
        <v>110.3</v>
      </c>
      <c r="O33">
        <v>111.8</v>
      </c>
      <c r="P33">
        <v>117.1</v>
      </c>
      <c r="Q33">
        <v>122.9</v>
      </c>
      <c r="R33">
        <v>114.1</v>
      </c>
      <c r="S33">
        <v>113.5</v>
      </c>
      <c r="T33">
        <v>110.3</v>
      </c>
      <c r="U33">
        <v>113</v>
      </c>
      <c r="V33">
        <v>111.1</v>
      </c>
      <c r="W33">
        <v>110</v>
      </c>
      <c r="X33">
        <v>110.9</v>
      </c>
      <c r="Y33">
        <v>108.6</v>
      </c>
      <c r="Z33">
        <v>109.5</v>
      </c>
      <c r="AA33">
        <v>108.5</v>
      </c>
      <c r="AB33">
        <v>111.3</v>
      </c>
      <c r="AC33">
        <v>107.9</v>
      </c>
      <c r="AD33">
        <v>109.6</v>
      </c>
      <c r="AE33">
        <v>115</v>
      </c>
    </row>
    <row r="34" spans="1:31" x14ac:dyDescent="0.3">
      <c r="A34" t="s">
        <v>34</v>
      </c>
      <c r="B34">
        <v>2013</v>
      </c>
      <c r="C34" t="s">
        <v>45</v>
      </c>
      <c r="D34" s="3">
        <v>41579</v>
      </c>
      <c r="E34">
        <v>118.1</v>
      </c>
      <c r="F34">
        <v>115.4</v>
      </c>
      <c r="G34">
        <v>118.7</v>
      </c>
      <c r="H34">
        <v>112.5</v>
      </c>
      <c r="I34">
        <v>106.8</v>
      </c>
      <c r="J34">
        <v>113.5</v>
      </c>
      <c r="K34">
        <v>183.1</v>
      </c>
      <c r="L34">
        <v>108.2</v>
      </c>
      <c r="M34">
        <v>102.2</v>
      </c>
      <c r="N34">
        <v>109.4</v>
      </c>
      <c r="O34">
        <v>111.8</v>
      </c>
      <c r="P34">
        <v>116.5</v>
      </c>
      <c r="Q34">
        <v>122.6</v>
      </c>
      <c r="R34">
        <v>113.1</v>
      </c>
      <c r="S34">
        <v>114.2</v>
      </c>
      <c r="T34">
        <v>111.9</v>
      </c>
      <c r="U34">
        <v>113.8</v>
      </c>
      <c r="V34">
        <v>111.1</v>
      </c>
      <c r="W34">
        <v>111.6</v>
      </c>
      <c r="X34">
        <v>111.1</v>
      </c>
      <c r="Y34">
        <v>109.3</v>
      </c>
      <c r="Z34">
        <v>109.5</v>
      </c>
      <c r="AA34">
        <v>108.6</v>
      </c>
      <c r="AB34">
        <v>111.2</v>
      </c>
      <c r="AC34">
        <v>108.1</v>
      </c>
      <c r="AD34">
        <v>109.7</v>
      </c>
      <c r="AE34">
        <v>116.3</v>
      </c>
    </row>
    <row r="35" spans="1:31" x14ac:dyDescent="0.3">
      <c r="A35" t="s">
        <v>30</v>
      </c>
      <c r="B35">
        <v>2013</v>
      </c>
      <c r="C35" t="s">
        <v>46</v>
      </c>
      <c r="D35" s="3">
        <v>41609</v>
      </c>
      <c r="E35">
        <v>118.4</v>
      </c>
      <c r="F35">
        <v>115.9</v>
      </c>
      <c r="G35">
        <v>120.4</v>
      </c>
      <c r="H35">
        <v>113.8</v>
      </c>
      <c r="I35">
        <v>109.5</v>
      </c>
      <c r="J35">
        <v>115.5</v>
      </c>
      <c r="K35">
        <v>145.69999999999999</v>
      </c>
      <c r="L35">
        <v>109.5</v>
      </c>
      <c r="M35">
        <v>102.9</v>
      </c>
      <c r="N35">
        <v>109.8</v>
      </c>
      <c r="O35">
        <v>112.1</v>
      </c>
      <c r="P35">
        <v>116.8</v>
      </c>
      <c r="Q35">
        <v>118.7</v>
      </c>
      <c r="R35">
        <v>113.6</v>
      </c>
      <c r="S35">
        <v>115.8</v>
      </c>
      <c r="T35">
        <v>114</v>
      </c>
      <c r="U35">
        <v>115.5</v>
      </c>
      <c r="W35">
        <v>112.8</v>
      </c>
      <c r="X35">
        <v>112.1</v>
      </c>
      <c r="Y35">
        <v>110.1</v>
      </c>
      <c r="Z35">
        <v>109.9</v>
      </c>
      <c r="AA35">
        <v>109.2</v>
      </c>
      <c r="AB35">
        <v>111.6</v>
      </c>
      <c r="AC35">
        <v>108.1</v>
      </c>
      <c r="AD35">
        <v>110.1</v>
      </c>
      <c r="AE35">
        <v>115.5</v>
      </c>
    </row>
    <row r="36" spans="1:31" x14ac:dyDescent="0.3">
      <c r="A36" t="s">
        <v>33</v>
      </c>
      <c r="B36">
        <v>2013</v>
      </c>
      <c r="C36" t="s">
        <v>46</v>
      </c>
      <c r="D36" s="3">
        <v>41609</v>
      </c>
      <c r="E36">
        <v>120.5</v>
      </c>
      <c r="F36">
        <v>118.1</v>
      </c>
      <c r="G36">
        <v>128.5</v>
      </c>
      <c r="H36">
        <v>112.8</v>
      </c>
      <c r="I36">
        <v>103.4</v>
      </c>
      <c r="J36">
        <v>110.7</v>
      </c>
      <c r="K36">
        <v>144.80000000000001</v>
      </c>
      <c r="L36">
        <v>107.1</v>
      </c>
      <c r="M36">
        <v>98.6</v>
      </c>
      <c r="N36">
        <v>111.9</v>
      </c>
      <c r="O36">
        <v>112.1</v>
      </c>
      <c r="P36">
        <v>118.1</v>
      </c>
      <c r="Q36">
        <v>117.8</v>
      </c>
      <c r="R36">
        <v>115</v>
      </c>
      <c r="S36">
        <v>114.2</v>
      </c>
      <c r="T36">
        <v>110.9</v>
      </c>
      <c r="U36">
        <v>113.7</v>
      </c>
      <c r="V36">
        <v>110.7</v>
      </c>
      <c r="W36">
        <v>110.4</v>
      </c>
      <c r="X36">
        <v>111.3</v>
      </c>
      <c r="Y36">
        <v>109</v>
      </c>
      <c r="Z36">
        <v>109.7</v>
      </c>
      <c r="AA36">
        <v>108.9</v>
      </c>
      <c r="AB36">
        <v>111.4</v>
      </c>
      <c r="AC36">
        <v>107.7</v>
      </c>
      <c r="AD36">
        <v>109.8</v>
      </c>
      <c r="AE36">
        <v>113.3</v>
      </c>
    </row>
    <row r="37" spans="1:31" x14ac:dyDescent="0.3">
      <c r="A37" t="s">
        <v>34</v>
      </c>
      <c r="B37">
        <v>2013</v>
      </c>
      <c r="C37" t="s">
        <v>46</v>
      </c>
      <c r="D37" s="3">
        <v>41609</v>
      </c>
      <c r="E37">
        <v>119.1</v>
      </c>
      <c r="F37">
        <v>116.7</v>
      </c>
      <c r="G37">
        <v>123.5</v>
      </c>
      <c r="H37">
        <v>113.4</v>
      </c>
      <c r="I37">
        <v>107.3</v>
      </c>
      <c r="J37">
        <v>113.3</v>
      </c>
      <c r="K37">
        <v>145.4</v>
      </c>
      <c r="L37">
        <v>108.7</v>
      </c>
      <c r="M37">
        <v>101.5</v>
      </c>
      <c r="N37">
        <v>110.5</v>
      </c>
      <c r="O37">
        <v>112.1</v>
      </c>
      <c r="P37">
        <v>117.4</v>
      </c>
      <c r="Q37">
        <v>118.4</v>
      </c>
      <c r="R37">
        <v>114</v>
      </c>
      <c r="S37">
        <v>115.2</v>
      </c>
      <c r="T37">
        <v>112.7</v>
      </c>
      <c r="U37">
        <v>114.8</v>
      </c>
      <c r="V37">
        <v>110.7</v>
      </c>
      <c r="W37">
        <v>111.9</v>
      </c>
      <c r="X37">
        <v>111.7</v>
      </c>
      <c r="Y37">
        <v>109.7</v>
      </c>
      <c r="Z37">
        <v>109.8</v>
      </c>
      <c r="AA37">
        <v>109</v>
      </c>
      <c r="AB37">
        <v>111.5</v>
      </c>
      <c r="AC37">
        <v>107.9</v>
      </c>
      <c r="AD37">
        <v>110</v>
      </c>
      <c r="AE37">
        <v>114.5</v>
      </c>
    </row>
    <row r="38" spans="1:31" x14ac:dyDescent="0.3">
      <c r="A38" t="s">
        <v>30</v>
      </c>
      <c r="B38">
        <v>2014</v>
      </c>
      <c r="C38" t="s">
        <v>31</v>
      </c>
      <c r="D38" s="3">
        <v>41640</v>
      </c>
      <c r="E38">
        <v>118.9</v>
      </c>
      <c r="F38">
        <v>117.1</v>
      </c>
      <c r="G38">
        <v>120.5</v>
      </c>
      <c r="H38">
        <v>114.4</v>
      </c>
      <c r="I38">
        <v>109</v>
      </c>
      <c r="J38">
        <v>115.5</v>
      </c>
      <c r="K38">
        <v>123.9</v>
      </c>
      <c r="L38">
        <v>109.6</v>
      </c>
      <c r="M38">
        <v>101.8</v>
      </c>
      <c r="N38">
        <v>110.2</v>
      </c>
      <c r="O38">
        <v>112.4</v>
      </c>
      <c r="P38">
        <v>117.3</v>
      </c>
      <c r="Q38">
        <v>116</v>
      </c>
      <c r="R38">
        <v>114</v>
      </c>
      <c r="S38">
        <v>116.5</v>
      </c>
      <c r="T38">
        <v>114.5</v>
      </c>
      <c r="U38">
        <v>116.2</v>
      </c>
      <c r="W38">
        <v>113</v>
      </c>
      <c r="X38">
        <v>112.6</v>
      </c>
      <c r="Y38">
        <v>110.6</v>
      </c>
      <c r="Z38">
        <v>110.5</v>
      </c>
      <c r="AA38">
        <v>109.6</v>
      </c>
      <c r="AB38">
        <v>111.8</v>
      </c>
      <c r="AC38">
        <v>108.3</v>
      </c>
      <c r="AD38">
        <v>110.6</v>
      </c>
      <c r="AE38">
        <v>114.2</v>
      </c>
    </row>
    <row r="39" spans="1:31" x14ac:dyDescent="0.3">
      <c r="A39" t="s">
        <v>33</v>
      </c>
      <c r="B39">
        <v>2014</v>
      </c>
      <c r="C39" t="s">
        <v>31</v>
      </c>
      <c r="D39" s="3">
        <v>41640</v>
      </c>
      <c r="E39">
        <v>121.2</v>
      </c>
      <c r="F39">
        <v>122</v>
      </c>
      <c r="G39">
        <v>129.9</v>
      </c>
      <c r="H39">
        <v>113.6</v>
      </c>
      <c r="I39">
        <v>102.9</v>
      </c>
      <c r="J39">
        <v>112.1</v>
      </c>
      <c r="K39">
        <v>118.9</v>
      </c>
      <c r="L39">
        <v>107.5</v>
      </c>
      <c r="M39">
        <v>96.9</v>
      </c>
      <c r="N39">
        <v>112.7</v>
      </c>
      <c r="O39">
        <v>112.1</v>
      </c>
      <c r="P39">
        <v>119</v>
      </c>
      <c r="Q39">
        <v>115.5</v>
      </c>
      <c r="R39">
        <v>115.7</v>
      </c>
      <c r="S39">
        <v>114.8</v>
      </c>
      <c r="T39">
        <v>111.3</v>
      </c>
      <c r="U39">
        <v>114.3</v>
      </c>
      <c r="V39">
        <v>111.6</v>
      </c>
      <c r="W39">
        <v>111</v>
      </c>
      <c r="X39">
        <v>111.9</v>
      </c>
      <c r="Y39">
        <v>109.7</v>
      </c>
      <c r="Z39">
        <v>110.8</v>
      </c>
      <c r="AA39">
        <v>109.8</v>
      </c>
      <c r="AB39">
        <v>111.5</v>
      </c>
      <c r="AC39">
        <v>108</v>
      </c>
      <c r="AD39">
        <v>110.5</v>
      </c>
      <c r="AE39">
        <v>112.9</v>
      </c>
    </row>
    <row r="40" spans="1:31" x14ac:dyDescent="0.3">
      <c r="A40" t="s">
        <v>34</v>
      </c>
      <c r="B40">
        <v>2014</v>
      </c>
      <c r="C40" t="s">
        <v>31</v>
      </c>
      <c r="D40" s="3">
        <v>41640</v>
      </c>
      <c r="E40">
        <v>119.6</v>
      </c>
      <c r="F40">
        <v>118.8</v>
      </c>
      <c r="G40">
        <v>124.1</v>
      </c>
      <c r="H40">
        <v>114.1</v>
      </c>
      <c r="I40">
        <v>106.8</v>
      </c>
      <c r="J40">
        <v>113.9</v>
      </c>
      <c r="K40">
        <v>122.2</v>
      </c>
      <c r="L40">
        <v>108.9</v>
      </c>
      <c r="M40">
        <v>100.2</v>
      </c>
      <c r="N40">
        <v>111</v>
      </c>
      <c r="O40">
        <v>112.3</v>
      </c>
      <c r="P40">
        <v>118.1</v>
      </c>
      <c r="Q40">
        <v>115.8</v>
      </c>
      <c r="R40">
        <v>114.5</v>
      </c>
      <c r="S40">
        <v>115.8</v>
      </c>
      <c r="T40">
        <v>113.2</v>
      </c>
      <c r="U40">
        <v>115.4</v>
      </c>
      <c r="V40">
        <v>111.6</v>
      </c>
      <c r="W40">
        <v>112.2</v>
      </c>
      <c r="X40">
        <v>112.3</v>
      </c>
      <c r="Y40">
        <v>110.3</v>
      </c>
      <c r="Z40">
        <v>110.7</v>
      </c>
      <c r="AA40">
        <v>109.7</v>
      </c>
      <c r="AB40">
        <v>111.6</v>
      </c>
      <c r="AC40">
        <v>108.2</v>
      </c>
      <c r="AD40">
        <v>110.6</v>
      </c>
      <c r="AE40">
        <v>113.6</v>
      </c>
    </row>
    <row r="41" spans="1:31" x14ac:dyDescent="0.3">
      <c r="A41" t="s">
        <v>30</v>
      </c>
      <c r="B41">
        <v>2014</v>
      </c>
      <c r="C41" t="s">
        <v>35</v>
      </c>
      <c r="D41" s="3">
        <v>41671</v>
      </c>
      <c r="E41">
        <v>119.4</v>
      </c>
      <c r="F41">
        <v>117.7</v>
      </c>
      <c r="G41">
        <v>121.2</v>
      </c>
      <c r="H41">
        <v>115</v>
      </c>
      <c r="I41">
        <v>109</v>
      </c>
      <c r="J41">
        <v>116.6</v>
      </c>
      <c r="K41">
        <v>116</v>
      </c>
      <c r="L41">
        <v>109.8</v>
      </c>
      <c r="M41">
        <v>101.1</v>
      </c>
      <c r="N41">
        <v>110.4</v>
      </c>
      <c r="O41">
        <v>112.9</v>
      </c>
      <c r="P41">
        <v>117.8</v>
      </c>
      <c r="Q41">
        <v>115.3</v>
      </c>
      <c r="R41">
        <v>114.2</v>
      </c>
      <c r="S41">
        <v>117.1</v>
      </c>
      <c r="T41">
        <v>114.5</v>
      </c>
      <c r="U41">
        <v>116.7</v>
      </c>
      <c r="W41">
        <v>113.2</v>
      </c>
      <c r="X41">
        <v>112.9</v>
      </c>
      <c r="Y41">
        <v>110.9</v>
      </c>
      <c r="Z41">
        <v>110.8</v>
      </c>
      <c r="AA41">
        <v>109.9</v>
      </c>
      <c r="AB41">
        <v>112</v>
      </c>
      <c r="AC41">
        <v>108.7</v>
      </c>
      <c r="AD41">
        <v>110.9</v>
      </c>
      <c r="AE41">
        <v>114</v>
      </c>
    </row>
    <row r="42" spans="1:31" x14ac:dyDescent="0.3">
      <c r="A42" t="s">
        <v>33</v>
      </c>
      <c r="B42">
        <v>2014</v>
      </c>
      <c r="C42" t="s">
        <v>35</v>
      </c>
      <c r="D42" s="3">
        <v>41671</v>
      </c>
      <c r="E42">
        <v>121.9</v>
      </c>
      <c r="F42">
        <v>122</v>
      </c>
      <c r="G42">
        <v>124.5</v>
      </c>
      <c r="H42">
        <v>115.2</v>
      </c>
      <c r="I42">
        <v>102.5</v>
      </c>
      <c r="J42">
        <v>114.1</v>
      </c>
      <c r="K42">
        <v>111.5</v>
      </c>
      <c r="L42">
        <v>108.2</v>
      </c>
      <c r="M42">
        <v>95.4</v>
      </c>
      <c r="N42">
        <v>113.5</v>
      </c>
      <c r="O42">
        <v>112.1</v>
      </c>
      <c r="P42">
        <v>119.9</v>
      </c>
      <c r="Q42">
        <v>115.2</v>
      </c>
      <c r="R42">
        <v>116.2</v>
      </c>
      <c r="S42">
        <v>115.3</v>
      </c>
      <c r="T42">
        <v>111.7</v>
      </c>
      <c r="U42">
        <v>114.7</v>
      </c>
      <c r="V42">
        <v>112.5</v>
      </c>
      <c r="W42">
        <v>111.1</v>
      </c>
      <c r="X42">
        <v>112.6</v>
      </c>
      <c r="Y42">
        <v>110.4</v>
      </c>
      <c r="Z42">
        <v>111.3</v>
      </c>
      <c r="AA42">
        <v>110.3</v>
      </c>
      <c r="AB42">
        <v>111.6</v>
      </c>
      <c r="AC42">
        <v>108.7</v>
      </c>
      <c r="AD42">
        <v>111</v>
      </c>
      <c r="AE42">
        <v>113.1</v>
      </c>
    </row>
    <row r="43" spans="1:31" x14ac:dyDescent="0.3">
      <c r="A43" t="s">
        <v>34</v>
      </c>
      <c r="B43">
        <v>2014</v>
      </c>
      <c r="C43" t="s">
        <v>35</v>
      </c>
      <c r="D43" s="3">
        <v>41671</v>
      </c>
      <c r="E43">
        <v>120.2</v>
      </c>
      <c r="F43">
        <v>119.2</v>
      </c>
      <c r="G43">
        <v>122.5</v>
      </c>
      <c r="H43">
        <v>115.1</v>
      </c>
      <c r="I43">
        <v>106.6</v>
      </c>
      <c r="J43">
        <v>115.4</v>
      </c>
      <c r="K43">
        <v>114.5</v>
      </c>
      <c r="L43">
        <v>109.3</v>
      </c>
      <c r="M43">
        <v>99.2</v>
      </c>
      <c r="N43">
        <v>111.4</v>
      </c>
      <c r="O43">
        <v>112.6</v>
      </c>
      <c r="P43">
        <v>118.8</v>
      </c>
      <c r="Q43">
        <v>115.3</v>
      </c>
      <c r="R43">
        <v>114.7</v>
      </c>
      <c r="S43">
        <v>116.4</v>
      </c>
      <c r="T43">
        <v>113.3</v>
      </c>
      <c r="U43">
        <v>115.9</v>
      </c>
      <c r="V43">
        <v>112.5</v>
      </c>
      <c r="W43">
        <v>112.4</v>
      </c>
      <c r="X43">
        <v>112.8</v>
      </c>
      <c r="Y43">
        <v>110.7</v>
      </c>
      <c r="Z43">
        <v>111.1</v>
      </c>
      <c r="AA43">
        <v>110.1</v>
      </c>
      <c r="AB43">
        <v>111.8</v>
      </c>
      <c r="AC43">
        <v>108.7</v>
      </c>
      <c r="AD43">
        <v>110.9</v>
      </c>
      <c r="AE43">
        <v>113.6</v>
      </c>
    </row>
    <row r="44" spans="1:31" x14ac:dyDescent="0.3">
      <c r="A44" t="s">
        <v>30</v>
      </c>
      <c r="B44">
        <v>2014</v>
      </c>
      <c r="C44" t="s">
        <v>36</v>
      </c>
      <c r="D44" s="3">
        <v>41699</v>
      </c>
      <c r="E44">
        <v>120.1</v>
      </c>
      <c r="F44">
        <v>118.1</v>
      </c>
      <c r="G44">
        <v>120.7</v>
      </c>
      <c r="H44">
        <v>116.1</v>
      </c>
      <c r="I44">
        <v>109.3</v>
      </c>
      <c r="J44">
        <v>119.6</v>
      </c>
      <c r="K44">
        <v>117.9</v>
      </c>
      <c r="L44">
        <v>110.2</v>
      </c>
      <c r="M44">
        <v>101.2</v>
      </c>
      <c r="N44">
        <v>110.7</v>
      </c>
      <c r="O44">
        <v>113</v>
      </c>
      <c r="P44">
        <v>118.3</v>
      </c>
      <c r="Q44">
        <v>116.2</v>
      </c>
      <c r="R44">
        <v>114.6</v>
      </c>
      <c r="S44">
        <v>117.5</v>
      </c>
      <c r="T44">
        <v>114.9</v>
      </c>
      <c r="U44">
        <v>117.2</v>
      </c>
      <c r="W44">
        <v>113.4</v>
      </c>
      <c r="X44">
        <v>113.4</v>
      </c>
      <c r="Y44">
        <v>111.4</v>
      </c>
      <c r="Z44">
        <v>111.2</v>
      </c>
      <c r="AA44">
        <v>110.2</v>
      </c>
      <c r="AB44">
        <v>112.4</v>
      </c>
      <c r="AC44">
        <v>108.9</v>
      </c>
      <c r="AD44">
        <v>111.3</v>
      </c>
      <c r="AE44">
        <v>114.6</v>
      </c>
    </row>
    <row r="45" spans="1:31" x14ac:dyDescent="0.3">
      <c r="A45" t="s">
        <v>33</v>
      </c>
      <c r="B45">
        <v>2014</v>
      </c>
      <c r="C45" t="s">
        <v>36</v>
      </c>
      <c r="D45" s="3">
        <v>41699</v>
      </c>
      <c r="E45">
        <v>122.1</v>
      </c>
      <c r="F45">
        <v>121.4</v>
      </c>
      <c r="G45">
        <v>121.5</v>
      </c>
      <c r="H45">
        <v>116.2</v>
      </c>
      <c r="I45">
        <v>102.8</v>
      </c>
      <c r="J45">
        <v>117.7</v>
      </c>
      <c r="K45">
        <v>113.3</v>
      </c>
      <c r="L45">
        <v>108.9</v>
      </c>
      <c r="M45">
        <v>96.3</v>
      </c>
      <c r="N45">
        <v>114.1</v>
      </c>
      <c r="O45">
        <v>112.2</v>
      </c>
      <c r="P45">
        <v>120.5</v>
      </c>
      <c r="Q45">
        <v>116</v>
      </c>
      <c r="R45">
        <v>116.7</v>
      </c>
      <c r="S45">
        <v>115.8</v>
      </c>
      <c r="T45">
        <v>112.1</v>
      </c>
      <c r="U45">
        <v>115.2</v>
      </c>
      <c r="V45">
        <v>113.2</v>
      </c>
      <c r="W45">
        <v>110.9</v>
      </c>
      <c r="X45">
        <v>113</v>
      </c>
      <c r="Y45">
        <v>110.8</v>
      </c>
      <c r="Z45">
        <v>111.6</v>
      </c>
      <c r="AA45">
        <v>110.9</v>
      </c>
      <c r="AB45">
        <v>111.8</v>
      </c>
      <c r="AC45">
        <v>109.2</v>
      </c>
      <c r="AD45">
        <v>111.4</v>
      </c>
      <c r="AE45">
        <v>113.7</v>
      </c>
    </row>
    <row r="46" spans="1:31" x14ac:dyDescent="0.3">
      <c r="A46" t="s">
        <v>34</v>
      </c>
      <c r="B46">
        <v>2014</v>
      </c>
      <c r="C46" t="s">
        <v>36</v>
      </c>
      <c r="D46" s="3">
        <v>41699</v>
      </c>
      <c r="E46">
        <v>120.7</v>
      </c>
      <c r="F46">
        <v>119.3</v>
      </c>
      <c r="G46">
        <v>121</v>
      </c>
      <c r="H46">
        <v>116.1</v>
      </c>
      <c r="I46">
        <v>106.9</v>
      </c>
      <c r="J46">
        <v>118.7</v>
      </c>
      <c r="K46">
        <v>116.3</v>
      </c>
      <c r="L46">
        <v>109.8</v>
      </c>
      <c r="M46">
        <v>99.6</v>
      </c>
      <c r="N46">
        <v>111.8</v>
      </c>
      <c r="O46">
        <v>112.7</v>
      </c>
      <c r="P46">
        <v>119.3</v>
      </c>
      <c r="Q46">
        <v>116.1</v>
      </c>
      <c r="R46">
        <v>115.2</v>
      </c>
      <c r="S46">
        <v>116.8</v>
      </c>
      <c r="T46">
        <v>113.7</v>
      </c>
      <c r="U46">
        <v>116.4</v>
      </c>
      <c r="V46">
        <v>113.2</v>
      </c>
      <c r="W46">
        <v>112.5</v>
      </c>
      <c r="X46">
        <v>113.2</v>
      </c>
      <c r="Y46">
        <v>111.2</v>
      </c>
      <c r="Z46">
        <v>111.4</v>
      </c>
      <c r="AA46">
        <v>110.6</v>
      </c>
      <c r="AB46">
        <v>112</v>
      </c>
      <c r="AC46">
        <v>109</v>
      </c>
      <c r="AD46">
        <v>111.3</v>
      </c>
      <c r="AE46">
        <v>114.2</v>
      </c>
    </row>
    <row r="47" spans="1:31" x14ac:dyDescent="0.3">
      <c r="A47" t="s">
        <v>30</v>
      </c>
      <c r="B47">
        <v>2014</v>
      </c>
      <c r="C47" t="s">
        <v>37</v>
      </c>
      <c r="D47" s="3">
        <v>41730</v>
      </c>
      <c r="E47">
        <v>120.2</v>
      </c>
      <c r="F47">
        <v>118.9</v>
      </c>
      <c r="G47">
        <v>118.1</v>
      </c>
      <c r="H47">
        <v>117</v>
      </c>
      <c r="I47">
        <v>109.7</v>
      </c>
      <c r="J47">
        <v>125.5</v>
      </c>
      <c r="K47">
        <v>120.5</v>
      </c>
      <c r="L47">
        <v>111</v>
      </c>
      <c r="M47">
        <v>102.6</v>
      </c>
      <c r="N47">
        <v>111.2</v>
      </c>
      <c r="O47">
        <v>113.5</v>
      </c>
      <c r="P47">
        <v>118.7</v>
      </c>
      <c r="Q47">
        <v>117.2</v>
      </c>
      <c r="R47">
        <v>115.4</v>
      </c>
      <c r="S47">
        <v>118.1</v>
      </c>
      <c r="T47">
        <v>116.1</v>
      </c>
      <c r="U47">
        <v>117.8</v>
      </c>
      <c r="W47">
        <v>113.4</v>
      </c>
      <c r="X47">
        <v>113.7</v>
      </c>
      <c r="Y47">
        <v>111.8</v>
      </c>
      <c r="Z47">
        <v>111.2</v>
      </c>
      <c r="AA47">
        <v>110.5</v>
      </c>
      <c r="AB47">
        <v>113</v>
      </c>
      <c r="AC47">
        <v>108.9</v>
      </c>
      <c r="AD47">
        <v>111.5</v>
      </c>
      <c r="AE47">
        <v>115.4</v>
      </c>
    </row>
    <row r="48" spans="1:31" x14ac:dyDescent="0.3">
      <c r="A48" t="s">
        <v>33</v>
      </c>
      <c r="B48">
        <v>2014</v>
      </c>
      <c r="C48" t="s">
        <v>37</v>
      </c>
      <c r="D48" s="3">
        <v>41730</v>
      </c>
      <c r="E48">
        <v>122.5</v>
      </c>
      <c r="F48">
        <v>121.7</v>
      </c>
      <c r="G48">
        <v>113.3</v>
      </c>
      <c r="H48">
        <v>117</v>
      </c>
      <c r="I48">
        <v>103.1</v>
      </c>
      <c r="J48">
        <v>126.7</v>
      </c>
      <c r="K48">
        <v>121.2</v>
      </c>
      <c r="L48">
        <v>111</v>
      </c>
      <c r="M48">
        <v>100.3</v>
      </c>
      <c r="N48">
        <v>115.3</v>
      </c>
      <c r="O48">
        <v>112.7</v>
      </c>
      <c r="P48">
        <v>121</v>
      </c>
      <c r="Q48">
        <v>118.2</v>
      </c>
      <c r="R48">
        <v>117.6</v>
      </c>
      <c r="S48">
        <v>116.3</v>
      </c>
      <c r="T48">
        <v>112.5</v>
      </c>
      <c r="U48">
        <v>115.7</v>
      </c>
      <c r="V48">
        <v>113.9</v>
      </c>
      <c r="W48">
        <v>110.9</v>
      </c>
      <c r="X48">
        <v>113.4</v>
      </c>
      <c r="Y48">
        <v>111</v>
      </c>
      <c r="Z48">
        <v>111.2</v>
      </c>
      <c r="AA48">
        <v>111.2</v>
      </c>
      <c r="AB48">
        <v>112.5</v>
      </c>
      <c r="AC48">
        <v>109.1</v>
      </c>
      <c r="AD48">
        <v>111.4</v>
      </c>
      <c r="AE48">
        <v>114.7</v>
      </c>
    </row>
    <row r="49" spans="1:31" x14ac:dyDescent="0.3">
      <c r="A49" t="s">
        <v>34</v>
      </c>
      <c r="B49">
        <v>2014</v>
      </c>
      <c r="C49" t="s">
        <v>37</v>
      </c>
      <c r="D49" s="3">
        <v>41730</v>
      </c>
      <c r="E49">
        <v>120.9</v>
      </c>
      <c r="F49">
        <v>119.9</v>
      </c>
      <c r="G49">
        <v>116.2</v>
      </c>
      <c r="H49">
        <v>117</v>
      </c>
      <c r="I49">
        <v>107.3</v>
      </c>
      <c r="J49">
        <v>126.1</v>
      </c>
      <c r="K49">
        <v>120.7</v>
      </c>
      <c r="L49">
        <v>111</v>
      </c>
      <c r="M49">
        <v>101.8</v>
      </c>
      <c r="N49">
        <v>112.6</v>
      </c>
      <c r="O49">
        <v>113.2</v>
      </c>
      <c r="P49">
        <v>119.8</v>
      </c>
      <c r="Q49">
        <v>117.6</v>
      </c>
      <c r="R49">
        <v>116</v>
      </c>
      <c r="S49">
        <v>117.4</v>
      </c>
      <c r="T49">
        <v>114.6</v>
      </c>
      <c r="U49">
        <v>117</v>
      </c>
      <c r="V49">
        <v>113.9</v>
      </c>
      <c r="W49">
        <v>112.5</v>
      </c>
      <c r="X49">
        <v>113.6</v>
      </c>
      <c r="Y49">
        <v>111.5</v>
      </c>
      <c r="Z49">
        <v>111.2</v>
      </c>
      <c r="AA49">
        <v>110.9</v>
      </c>
      <c r="AB49">
        <v>112.7</v>
      </c>
      <c r="AC49">
        <v>109</v>
      </c>
      <c r="AD49">
        <v>111.5</v>
      </c>
      <c r="AE49">
        <v>115.1</v>
      </c>
    </row>
    <row r="50" spans="1:31" x14ac:dyDescent="0.3">
      <c r="A50" t="s">
        <v>30</v>
      </c>
      <c r="B50">
        <v>2014</v>
      </c>
      <c r="C50" t="s">
        <v>38</v>
      </c>
      <c r="D50" s="3">
        <v>41760</v>
      </c>
      <c r="E50">
        <v>120.3</v>
      </c>
      <c r="F50">
        <v>120.2</v>
      </c>
      <c r="G50">
        <v>116.9</v>
      </c>
      <c r="H50">
        <v>118</v>
      </c>
      <c r="I50">
        <v>110.1</v>
      </c>
      <c r="J50">
        <v>126.3</v>
      </c>
      <c r="K50">
        <v>123.9</v>
      </c>
      <c r="L50">
        <v>111.5</v>
      </c>
      <c r="M50">
        <v>103.5</v>
      </c>
      <c r="N50">
        <v>111.6</v>
      </c>
      <c r="O50">
        <v>114.2</v>
      </c>
      <c r="P50">
        <v>119.2</v>
      </c>
      <c r="Q50">
        <v>118.2</v>
      </c>
      <c r="R50">
        <v>116.3</v>
      </c>
      <c r="S50">
        <v>118.7</v>
      </c>
      <c r="T50">
        <v>116.8</v>
      </c>
      <c r="U50">
        <v>118.5</v>
      </c>
      <c r="W50">
        <v>113.4</v>
      </c>
      <c r="X50">
        <v>114.1</v>
      </c>
      <c r="Y50">
        <v>112.1</v>
      </c>
      <c r="Z50">
        <v>111.4</v>
      </c>
      <c r="AA50">
        <v>110.9</v>
      </c>
      <c r="AB50">
        <v>113.1</v>
      </c>
      <c r="AC50">
        <v>108.9</v>
      </c>
      <c r="AD50">
        <v>111.8</v>
      </c>
      <c r="AE50">
        <v>116</v>
      </c>
    </row>
    <row r="51" spans="1:31" x14ac:dyDescent="0.3">
      <c r="A51" t="s">
        <v>33</v>
      </c>
      <c r="B51">
        <v>2014</v>
      </c>
      <c r="C51" t="s">
        <v>38</v>
      </c>
      <c r="D51" s="3">
        <v>41760</v>
      </c>
      <c r="E51">
        <v>122.7</v>
      </c>
      <c r="F51">
        <v>124.1</v>
      </c>
      <c r="G51">
        <v>114.2</v>
      </c>
      <c r="H51">
        <v>119.1</v>
      </c>
      <c r="I51">
        <v>103.5</v>
      </c>
      <c r="J51">
        <v>129.19999999999999</v>
      </c>
      <c r="K51">
        <v>127</v>
      </c>
      <c r="L51">
        <v>112.6</v>
      </c>
      <c r="M51">
        <v>101.3</v>
      </c>
      <c r="N51">
        <v>117</v>
      </c>
      <c r="O51">
        <v>112.9</v>
      </c>
      <c r="P51">
        <v>121.7</v>
      </c>
      <c r="Q51">
        <v>120</v>
      </c>
      <c r="R51">
        <v>118.3</v>
      </c>
      <c r="S51">
        <v>116.8</v>
      </c>
      <c r="T51">
        <v>112.9</v>
      </c>
      <c r="U51">
        <v>116.2</v>
      </c>
      <c r="V51">
        <v>114.3</v>
      </c>
      <c r="W51">
        <v>111.1</v>
      </c>
      <c r="X51">
        <v>114.1</v>
      </c>
      <c r="Y51">
        <v>111.2</v>
      </c>
      <c r="Z51">
        <v>111.3</v>
      </c>
      <c r="AA51">
        <v>111.5</v>
      </c>
      <c r="AB51">
        <v>112.9</v>
      </c>
      <c r="AC51">
        <v>109.3</v>
      </c>
      <c r="AD51">
        <v>111.7</v>
      </c>
      <c r="AE51">
        <v>115.6</v>
      </c>
    </row>
    <row r="52" spans="1:31" x14ac:dyDescent="0.3">
      <c r="A52" t="s">
        <v>34</v>
      </c>
      <c r="B52">
        <v>2014</v>
      </c>
      <c r="C52" t="s">
        <v>38</v>
      </c>
      <c r="D52" s="3">
        <v>41760</v>
      </c>
      <c r="E52">
        <v>121.1</v>
      </c>
      <c r="F52">
        <v>121.6</v>
      </c>
      <c r="G52">
        <v>115.9</v>
      </c>
      <c r="H52">
        <v>118.4</v>
      </c>
      <c r="I52">
        <v>107.7</v>
      </c>
      <c r="J52">
        <v>127.7</v>
      </c>
      <c r="K52">
        <v>125</v>
      </c>
      <c r="L52">
        <v>111.9</v>
      </c>
      <c r="M52">
        <v>102.8</v>
      </c>
      <c r="N52">
        <v>113.4</v>
      </c>
      <c r="O52">
        <v>113.7</v>
      </c>
      <c r="P52">
        <v>120.4</v>
      </c>
      <c r="Q52">
        <v>118.9</v>
      </c>
      <c r="R52">
        <v>116.8</v>
      </c>
      <c r="S52">
        <v>118</v>
      </c>
      <c r="T52">
        <v>115.2</v>
      </c>
      <c r="U52">
        <v>117.6</v>
      </c>
      <c r="V52">
        <v>114.3</v>
      </c>
      <c r="W52">
        <v>112.5</v>
      </c>
      <c r="X52">
        <v>114.1</v>
      </c>
      <c r="Y52">
        <v>111.8</v>
      </c>
      <c r="Z52">
        <v>111.3</v>
      </c>
      <c r="AA52">
        <v>111.2</v>
      </c>
      <c r="AB52">
        <v>113</v>
      </c>
      <c r="AC52">
        <v>109.1</v>
      </c>
      <c r="AD52">
        <v>111.8</v>
      </c>
      <c r="AE52">
        <v>115.8</v>
      </c>
    </row>
    <row r="53" spans="1:31" x14ac:dyDescent="0.3">
      <c r="A53" t="s">
        <v>30</v>
      </c>
      <c r="B53">
        <v>2014</v>
      </c>
      <c r="C53" t="s">
        <v>39</v>
      </c>
      <c r="D53" s="3">
        <v>41791</v>
      </c>
      <c r="E53">
        <v>120.7</v>
      </c>
      <c r="F53">
        <v>121.6</v>
      </c>
      <c r="G53">
        <v>116.1</v>
      </c>
      <c r="H53">
        <v>119.3</v>
      </c>
      <c r="I53">
        <v>110.3</v>
      </c>
      <c r="J53">
        <v>125.8</v>
      </c>
      <c r="K53">
        <v>129.30000000000001</v>
      </c>
      <c r="L53">
        <v>112.2</v>
      </c>
      <c r="M53">
        <v>103.6</v>
      </c>
      <c r="N53">
        <v>112.3</v>
      </c>
      <c r="O53">
        <v>114.9</v>
      </c>
      <c r="P53">
        <v>120.1</v>
      </c>
      <c r="Q53">
        <v>119.5</v>
      </c>
      <c r="R53">
        <v>117.3</v>
      </c>
      <c r="S53">
        <v>119.7</v>
      </c>
      <c r="T53">
        <v>117.3</v>
      </c>
      <c r="U53">
        <v>119.3</v>
      </c>
      <c r="W53">
        <v>114.4</v>
      </c>
      <c r="X53">
        <v>114.9</v>
      </c>
      <c r="Y53">
        <v>112.8</v>
      </c>
      <c r="Z53">
        <v>112.2</v>
      </c>
      <c r="AA53">
        <v>111.4</v>
      </c>
      <c r="AB53">
        <v>114.3</v>
      </c>
      <c r="AC53">
        <v>108</v>
      </c>
      <c r="AD53">
        <v>112.3</v>
      </c>
      <c r="AE53">
        <v>117</v>
      </c>
    </row>
    <row r="54" spans="1:31" x14ac:dyDescent="0.3">
      <c r="A54" t="s">
        <v>33</v>
      </c>
      <c r="B54">
        <v>2014</v>
      </c>
      <c r="C54" t="s">
        <v>39</v>
      </c>
      <c r="D54" s="3">
        <v>41791</v>
      </c>
      <c r="E54">
        <v>123.1</v>
      </c>
      <c r="F54">
        <v>125.9</v>
      </c>
      <c r="G54">
        <v>115.4</v>
      </c>
      <c r="H54">
        <v>120.4</v>
      </c>
      <c r="I54">
        <v>103.4</v>
      </c>
      <c r="J54">
        <v>131.19999999999999</v>
      </c>
      <c r="K54">
        <v>137.5</v>
      </c>
      <c r="L54">
        <v>112.8</v>
      </c>
      <c r="M54">
        <v>101.4</v>
      </c>
      <c r="N54">
        <v>118.3</v>
      </c>
      <c r="O54">
        <v>113.2</v>
      </c>
      <c r="P54">
        <v>122.4</v>
      </c>
      <c r="Q54">
        <v>122</v>
      </c>
      <c r="R54">
        <v>119</v>
      </c>
      <c r="S54">
        <v>117.4</v>
      </c>
      <c r="T54">
        <v>113.2</v>
      </c>
      <c r="U54">
        <v>116.7</v>
      </c>
      <c r="V54">
        <v>113.9</v>
      </c>
      <c r="W54">
        <v>111.2</v>
      </c>
      <c r="X54">
        <v>114.3</v>
      </c>
      <c r="Y54">
        <v>111.4</v>
      </c>
      <c r="Z54">
        <v>111.5</v>
      </c>
      <c r="AA54">
        <v>111.8</v>
      </c>
      <c r="AB54">
        <v>115.1</v>
      </c>
      <c r="AC54">
        <v>108.7</v>
      </c>
      <c r="AD54">
        <v>112.2</v>
      </c>
      <c r="AE54">
        <v>116.4</v>
      </c>
    </row>
    <row r="55" spans="1:31" x14ac:dyDescent="0.3">
      <c r="A55" t="s">
        <v>34</v>
      </c>
      <c r="B55">
        <v>2014</v>
      </c>
      <c r="C55" t="s">
        <v>39</v>
      </c>
      <c r="D55" s="3">
        <v>41791</v>
      </c>
      <c r="E55">
        <v>121.5</v>
      </c>
      <c r="F55">
        <v>123.1</v>
      </c>
      <c r="G55">
        <v>115.8</v>
      </c>
      <c r="H55">
        <v>119.7</v>
      </c>
      <c r="I55">
        <v>107.8</v>
      </c>
      <c r="J55">
        <v>128.30000000000001</v>
      </c>
      <c r="K55">
        <v>132.1</v>
      </c>
      <c r="L55">
        <v>112.4</v>
      </c>
      <c r="M55">
        <v>102.9</v>
      </c>
      <c r="N55">
        <v>114.3</v>
      </c>
      <c r="O55">
        <v>114.2</v>
      </c>
      <c r="P55">
        <v>121.2</v>
      </c>
      <c r="Q55">
        <v>120.4</v>
      </c>
      <c r="R55">
        <v>117.8</v>
      </c>
      <c r="S55">
        <v>118.8</v>
      </c>
      <c r="T55">
        <v>115.6</v>
      </c>
      <c r="U55">
        <v>118.3</v>
      </c>
      <c r="V55">
        <v>113.9</v>
      </c>
      <c r="W55">
        <v>113.2</v>
      </c>
      <c r="X55">
        <v>114.6</v>
      </c>
      <c r="Y55">
        <v>112.3</v>
      </c>
      <c r="Z55">
        <v>111.8</v>
      </c>
      <c r="AA55">
        <v>111.6</v>
      </c>
      <c r="AB55">
        <v>114.8</v>
      </c>
      <c r="AC55">
        <v>108.3</v>
      </c>
      <c r="AD55">
        <v>112.3</v>
      </c>
      <c r="AE55">
        <v>116.7</v>
      </c>
    </row>
    <row r="56" spans="1:31" x14ac:dyDescent="0.3">
      <c r="A56" t="s">
        <v>30</v>
      </c>
      <c r="B56">
        <v>2014</v>
      </c>
      <c r="C56" t="s">
        <v>40</v>
      </c>
      <c r="D56" s="3">
        <v>41821</v>
      </c>
      <c r="E56">
        <v>121.7</v>
      </c>
      <c r="F56">
        <v>122.5</v>
      </c>
      <c r="G56">
        <v>117.7</v>
      </c>
      <c r="H56">
        <v>120.6</v>
      </c>
      <c r="I56">
        <v>110.4</v>
      </c>
      <c r="J56">
        <v>129.1</v>
      </c>
      <c r="K56">
        <v>150.1</v>
      </c>
      <c r="L56">
        <v>113.2</v>
      </c>
      <c r="M56">
        <v>104.8</v>
      </c>
      <c r="N56">
        <v>113.3</v>
      </c>
      <c r="O56">
        <v>115.6</v>
      </c>
      <c r="P56">
        <v>120.9</v>
      </c>
      <c r="Q56">
        <v>123.3</v>
      </c>
      <c r="R56">
        <v>118</v>
      </c>
      <c r="S56">
        <v>120.7</v>
      </c>
      <c r="T56">
        <v>118.3</v>
      </c>
      <c r="U56">
        <v>120.3</v>
      </c>
      <c r="W56">
        <v>115.3</v>
      </c>
      <c r="X56">
        <v>115.4</v>
      </c>
      <c r="Y56">
        <v>113.4</v>
      </c>
      <c r="Z56">
        <v>113.2</v>
      </c>
      <c r="AA56">
        <v>111.8</v>
      </c>
      <c r="AB56">
        <v>115.5</v>
      </c>
      <c r="AC56">
        <v>108.8</v>
      </c>
      <c r="AD56">
        <v>113.1</v>
      </c>
      <c r="AE56">
        <v>119.5</v>
      </c>
    </row>
    <row r="57" spans="1:31" x14ac:dyDescent="0.3">
      <c r="A57" t="s">
        <v>33</v>
      </c>
      <c r="B57">
        <v>2014</v>
      </c>
      <c r="C57" t="s">
        <v>40</v>
      </c>
      <c r="D57" s="3">
        <v>41821</v>
      </c>
      <c r="E57">
        <v>123.8</v>
      </c>
      <c r="F57">
        <v>126.4</v>
      </c>
      <c r="G57">
        <v>118</v>
      </c>
      <c r="H57">
        <v>121.6</v>
      </c>
      <c r="I57">
        <v>103.5</v>
      </c>
      <c r="J57">
        <v>133.69999999999999</v>
      </c>
      <c r="K57">
        <v>172.4</v>
      </c>
      <c r="L57">
        <v>113.1</v>
      </c>
      <c r="M57">
        <v>102.7</v>
      </c>
      <c r="N57">
        <v>120</v>
      </c>
      <c r="O57">
        <v>113.8</v>
      </c>
      <c r="P57">
        <v>123.4</v>
      </c>
      <c r="Q57">
        <v>127.1</v>
      </c>
      <c r="R57">
        <v>121</v>
      </c>
      <c r="S57">
        <v>118</v>
      </c>
      <c r="T57">
        <v>113.6</v>
      </c>
      <c r="U57">
        <v>117.4</v>
      </c>
      <c r="V57">
        <v>114.8</v>
      </c>
      <c r="W57">
        <v>111.6</v>
      </c>
      <c r="X57">
        <v>114.9</v>
      </c>
      <c r="Y57">
        <v>111.5</v>
      </c>
      <c r="Z57">
        <v>113</v>
      </c>
      <c r="AA57">
        <v>112.4</v>
      </c>
      <c r="AB57">
        <v>117.8</v>
      </c>
      <c r="AC57">
        <v>109.7</v>
      </c>
      <c r="AD57">
        <v>113.5</v>
      </c>
      <c r="AE57">
        <v>118.9</v>
      </c>
    </row>
    <row r="58" spans="1:31" x14ac:dyDescent="0.3">
      <c r="A58" t="s">
        <v>34</v>
      </c>
      <c r="B58">
        <v>2014</v>
      </c>
      <c r="C58" t="s">
        <v>40</v>
      </c>
      <c r="D58" s="3">
        <v>41821</v>
      </c>
      <c r="E58">
        <v>122.4</v>
      </c>
      <c r="F58">
        <v>123.9</v>
      </c>
      <c r="G58">
        <v>117.8</v>
      </c>
      <c r="H58">
        <v>121</v>
      </c>
      <c r="I58">
        <v>107.9</v>
      </c>
      <c r="J58">
        <v>131.19999999999999</v>
      </c>
      <c r="K58">
        <v>157.69999999999999</v>
      </c>
      <c r="L58">
        <v>113.2</v>
      </c>
      <c r="M58">
        <v>104.1</v>
      </c>
      <c r="N58">
        <v>115.5</v>
      </c>
      <c r="O58">
        <v>114.8</v>
      </c>
      <c r="P58">
        <v>122.1</v>
      </c>
      <c r="Q58">
        <v>124.7</v>
      </c>
      <c r="R58">
        <v>118.8</v>
      </c>
      <c r="S58">
        <v>119.6</v>
      </c>
      <c r="T58">
        <v>116.3</v>
      </c>
      <c r="U58">
        <v>119.1</v>
      </c>
      <c r="V58">
        <v>114.8</v>
      </c>
      <c r="W58">
        <v>113.9</v>
      </c>
      <c r="X58">
        <v>115.2</v>
      </c>
      <c r="Y58">
        <v>112.7</v>
      </c>
      <c r="Z58">
        <v>113.1</v>
      </c>
      <c r="AA58">
        <v>112.1</v>
      </c>
      <c r="AB58">
        <v>116.8</v>
      </c>
      <c r="AC58">
        <v>109.2</v>
      </c>
      <c r="AD58">
        <v>113.3</v>
      </c>
      <c r="AE58">
        <v>119.2</v>
      </c>
    </row>
    <row r="59" spans="1:31" x14ac:dyDescent="0.3">
      <c r="A59" t="s">
        <v>30</v>
      </c>
      <c r="B59">
        <v>2014</v>
      </c>
      <c r="C59" t="s">
        <v>41</v>
      </c>
      <c r="D59" s="3">
        <v>41852</v>
      </c>
      <c r="E59">
        <v>121.8</v>
      </c>
      <c r="F59">
        <v>122.8</v>
      </c>
      <c r="G59">
        <v>117.8</v>
      </c>
      <c r="H59">
        <v>121.9</v>
      </c>
      <c r="I59">
        <v>110.6</v>
      </c>
      <c r="J59">
        <v>129.69999999999999</v>
      </c>
      <c r="K59">
        <v>161.1</v>
      </c>
      <c r="L59">
        <v>114.1</v>
      </c>
      <c r="M59">
        <v>105.1</v>
      </c>
      <c r="N59">
        <v>114.6</v>
      </c>
      <c r="O59">
        <v>115.8</v>
      </c>
      <c r="P59">
        <v>121.7</v>
      </c>
      <c r="Q59">
        <v>125.3</v>
      </c>
      <c r="R59">
        <v>118.8</v>
      </c>
      <c r="S59">
        <v>120.9</v>
      </c>
      <c r="T59">
        <v>118.8</v>
      </c>
      <c r="U59">
        <v>120.7</v>
      </c>
      <c r="W59">
        <v>115.4</v>
      </c>
      <c r="X59">
        <v>115.9</v>
      </c>
      <c r="Y59">
        <v>114</v>
      </c>
      <c r="Z59">
        <v>113.2</v>
      </c>
      <c r="AA59">
        <v>112.2</v>
      </c>
      <c r="AB59">
        <v>116.2</v>
      </c>
      <c r="AC59">
        <v>109.4</v>
      </c>
      <c r="AD59">
        <v>113.5</v>
      </c>
      <c r="AE59">
        <v>120.7</v>
      </c>
    </row>
    <row r="60" spans="1:31" x14ac:dyDescent="0.3">
      <c r="A60" t="s">
        <v>33</v>
      </c>
      <c r="B60">
        <v>2014</v>
      </c>
      <c r="C60" t="s">
        <v>41</v>
      </c>
      <c r="D60" s="3">
        <v>41852</v>
      </c>
      <c r="E60">
        <v>124.8</v>
      </c>
      <c r="F60">
        <v>127.3</v>
      </c>
      <c r="G60">
        <v>116.5</v>
      </c>
      <c r="H60">
        <v>122.2</v>
      </c>
      <c r="I60">
        <v>103.6</v>
      </c>
      <c r="J60">
        <v>132.69999999999999</v>
      </c>
      <c r="K60">
        <v>181.9</v>
      </c>
      <c r="L60">
        <v>115.2</v>
      </c>
      <c r="M60">
        <v>102.7</v>
      </c>
      <c r="N60">
        <v>122.1</v>
      </c>
      <c r="O60">
        <v>114.4</v>
      </c>
      <c r="P60">
        <v>124.7</v>
      </c>
      <c r="Q60">
        <v>128.9</v>
      </c>
      <c r="R60">
        <v>123</v>
      </c>
      <c r="S60">
        <v>118.6</v>
      </c>
      <c r="T60">
        <v>114.1</v>
      </c>
      <c r="U60">
        <v>117.9</v>
      </c>
      <c r="V60">
        <v>115.5</v>
      </c>
      <c r="W60">
        <v>111.8</v>
      </c>
      <c r="X60">
        <v>115.3</v>
      </c>
      <c r="Y60">
        <v>112.2</v>
      </c>
      <c r="Z60">
        <v>112.5</v>
      </c>
      <c r="AA60">
        <v>112.9</v>
      </c>
      <c r="AB60">
        <v>119.2</v>
      </c>
      <c r="AC60">
        <v>110.5</v>
      </c>
      <c r="AD60">
        <v>113.9</v>
      </c>
      <c r="AE60">
        <v>119.9</v>
      </c>
    </row>
    <row r="61" spans="1:31" x14ac:dyDescent="0.3">
      <c r="A61" t="s">
        <v>34</v>
      </c>
      <c r="B61">
        <v>2014</v>
      </c>
      <c r="C61" t="s">
        <v>41</v>
      </c>
      <c r="D61" s="3">
        <v>41852</v>
      </c>
      <c r="E61">
        <v>122.7</v>
      </c>
      <c r="F61">
        <v>124.4</v>
      </c>
      <c r="G61">
        <v>117.3</v>
      </c>
      <c r="H61">
        <v>122</v>
      </c>
      <c r="I61">
        <v>108</v>
      </c>
      <c r="J61">
        <v>131.1</v>
      </c>
      <c r="K61">
        <v>168.2</v>
      </c>
      <c r="L61">
        <v>114.5</v>
      </c>
      <c r="M61">
        <v>104.3</v>
      </c>
      <c r="N61">
        <v>117.1</v>
      </c>
      <c r="O61">
        <v>115.2</v>
      </c>
      <c r="P61">
        <v>123.1</v>
      </c>
      <c r="Q61">
        <v>126.6</v>
      </c>
      <c r="R61">
        <v>119.9</v>
      </c>
      <c r="S61">
        <v>120</v>
      </c>
      <c r="T61">
        <v>116.8</v>
      </c>
      <c r="U61">
        <v>119.6</v>
      </c>
      <c r="V61">
        <v>115.5</v>
      </c>
      <c r="W61">
        <v>114</v>
      </c>
      <c r="X61">
        <v>115.6</v>
      </c>
      <c r="Y61">
        <v>113.3</v>
      </c>
      <c r="Z61">
        <v>112.8</v>
      </c>
      <c r="AA61">
        <v>112.6</v>
      </c>
      <c r="AB61">
        <v>118</v>
      </c>
      <c r="AC61">
        <v>109.9</v>
      </c>
      <c r="AD61">
        <v>113.7</v>
      </c>
      <c r="AE61">
        <v>120.3</v>
      </c>
    </row>
    <row r="62" spans="1:31" x14ac:dyDescent="0.3">
      <c r="A62" t="s">
        <v>30</v>
      </c>
      <c r="B62">
        <v>2014</v>
      </c>
      <c r="C62" t="s">
        <v>42</v>
      </c>
      <c r="D62" s="3">
        <v>41883</v>
      </c>
      <c r="E62">
        <v>122.3</v>
      </c>
      <c r="F62">
        <v>122.4</v>
      </c>
      <c r="G62">
        <v>117.8</v>
      </c>
      <c r="H62">
        <v>122.7</v>
      </c>
      <c r="I62">
        <v>110.4</v>
      </c>
      <c r="J62">
        <v>129.80000000000001</v>
      </c>
      <c r="K62">
        <v>158.80000000000001</v>
      </c>
      <c r="L62">
        <v>115</v>
      </c>
      <c r="M62">
        <v>104.7</v>
      </c>
      <c r="N62">
        <v>114.9</v>
      </c>
      <c r="O62">
        <v>116.5</v>
      </c>
      <c r="P62">
        <v>122.6</v>
      </c>
      <c r="Q62">
        <v>125.3</v>
      </c>
      <c r="R62">
        <v>119.5</v>
      </c>
      <c r="S62">
        <v>121.7</v>
      </c>
      <c r="T62">
        <v>119.2</v>
      </c>
      <c r="U62">
        <v>121.3</v>
      </c>
      <c r="W62">
        <v>115.8</v>
      </c>
      <c r="X62">
        <v>116.7</v>
      </c>
      <c r="Y62">
        <v>114.5</v>
      </c>
      <c r="Z62">
        <v>112.8</v>
      </c>
      <c r="AA62">
        <v>112.6</v>
      </c>
      <c r="AB62">
        <v>116.6</v>
      </c>
      <c r="AC62">
        <v>109.1</v>
      </c>
      <c r="AD62">
        <v>113.7</v>
      </c>
      <c r="AE62">
        <v>120.9</v>
      </c>
    </row>
    <row r="63" spans="1:31" x14ac:dyDescent="0.3">
      <c r="A63" t="s">
        <v>33</v>
      </c>
      <c r="B63">
        <v>2014</v>
      </c>
      <c r="C63" t="s">
        <v>42</v>
      </c>
      <c r="D63" s="3">
        <v>41883</v>
      </c>
      <c r="E63">
        <v>124.2</v>
      </c>
      <c r="F63">
        <v>125.4</v>
      </c>
      <c r="G63">
        <v>116.4</v>
      </c>
      <c r="H63">
        <v>122.7</v>
      </c>
      <c r="I63">
        <v>103.5</v>
      </c>
      <c r="J63">
        <v>124.5</v>
      </c>
      <c r="K63">
        <v>168.6</v>
      </c>
      <c r="L63">
        <v>116.9</v>
      </c>
      <c r="M63">
        <v>101.9</v>
      </c>
      <c r="N63">
        <v>122.9</v>
      </c>
      <c r="O63">
        <v>114.8</v>
      </c>
      <c r="P63">
        <v>125.2</v>
      </c>
      <c r="Q63">
        <v>126.7</v>
      </c>
      <c r="R63">
        <v>124.3</v>
      </c>
      <c r="S63">
        <v>119.2</v>
      </c>
      <c r="T63">
        <v>114.5</v>
      </c>
      <c r="U63">
        <v>118.4</v>
      </c>
      <c r="V63">
        <v>116.1</v>
      </c>
      <c r="W63">
        <v>111.8</v>
      </c>
      <c r="X63">
        <v>115.5</v>
      </c>
      <c r="Y63">
        <v>112.3</v>
      </c>
      <c r="Z63">
        <v>111.2</v>
      </c>
      <c r="AA63">
        <v>113.4</v>
      </c>
      <c r="AB63">
        <v>120</v>
      </c>
      <c r="AC63">
        <v>110</v>
      </c>
      <c r="AD63">
        <v>113.6</v>
      </c>
      <c r="AE63">
        <v>119.2</v>
      </c>
    </row>
    <row r="64" spans="1:31" x14ac:dyDescent="0.3">
      <c r="A64" t="s">
        <v>34</v>
      </c>
      <c r="B64">
        <v>2014</v>
      </c>
      <c r="C64" t="s">
        <v>42</v>
      </c>
      <c r="D64" s="3">
        <v>41883</v>
      </c>
      <c r="E64">
        <v>122.9</v>
      </c>
      <c r="F64">
        <v>123.5</v>
      </c>
      <c r="G64">
        <v>117.3</v>
      </c>
      <c r="H64">
        <v>122.7</v>
      </c>
      <c r="I64">
        <v>107.9</v>
      </c>
      <c r="J64">
        <v>127.3</v>
      </c>
      <c r="K64">
        <v>162.1</v>
      </c>
      <c r="L64">
        <v>115.6</v>
      </c>
      <c r="M64">
        <v>103.8</v>
      </c>
      <c r="N64">
        <v>117.6</v>
      </c>
      <c r="O64">
        <v>115.8</v>
      </c>
      <c r="P64">
        <v>123.8</v>
      </c>
      <c r="Q64">
        <v>125.8</v>
      </c>
      <c r="R64">
        <v>120.8</v>
      </c>
      <c r="S64">
        <v>120.7</v>
      </c>
      <c r="T64">
        <v>117.2</v>
      </c>
      <c r="U64">
        <v>120.1</v>
      </c>
      <c r="V64">
        <v>116.1</v>
      </c>
      <c r="W64">
        <v>114.3</v>
      </c>
      <c r="X64">
        <v>116.1</v>
      </c>
      <c r="Y64">
        <v>113.7</v>
      </c>
      <c r="Z64">
        <v>112</v>
      </c>
      <c r="AA64">
        <v>113.1</v>
      </c>
      <c r="AB64">
        <v>118.6</v>
      </c>
      <c r="AC64">
        <v>109.5</v>
      </c>
      <c r="AD64">
        <v>113.7</v>
      </c>
      <c r="AE64">
        <v>120.1</v>
      </c>
    </row>
    <row r="65" spans="1:31" x14ac:dyDescent="0.3">
      <c r="A65" t="s">
        <v>30</v>
      </c>
      <c r="B65">
        <v>2014</v>
      </c>
      <c r="C65" t="s">
        <v>43</v>
      </c>
      <c r="D65" s="3">
        <v>41913</v>
      </c>
      <c r="E65">
        <v>122.6</v>
      </c>
      <c r="F65">
        <v>122.5</v>
      </c>
      <c r="G65">
        <v>118.3</v>
      </c>
      <c r="H65">
        <v>123.2</v>
      </c>
      <c r="I65">
        <v>110.5</v>
      </c>
      <c r="J65">
        <v>128.9</v>
      </c>
      <c r="K65">
        <v>155.30000000000001</v>
      </c>
      <c r="L65">
        <v>115.5</v>
      </c>
      <c r="M65">
        <v>104</v>
      </c>
      <c r="N65">
        <v>115.3</v>
      </c>
      <c r="O65">
        <v>116.8</v>
      </c>
      <c r="P65">
        <v>123.2</v>
      </c>
      <c r="Q65">
        <v>125.1</v>
      </c>
      <c r="R65">
        <v>120</v>
      </c>
      <c r="S65">
        <v>122.7</v>
      </c>
      <c r="T65">
        <v>120.3</v>
      </c>
      <c r="U65">
        <v>122.3</v>
      </c>
      <c r="W65">
        <v>116.4</v>
      </c>
      <c r="X65">
        <v>117.5</v>
      </c>
      <c r="Y65">
        <v>115.3</v>
      </c>
      <c r="Z65">
        <v>112.6</v>
      </c>
      <c r="AA65">
        <v>113</v>
      </c>
      <c r="AB65">
        <v>116.9</v>
      </c>
      <c r="AC65">
        <v>109.3</v>
      </c>
      <c r="AD65">
        <v>114</v>
      </c>
      <c r="AE65">
        <v>121</v>
      </c>
    </row>
    <row r="66" spans="1:31" x14ac:dyDescent="0.3">
      <c r="A66" t="s">
        <v>33</v>
      </c>
      <c r="B66">
        <v>2014</v>
      </c>
      <c r="C66" t="s">
        <v>43</v>
      </c>
      <c r="D66" s="3">
        <v>41913</v>
      </c>
      <c r="E66">
        <v>124.6</v>
      </c>
      <c r="F66">
        <v>126.1</v>
      </c>
      <c r="G66">
        <v>117.8</v>
      </c>
      <c r="H66">
        <v>123.1</v>
      </c>
      <c r="I66">
        <v>103.5</v>
      </c>
      <c r="J66">
        <v>123.5</v>
      </c>
      <c r="K66">
        <v>159.6</v>
      </c>
      <c r="L66">
        <v>117.4</v>
      </c>
      <c r="M66">
        <v>101.2</v>
      </c>
      <c r="N66">
        <v>123.8</v>
      </c>
      <c r="O66">
        <v>115.2</v>
      </c>
      <c r="P66">
        <v>125.9</v>
      </c>
      <c r="Q66">
        <v>125.8</v>
      </c>
      <c r="R66">
        <v>124.3</v>
      </c>
      <c r="S66">
        <v>119.6</v>
      </c>
      <c r="T66">
        <v>114.9</v>
      </c>
      <c r="U66">
        <v>118.9</v>
      </c>
      <c r="V66">
        <v>116.7</v>
      </c>
      <c r="W66">
        <v>112</v>
      </c>
      <c r="X66">
        <v>115.8</v>
      </c>
      <c r="Y66">
        <v>112.6</v>
      </c>
      <c r="Z66">
        <v>111</v>
      </c>
      <c r="AA66">
        <v>113.6</v>
      </c>
      <c r="AB66">
        <v>120.2</v>
      </c>
      <c r="AC66">
        <v>110.1</v>
      </c>
      <c r="AD66">
        <v>113.7</v>
      </c>
      <c r="AE66">
        <v>119.1</v>
      </c>
    </row>
    <row r="67" spans="1:31" x14ac:dyDescent="0.3">
      <c r="A67" t="s">
        <v>34</v>
      </c>
      <c r="B67">
        <v>2014</v>
      </c>
      <c r="C67" t="s">
        <v>43</v>
      </c>
      <c r="D67" s="3">
        <v>41913</v>
      </c>
      <c r="E67">
        <v>123.2</v>
      </c>
      <c r="F67">
        <v>123.8</v>
      </c>
      <c r="G67">
        <v>118.1</v>
      </c>
      <c r="H67">
        <v>123.2</v>
      </c>
      <c r="I67">
        <v>107.9</v>
      </c>
      <c r="J67">
        <v>126.4</v>
      </c>
      <c r="K67">
        <v>156.80000000000001</v>
      </c>
      <c r="L67">
        <v>116.1</v>
      </c>
      <c r="M67">
        <v>103.1</v>
      </c>
      <c r="N67">
        <v>118.1</v>
      </c>
      <c r="O67">
        <v>116.1</v>
      </c>
      <c r="P67">
        <v>124.5</v>
      </c>
      <c r="Q67">
        <v>125.4</v>
      </c>
      <c r="R67">
        <v>121.1</v>
      </c>
      <c r="S67">
        <v>121.5</v>
      </c>
      <c r="T67">
        <v>118.1</v>
      </c>
      <c r="U67">
        <v>121</v>
      </c>
      <c r="V67">
        <v>116.7</v>
      </c>
      <c r="W67">
        <v>114.7</v>
      </c>
      <c r="X67">
        <v>116.7</v>
      </c>
      <c r="Y67">
        <v>114.3</v>
      </c>
      <c r="Z67">
        <v>111.8</v>
      </c>
      <c r="AA67">
        <v>113.3</v>
      </c>
      <c r="AB67">
        <v>118.8</v>
      </c>
      <c r="AC67">
        <v>109.6</v>
      </c>
      <c r="AD67">
        <v>113.9</v>
      </c>
      <c r="AE67">
        <v>120.1</v>
      </c>
    </row>
    <row r="68" spans="1:31" x14ac:dyDescent="0.3">
      <c r="A68" t="s">
        <v>30</v>
      </c>
      <c r="B68">
        <v>2014</v>
      </c>
      <c r="C68" t="s">
        <v>45</v>
      </c>
      <c r="D68" s="3">
        <v>41944</v>
      </c>
      <c r="E68">
        <v>122.7</v>
      </c>
      <c r="F68">
        <v>122.6</v>
      </c>
      <c r="G68">
        <v>119.9</v>
      </c>
      <c r="H68">
        <v>124</v>
      </c>
      <c r="I68">
        <v>110.5</v>
      </c>
      <c r="J68">
        <v>128.80000000000001</v>
      </c>
      <c r="K68">
        <v>152</v>
      </c>
      <c r="L68">
        <v>116.2</v>
      </c>
      <c r="M68">
        <v>103.3</v>
      </c>
      <c r="N68">
        <v>115.8</v>
      </c>
      <c r="O68">
        <v>116.8</v>
      </c>
      <c r="P68">
        <v>124.5</v>
      </c>
      <c r="Q68">
        <v>124.9</v>
      </c>
      <c r="R68">
        <v>120.8</v>
      </c>
      <c r="S68">
        <v>123.3</v>
      </c>
      <c r="T68">
        <v>120.5</v>
      </c>
      <c r="U68">
        <v>122.9</v>
      </c>
      <c r="W68">
        <v>117.3</v>
      </c>
      <c r="X68">
        <v>118.1</v>
      </c>
      <c r="Y68">
        <v>115.9</v>
      </c>
      <c r="Z68">
        <v>112</v>
      </c>
      <c r="AA68">
        <v>113.3</v>
      </c>
      <c r="AB68">
        <v>117.2</v>
      </c>
      <c r="AC68">
        <v>108.8</v>
      </c>
      <c r="AD68">
        <v>114.1</v>
      </c>
      <c r="AE68">
        <v>121.1</v>
      </c>
    </row>
    <row r="69" spans="1:31" x14ac:dyDescent="0.3">
      <c r="A69" t="s">
        <v>33</v>
      </c>
      <c r="B69">
        <v>2014</v>
      </c>
      <c r="C69" t="s">
        <v>45</v>
      </c>
      <c r="D69" s="3">
        <v>41944</v>
      </c>
      <c r="E69">
        <v>124.5</v>
      </c>
      <c r="F69">
        <v>125.6</v>
      </c>
      <c r="G69">
        <v>122.7</v>
      </c>
      <c r="H69">
        <v>124.6</v>
      </c>
      <c r="I69">
        <v>103.2</v>
      </c>
      <c r="J69">
        <v>122.2</v>
      </c>
      <c r="K69">
        <v>153.19999999999999</v>
      </c>
      <c r="L69">
        <v>119.3</v>
      </c>
      <c r="M69">
        <v>99.8</v>
      </c>
      <c r="N69">
        <v>124.6</v>
      </c>
      <c r="O69">
        <v>115.8</v>
      </c>
      <c r="P69">
        <v>126.9</v>
      </c>
      <c r="Q69">
        <v>125.4</v>
      </c>
      <c r="R69">
        <v>125.8</v>
      </c>
      <c r="S69">
        <v>120.3</v>
      </c>
      <c r="T69">
        <v>115.4</v>
      </c>
      <c r="U69">
        <v>119.5</v>
      </c>
      <c r="V69">
        <v>117.1</v>
      </c>
      <c r="W69">
        <v>112.6</v>
      </c>
      <c r="X69">
        <v>116.4</v>
      </c>
      <c r="Y69">
        <v>113</v>
      </c>
      <c r="Z69">
        <v>109.7</v>
      </c>
      <c r="AA69">
        <v>114</v>
      </c>
      <c r="AB69">
        <v>120.3</v>
      </c>
      <c r="AC69">
        <v>109.6</v>
      </c>
      <c r="AD69">
        <v>113.4</v>
      </c>
      <c r="AE69">
        <v>119</v>
      </c>
    </row>
    <row r="70" spans="1:31" x14ac:dyDescent="0.3">
      <c r="A70" t="s">
        <v>34</v>
      </c>
      <c r="B70">
        <v>2014</v>
      </c>
      <c r="C70" t="s">
        <v>45</v>
      </c>
      <c r="D70" s="3">
        <v>41944</v>
      </c>
      <c r="E70">
        <v>123.3</v>
      </c>
      <c r="F70">
        <v>123.7</v>
      </c>
      <c r="G70">
        <v>121</v>
      </c>
      <c r="H70">
        <v>124.2</v>
      </c>
      <c r="I70">
        <v>107.8</v>
      </c>
      <c r="J70">
        <v>125.7</v>
      </c>
      <c r="K70">
        <v>152.4</v>
      </c>
      <c r="L70">
        <v>117.2</v>
      </c>
      <c r="M70">
        <v>102.1</v>
      </c>
      <c r="N70">
        <v>118.7</v>
      </c>
      <c r="O70">
        <v>116.4</v>
      </c>
      <c r="P70">
        <v>125.6</v>
      </c>
      <c r="Q70">
        <v>125.1</v>
      </c>
      <c r="R70">
        <v>122.1</v>
      </c>
      <c r="S70">
        <v>122.1</v>
      </c>
      <c r="T70">
        <v>118.4</v>
      </c>
      <c r="U70">
        <v>121.6</v>
      </c>
      <c r="V70">
        <v>117.1</v>
      </c>
      <c r="W70">
        <v>115.5</v>
      </c>
      <c r="X70">
        <v>117.3</v>
      </c>
      <c r="Y70">
        <v>114.8</v>
      </c>
      <c r="Z70">
        <v>110.8</v>
      </c>
      <c r="AA70">
        <v>113.7</v>
      </c>
      <c r="AB70">
        <v>119</v>
      </c>
      <c r="AC70">
        <v>109.1</v>
      </c>
      <c r="AD70">
        <v>113.8</v>
      </c>
      <c r="AE70">
        <v>120.1</v>
      </c>
    </row>
    <row r="71" spans="1:31" x14ac:dyDescent="0.3">
      <c r="A71" t="s">
        <v>30</v>
      </c>
      <c r="B71">
        <v>2014</v>
      </c>
      <c r="C71" t="s">
        <v>46</v>
      </c>
      <c r="D71" s="3">
        <v>41974</v>
      </c>
      <c r="E71">
        <v>122.4</v>
      </c>
      <c r="F71">
        <v>122.4</v>
      </c>
      <c r="G71">
        <v>121.8</v>
      </c>
      <c r="H71">
        <v>124.2</v>
      </c>
      <c r="I71">
        <v>110.2</v>
      </c>
      <c r="J71">
        <v>128.6</v>
      </c>
      <c r="K71">
        <v>140.30000000000001</v>
      </c>
      <c r="L71">
        <v>116.3</v>
      </c>
      <c r="M71">
        <v>102</v>
      </c>
      <c r="N71">
        <v>116</v>
      </c>
      <c r="O71">
        <v>117.3</v>
      </c>
      <c r="P71">
        <v>124.8</v>
      </c>
      <c r="Q71">
        <v>123.3</v>
      </c>
      <c r="R71">
        <v>121.7</v>
      </c>
      <c r="S71">
        <v>123.8</v>
      </c>
      <c r="T71">
        <v>120.6</v>
      </c>
      <c r="U71">
        <v>123.3</v>
      </c>
      <c r="W71">
        <v>117.4</v>
      </c>
      <c r="X71">
        <v>118.2</v>
      </c>
      <c r="Y71">
        <v>116.2</v>
      </c>
      <c r="Z71">
        <v>111.5</v>
      </c>
      <c r="AA71">
        <v>113.3</v>
      </c>
      <c r="AB71">
        <v>117.7</v>
      </c>
      <c r="AC71">
        <v>109.4</v>
      </c>
      <c r="AD71">
        <v>114.2</v>
      </c>
      <c r="AE71">
        <v>120.3</v>
      </c>
    </row>
    <row r="72" spans="1:31" x14ac:dyDescent="0.3">
      <c r="A72" t="s">
        <v>33</v>
      </c>
      <c r="B72">
        <v>2014</v>
      </c>
      <c r="C72" t="s">
        <v>46</v>
      </c>
      <c r="D72" s="3">
        <v>41974</v>
      </c>
      <c r="E72">
        <v>124</v>
      </c>
      <c r="F72">
        <v>124.7</v>
      </c>
      <c r="G72">
        <v>126.3</v>
      </c>
      <c r="H72">
        <v>124.9</v>
      </c>
      <c r="I72">
        <v>103</v>
      </c>
      <c r="J72">
        <v>122.3</v>
      </c>
      <c r="K72">
        <v>141</v>
      </c>
      <c r="L72">
        <v>120.1</v>
      </c>
      <c r="M72">
        <v>97.8</v>
      </c>
      <c r="N72">
        <v>125.4</v>
      </c>
      <c r="O72">
        <v>116.1</v>
      </c>
      <c r="P72">
        <v>127.6</v>
      </c>
      <c r="Q72">
        <v>124</v>
      </c>
      <c r="R72">
        <v>126.4</v>
      </c>
      <c r="S72">
        <v>120.7</v>
      </c>
      <c r="T72">
        <v>115.8</v>
      </c>
      <c r="U72">
        <v>120</v>
      </c>
      <c r="V72">
        <v>116.5</v>
      </c>
      <c r="W72">
        <v>113</v>
      </c>
      <c r="X72">
        <v>116.8</v>
      </c>
      <c r="Y72">
        <v>113.2</v>
      </c>
      <c r="Z72">
        <v>108.8</v>
      </c>
      <c r="AA72">
        <v>114.3</v>
      </c>
      <c r="AB72">
        <v>120.7</v>
      </c>
      <c r="AC72">
        <v>110.4</v>
      </c>
      <c r="AD72">
        <v>113.4</v>
      </c>
      <c r="AE72">
        <v>118.4</v>
      </c>
    </row>
    <row r="73" spans="1:31" x14ac:dyDescent="0.3">
      <c r="A73" t="s">
        <v>34</v>
      </c>
      <c r="B73">
        <v>2014</v>
      </c>
      <c r="C73" t="s">
        <v>46</v>
      </c>
      <c r="D73" s="3">
        <v>41974</v>
      </c>
      <c r="E73">
        <v>122.9</v>
      </c>
      <c r="F73">
        <v>123.2</v>
      </c>
      <c r="G73">
        <v>123.5</v>
      </c>
      <c r="H73">
        <v>124.5</v>
      </c>
      <c r="I73">
        <v>107.6</v>
      </c>
      <c r="J73">
        <v>125.7</v>
      </c>
      <c r="K73">
        <v>140.5</v>
      </c>
      <c r="L73">
        <v>117.6</v>
      </c>
      <c r="M73">
        <v>100.6</v>
      </c>
      <c r="N73">
        <v>119.1</v>
      </c>
      <c r="O73">
        <v>116.8</v>
      </c>
      <c r="P73">
        <v>126.1</v>
      </c>
      <c r="Q73">
        <v>123.6</v>
      </c>
      <c r="R73">
        <v>123</v>
      </c>
      <c r="S73">
        <v>122.6</v>
      </c>
      <c r="T73">
        <v>118.6</v>
      </c>
      <c r="U73">
        <v>122</v>
      </c>
      <c r="V73">
        <v>116.5</v>
      </c>
      <c r="W73">
        <v>115.7</v>
      </c>
      <c r="X73">
        <v>117.5</v>
      </c>
      <c r="Y73">
        <v>115.1</v>
      </c>
      <c r="Z73">
        <v>110.1</v>
      </c>
      <c r="AA73">
        <v>113.9</v>
      </c>
      <c r="AB73">
        <v>119.5</v>
      </c>
      <c r="AC73">
        <v>109.8</v>
      </c>
      <c r="AD73">
        <v>113.8</v>
      </c>
      <c r="AE73">
        <v>119.4</v>
      </c>
    </row>
    <row r="74" spans="1:31" x14ac:dyDescent="0.3">
      <c r="A74" t="s">
        <v>30</v>
      </c>
      <c r="B74">
        <v>2015</v>
      </c>
      <c r="C74" t="s">
        <v>31</v>
      </c>
      <c r="D74" s="3">
        <v>42005</v>
      </c>
      <c r="E74">
        <v>123.1</v>
      </c>
      <c r="F74">
        <v>123.1</v>
      </c>
      <c r="G74">
        <v>122.1</v>
      </c>
      <c r="H74">
        <v>124.9</v>
      </c>
      <c r="I74">
        <v>111</v>
      </c>
      <c r="J74">
        <v>130.4</v>
      </c>
      <c r="K74">
        <v>132.30000000000001</v>
      </c>
      <c r="L74">
        <v>117.2</v>
      </c>
      <c r="M74">
        <v>100.5</v>
      </c>
      <c r="N74">
        <v>117.2</v>
      </c>
      <c r="O74">
        <v>117.9</v>
      </c>
      <c r="P74">
        <v>125.6</v>
      </c>
      <c r="Q74">
        <v>122.8</v>
      </c>
      <c r="R74">
        <v>122.7</v>
      </c>
      <c r="S74">
        <v>124.4</v>
      </c>
      <c r="T74">
        <v>121.6</v>
      </c>
      <c r="U74">
        <v>124</v>
      </c>
      <c r="W74">
        <v>118.4</v>
      </c>
      <c r="X74">
        <v>118.9</v>
      </c>
      <c r="Y74">
        <v>116.6</v>
      </c>
      <c r="Z74">
        <v>111</v>
      </c>
      <c r="AA74">
        <v>114</v>
      </c>
      <c r="AB74">
        <v>118.2</v>
      </c>
      <c r="AC74">
        <v>110.2</v>
      </c>
      <c r="AD74">
        <v>114.5</v>
      </c>
      <c r="AE74">
        <v>120.3</v>
      </c>
    </row>
    <row r="75" spans="1:31" x14ac:dyDescent="0.3">
      <c r="A75" t="s">
        <v>33</v>
      </c>
      <c r="B75">
        <v>2015</v>
      </c>
      <c r="C75" t="s">
        <v>31</v>
      </c>
      <c r="D75" s="3">
        <v>42005</v>
      </c>
      <c r="E75">
        <v>124</v>
      </c>
      <c r="F75">
        <v>125.5</v>
      </c>
      <c r="G75">
        <v>126.6</v>
      </c>
      <c r="H75">
        <v>125.2</v>
      </c>
      <c r="I75">
        <v>104.3</v>
      </c>
      <c r="J75">
        <v>121.3</v>
      </c>
      <c r="K75">
        <v>134.4</v>
      </c>
      <c r="L75">
        <v>122.9</v>
      </c>
      <c r="M75">
        <v>96.1</v>
      </c>
      <c r="N75">
        <v>126.6</v>
      </c>
      <c r="O75">
        <v>116.5</v>
      </c>
      <c r="P75">
        <v>128</v>
      </c>
      <c r="Q75">
        <v>123.5</v>
      </c>
      <c r="R75">
        <v>127.4</v>
      </c>
      <c r="S75">
        <v>121</v>
      </c>
      <c r="T75">
        <v>116.1</v>
      </c>
      <c r="U75">
        <v>120.2</v>
      </c>
      <c r="V75">
        <v>117.3</v>
      </c>
      <c r="W75">
        <v>113.4</v>
      </c>
      <c r="X75">
        <v>117.2</v>
      </c>
      <c r="Y75">
        <v>113.7</v>
      </c>
      <c r="Z75">
        <v>107.9</v>
      </c>
      <c r="AA75">
        <v>114.6</v>
      </c>
      <c r="AB75">
        <v>120.8</v>
      </c>
      <c r="AC75">
        <v>111.4</v>
      </c>
      <c r="AD75">
        <v>113.4</v>
      </c>
      <c r="AE75">
        <v>118.5</v>
      </c>
    </row>
    <row r="76" spans="1:31" x14ac:dyDescent="0.3">
      <c r="A76" t="s">
        <v>34</v>
      </c>
      <c r="B76">
        <v>2015</v>
      </c>
      <c r="C76" t="s">
        <v>31</v>
      </c>
      <c r="D76" s="3">
        <v>42005</v>
      </c>
      <c r="E76">
        <v>123.4</v>
      </c>
      <c r="F76">
        <v>123.9</v>
      </c>
      <c r="G76">
        <v>123.8</v>
      </c>
      <c r="H76">
        <v>125</v>
      </c>
      <c r="I76">
        <v>108.5</v>
      </c>
      <c r="J76">
        <v>126.2</v>
      </c>
      <c r="K76">
        <v>133</v>
      </c>
      <c r="L76">
        <v>119.1</v>
      </c>
      <c r="M76">
        <v>99</v>
      </c>
      <c r="N76">
        <v>120.3</v>
      </c>
      <c r="O76">
        <v>117.3</v>
      </c>
      <c r="P76">
        <v>126.7</v>
      </c>
      <c r="Q76">
        <v>123.1</v>
      </c>
      <c r="R76">
        <v>124</v>
      </c>
      <c r="S76">
        <v>123.1</v>
      </c>
      <c r="T76">
        <v>119.3</v>
      </c>
      <c r="U76">
        <v>122.5</v>
      </c>
      <c r="V76">
        <v>117.3</v>
      </c>
      <c r="W76">
        <v>116.5</v>
      </c>
      <c r="X76">
        <v>118.1</v>
      </c>
      <c r="Y76">
        <v>115.5</v>
      </c>
      <c r="Z76">
        <v>109.4</v>
      </c>
      <c r="AA76">
        <v>114.3</v>
      </c>
      <c r="AB76">
        <v>119.7</v>
      </c>
      <c r="AC76">
        <v>110.7</v>
      </c>
      <c r="AD76">
        <v>114</v>
      </c>
      <c r="AE76">
        <v>119.5</v>
      </c>
    </row>
    <row r="77" spans="1:31" x14ac:dyDescent="0.3">
      <c r="A77" t="s">
        <v>30</v>
      </c>
      <c r="B77">
        <v>2015</v>
      </c>
      <c r="C77" t="s">
        <v>35</v>
      </c>
      <c r="D77" s="3">
        <v>42036</v>
      </c>
      <c r="E77">
        <v>123.4</v>
      </c>
      <c r="F77">
        <v>124.4</v>
      </c>
      <c r="G77">
        <v>122.1</v>
      </c>
      <c r="H77">
        <v>125.8</v>
      </c>
      <c r="I77">
        <v>111.5</v>
      </c>
      <c r="J77">
        <v>129.4</v>
      </c>
      <c r="K77">
        <v>128.19999999999999</v>
      </c>
      <c r="L77">
        <v>118.8</v>
      </c>
      <c r="M77">
        <v>100</v>
      </c>
      <c r="N77">
        <v>118.6</v>
      </c>
      <c r="O77">
        <v>118.8</v>
      </c>
      <c r="P77">
        <v>126.8</v>
      </c>
      <c r="Q77">
        <v>122.8</v>
      </c>
      <c r="R77">
        <v>124.2</v>
      </c>
      <c r="S77">
        <v>125.4</v>
      </c>
      <c r="T77">
        <v>122.7</v>
      </c>
      <c r="U77">
        <v>125</v>
      </c>
      <c r="W77">
        <v>120</v>
      </c>
      <c r="X77">
        <v>119.6</v>
      </c>
      <c r="Y77">
        <v>117.7</v>
      </c>
      <c r="Z77">
        <v>110.9</v>
      </c>
      <c r="AA77">
        <v>114.8</v>
      </c>
      <c r="AB77">
        <v>118.7</v>
      </c>
      <c r="AC77">
        <v>110.8</v>
      </c>
      <c r="AD77">
        <v>115</v>
      </c>
      <c r="AE77">
        <v>120.6</v>
      </c>
    </row>
    <row r="78" spans="1:31" x14ac:dyDescent="0.3">
      <c r="A78" t="s">
        <v>33</v>
      </c>
      <c r="B78">
        <v>2015</v>
      </c>
      <c r="C78" t="s">
        <v>35</v>
      </c>
      <c r="D78" s="3">
        <v>42036</v>
      </c>
      <c r="E78">
        <v>124.3</v>
      </c>
      <c r="F78">
        <v>126.5</v>
      </c>
      <c r="G78">
        <v>119.5</v>
      </c>
      <c r="H78">
        <v>125.6</v>
      </c>
      <c r="I78">
        <v>104.9</v>
      </c>
      <c r="J78">
        <v>121.6</v>
      </c>
      <c r="K78">
        <v>131.80000000000001</v>
      </c>
      <c r="L78">
        <v>125.1</v>
      </c>
      <c r="M78">
        <v>95</v>
      </c>
      <c r="N78">
        <v>127.7</v>
      </c>
      <c r="O78">
        <v>116.8</v>
      </c>
      <c r="P78">
        <v>128.6</v>
      </c>
      <c r="Q78">
        <v>123.7</v>
      </c>
      <c r="R78">
        <v>128.1</v>
      </c>
      <c r="S78">
        <v>121.3</v>
      </c>
      <c r="T78">
        <v>116.5</v>
      </c>
      <c r="U78">
        <v>120.6</v>
      </c>
      <c r="V78">
        <v>118.1</v>
      </c>
      <c r="W78">
        <v>114</v>
      </c>
      <c r="X78">
        <v>117.7</v>
      </c>
      <c r="Y78">
        <v>114.1</v>
      </c>
      <c r="Z78">
        <v>106.8</v>
      </c>
      <c r="AA78">
        <v>114.9</v>
      </c>
      <c r="AB78">
        <v>120.4</v>
      </c>
      <c r="AC78">
        <v>111.7</v>
      </c>
      <c r="AD78">
        <v>113.2</v>
      </c>
      <c r="AE78">
        <v>118.7</v>
      </c>
    </row>
    <row r="79" spans="1:31" x14ac:dyDescent="0.3">
      <c r="A79" t="s">
        <v>34</v>
      </c>
      <c r="B79">
        <v>2015</v>
      </c>
      <c r="C79" t="s">
        <v>35</v>
      </c>
      <c r="D79" s="3">
        <v>42036</v>
      </c>
      <c r="E79">
        <v>123.7</v>
      </c>
      <c r="F79">
        <v>125.1</v>
      </c>
      <c r="G79">
        <v>121.1</v>
      </c>
      <c r="H79">
        <v>125.7</v>
      </c>
      <c r="I79">
        <v>109.1</v>
      </c>
      <c r="J79">
        <v>125.8</v>
      </c>
      <c r="K79">
        <v>129.4</v>
      </c>
      <c r="L79">
        <v>120.9</v>
      </c>
      <c r="M79">
        <v>98.3</v>
      </c>
      <c r="N79">
        <v>121.6</v>
      </c>
      <c r="O79">
        <v>118</v>
      </c>
      <c r="P79">
        <v>127.6</v>
      </c>
      <c r="Q79">
        <v>123.1</v>
      </c>
      <c r="R79">
        <v>125.2</v>
      </c>
      <c r="S79">
        <v>123.8</v>
      </c>
      <c r="T79">
        <v>120.1</v>
      </c>
      <c r="U79">
        <v>123.3</v>
      </c>
      <c r="V79">
        <v>118.1</v>
      </c>
      <c r="W79">
        <v>117.7</v>
      </c>
      <c r="X79">
        <v>118.7</v>
      </c>
      <c r="Y79">
        <v>116.3</v>
      </c>
      <c r="Z79">
        <v>108.7</v>
      </c>
      <c r="AA79">
        <v>114.9</v>
      </c>
      <c r="AB79">
        <v>119.7</v>
      </c>
      <c r="AC79">
        <v>111.2</v>
      </c>
      <c r="AD79">
        <v>114.1</v>
      </c>
      <c r="AE79">
        <v>119.7</v>
      </c>
    </row>
    <row r="80" spans="1:31" x14ac:dyDescent="0.3">
      <c r="A80" t="s">
        <v>30</v>
      </c>
      <c r="B80">
        <v>2015</v>
      </c>
      <c r="C80" t="s">
        <v>36</v>
      </c>
      <c r="D80" s="3">
        <v>42064</v>
      </c>
      <c r="E80">
        <v>123.3</v>
      </c>
      <c r="F80">
        <v>124.7</v>
      </c>
      <c r="G80">
        <v>118.9</v>
      </c>
      <c r="H80">
        <v>126</v>
      </c>
      <c r="I80">
        <v>111.8</v>
      </c>
      <c r="J80">
        <v>130.9</v>
      </c>
      <c r="K80">
        <v>128</v>
      </c>
      <c r="L80">
        <v>119.9</v>
      </c>
      <c r="M80">
        <v>98.9</v>
      </c>
      <c r="N80">
        <v>119.4</v>
      </c>
      <c r="O80">
        <v>118.9</v>
      </c>
      <c r="P80">
        <v>127.7</v>
      </c>
      <c r="Q80">
        <v>123.1</v>
      </c>
      <c r="R80">
        <v>124.7</v>
      </c>
      <c r="S80">
        <v>126</v>
      </c>
      <c r="T80">
        <v>122.9</v>
      </c>
      <c r="U80">
        <v>125.5</v>
      </c>
      <c r="W80">
        <v>120.6</v>
      </c>
      <c r="X80">
        <v>120.2</v>
      </c>
      <c r="Y80">
        <v>118.2</v>
      </c>
      <c r="Z80">
        <v>111.6</v>
      </c>
      <c r="AA80">
        <v>115.5</v>
      </c>
      <c r="AB80">
        <v>119.4</v>
      </c>
      <c r="AC80">
        <v>110.8</v>
      </c>
      <c r="AD80">
        <v>115.5</v>
      </c>
      <c r="AE80">
        <v>121.1</v>
      </c>
    </row>
    <row r="81" spans="1:31" x14ac:dyDescent="0.3">
      <c r="A81" t="s">
        <v>33</v>
      </c>
      <c r="B81">
        <v>2015</v>
      </c>
      <c r="C81" t="s">
        <v>36</v>
      </c>
      <c r="D81" s="3">
        <v>42064</v>
      </c>
      <c r="E81">
        <v>124</v>
      </c>
      <c r="F81">
        <v>126.7</v>
      </c>
      <c r="G81">
        <v>113.5</v>
      </c>
      <c r="H81">
        <v>125.9</v>
      </c>
      <c r="I81">
        <v>104.8</v>
      </c>
      <c r="J81">
        <v>123.8</v>
      </c>
      <c r="K81">
        <v>131.4</v>
      </c>
      <c r="L81">
        <v>127.2</v>
      </c>
      <c r="M81">
        <v>93.2</v>
      </c>
      <c r="N81">
        <v>127.4</v>
      </c>
      <c r="O81">
        <v>117</v>
      </c>
      <c r="P81">
        <v>129.19999999999999</v>
      </c>
      <c r="Q81">
        <v>123.9</v>
      </c>
      <c r="R81">
        <v>128.80000000000001</v>
      </c>
      <c r="S81">
        <v>121.7</v>
      </c>
      <c r="T81">
        <v>116.9</v>
      </c>
      <c r="U81">
        <v>120.9</v>
      </c>
      <c r="V81">
        <v>118.6</v>
      </c>
      <c r="W81">
        <v>114.4</v>
      </c>
      <c r="X81">
        <v>118</v>
      </c>
      <c r="Y81">
        <v>114.3</v>
      </c>
      <c r="Z81">
        <v>108.4</v>
      </c>
      <c r="AA81">
        <v>115.4</v>
      </c>
      <c r="AB81">
        <v>120.6</v>
      </c>
      <c r="AC81">
        <v>111.3</v>
      </c>
      <c r="AD81">
        <v>113.8</v>
      </c>
      <c r="AE81">
        <v>119.1</v>
      </c>
    </row>
    <row r="82" spans="1:31" x14ac:dyDescent="0.3">
      <c r="A82" t="s">
        <v>34</v>
      </c>
      <c r="B82">
        <v>2015</v>
      </c>
      <c r="C82" t="s">
        <v>36</v>
      </c>
      <c r="D82" s="3">
        <v>42064</v>
      </c>
      <c r="E82">
        <v>123.5</v>
      </c>
      <c r="F82">
        <v>125.4</v>
      </c>
      <c r="G82">
        <v>116.8</v>
      </c>
      <c r="H82">
        <v>126</v>
      </c>
      <c r="I82">
        <v>109.2</v>
      </c>
      <c r="J82">
        <v>127.6</v>
      </c>
      <c r="K82">
        <v>129.19999999999999</v>
      </c>
      <c r="L82">
        <v>122.4</v>
      </c>
      <c r="M82">
        <v>97</v>
      </c>
      <c r="N82">
        <v>122.1</v>
      </c>
      <c r="O82">
        <v>118.1</v>
      </c>
      <c r="P82">
        <v>128.4</v>
      </c>
      <c r="Q82">
        <v>123.4</v>
      </c>
      <c r="R82">
        <v>125.8</v>
      </c>
      <c r="S82">
        <v>124.3</v>
      </c>
      <c r="T82">
        <v>120.4</v>
      </c>
      <c r="U82">
        <v>123.7</v>
      </c>
      <c r="V82">
        <v>118.6</v>
      </c>
      <c r="W82">
        <v>118.3</v>
      </c>
      <c r="X82">
        <v>119.2</v>
      </c>
      <c r="Y82">
        <v>116.7</v>
      </c>
      <c r="Z82">
        <v>109.9</v>
      </c>
      <c r="AA82">
        <v>115.4</v>
      </c>
      <c r="AB82">
        <v>120.1</v>
      </c>
      <c r="AC82">
        <v>111</v>
      </c>
      <c r="AD82">
        <v>114.7</v>
      </c>
      <c r="AE82">
        <v>120.2</v>
      </c>
    </row>
    <row r="83" spans="1:31" x14ac:dyDescent="0.3">
      <c r="A83" t="s">
        <v>30</v>
      </c>
      <c r="B83">
        <v>2015</v>
      </c>
      <c r="C83" t="s">
        <v>37</v>
      </c>
      <c r="D83" s="3">
        <v>42095</v>
      </c>
      <c r="E83">
        <v>123.3</v>
      </c>
      <c r="F83">
        <v>125.5</v>
      </c>
      <c r="G83">
        <v>117.2</v>
      </c>
      <c r="H83">
        <v>126.8</v>
      </c>
      <c r="I83">
        <v>111.9</v>
      </c>
      <c r="J83">
        <v>134.19999999999999</v>
      </c>
      <c r="K83">
        <v>127.5</v>
      </c>
      <c r="L83">
        <v>121.5</v>
      </c>
      <c r="M83">
        <v>97.8</v>
      </c>
      <c r="N83">
        <v>119.8</v>
      </c>
      <c r="O83">
        <v>119.4</v>
      </c>
      <c r="P83">
        <v>128.69999999999999</v>
      </c>
      <c r="Q83">
        <v>123.6</v>
      </c>
      <c r="R83">
        <v>125.7</v>
      </c>
      <c r="S83">
        <v>126.4</v>
      </c>
      <c r="T83">
        <v>123.3</v>
      </c>
      <c r="U83">
        <v>126</v>
      </c>
      <c r="W83">
        <v>121.2</v>
      </c>
      <c r="X83">
        <v>120.9</v>
      </c>
      <c r="Y83">
        <v>118.6</v>
      </c>
      <c r="Z83">
        <v>111.9</v>
      </c>
      <c r="AA83">
        <v>116.2</v>
      </c>
      <c r="AB83">
        <v>119.9</v>
      </c>
      <c r="AC83">
        <v>111.6</v>
      </c>
      <c r="AD83">
        <v>116</v>
      </c>
      <c r="AE83">
        <v>121.5</v>
      </c>
    </row>
    <row r="84" spans="1:31" x14ac:dyDescent="0.3">
      <c r="A84" t="s">
        <v>33</v>
      </c>
      <c r="B84">
        <v>2015</v>
      </c>
      <c r="C84" t="s">
        <v>37</v>
      </c>
      <c r="D84" s="3">
        <v>42095</v>
      </c>
      <c r="E84">
        <v>123.8</v>
      </c>
      <c r="F84">
        <v>128.19999999999999</v>
      </c>
      <c r="G84">
        <v>110</v>
      </c>
      <c r="H84">
        <v>126.3</v>
      </c>
      <c r="I84">
        <v>104.5</v>
      </c>
      <c r="J84">
        <v>130.6</v>
      </c>
      <c r="K84">
        <v>130.80000000000001</v>
      </c>
      <c r="L84">
        <v>131.30000000000001</v>
      </c>
      <c r="M84">
        <v>91.6</v>
      </c>
      <c r="N84">
        <v>127.7</v>
      </c>
      <c r="O84">
        <v>117.2</v>
      </c>
      <c r="P84">
        <v>129.5</v>
      </c>
      <c r="Q84">
        <v>124.6</v>
      </c>
      <c r="R84">
        <v>130.1</v>
      </c>
      <c r="S84">
        <v>122.1</v>
      </c>
      <c r="T84">
        <v>117.2</v>
      </c>
      <c r="U84">
        <v>121.3</v>
      </c>
      <c r="V84">
        <v>119.2</v>
      </c>
      <c r="W84">
        <v>114.7</v>
      </c>
      <c r="X84">
        <v>118.4</v>
      </c>
      <c r="Y84">
        <v>114.6</v>
      </c>
      <c r="Z84">
        <v>108.4</v>
      </c>
      <c r="AA84">
        <v>115.6</v>
      </c>
      <c r="AB84">
        <v>121.7</v>
      </c>
      <c r="AC84">
        <v>111.8</v>
      </c>
      <c r="AD84">
        <v>114.2</v>
      </c>
      <c r="AE84">
        <v>119.7</v>
      </c>
    </row>
    <row r="85" spans="1:31" x14ac:dyDescent="0.3">
      <c r="A85" t="s">
        <v>34</v>
      </c>
      <c r="B85">
        <v>2015</v>
      </c>
      <c r="C85" t="s">
        <v>37</v>
      </c>
      <c r="D85" s="3">
        <v>42095</v>
      </c>
      <c r="E85">
        <v>123.5</v>
      </c>
      <c r="F85">
        <v>126.4</v>
      </c>
      <c r="G85">
        <v>114.4</v>
      </c>
      <c r="H85">
        <v>126.6</v>
      </c>
      <c r="I85">
        <v>109.2</v>
      </c>
      <c r="J85">
        <v>132.5</v>
      </c>
      <c r="K85">
        <v>128.6</v>
      </c>
      <c r="L85">
        <v>124.8</v>
      </c>
      <c r="M85">
        <v>95.7</v>
      </c>
      <c r="N85">
        <v>122.4</v>
      </c>
      <c r="O85">
        <v>118.5</v>
      </c>
      <c r="P85">
        <v>129.1</v>
      </c>
      <c r="Q85">
        <v>124</v>
      </c>
      <c r="R85">
        <v>126.9</v>
      </c>
      <c r="S85">
        <v>124.7</v>
      </c>
      <c r="T85">
        <v>120.8</v>
      </c>
      <c r="U85">
        <v>124.1</v>
      </c>
      <c r="V85">
        <v>119.2</v>
      </c>
      <c r="W85">
        <v>118.7</v>
      </c>
      <c r="X85">
        <v>119.7</v>
      </c>
      <c r="Y85">
        <v>117.1</v>
      </c>
      <c r="Z85">
        <v>110.1</v>
      </c>
      <c r="AA85">
        <v>115.9</v>
      </c>
      <c r="AB85">
        <v>121</v>
      </c>
      <c r="AC85">
        <v>111.7</v>
      </c>
      <c r="AD85">
        <v>115.1</v>
      </c>
      <c r="AE85">
        <v>120.7</v>
      </c>
    </row>
    <row r="86" spans="1:31" x14ac:dyDescent="0.3">
      <c r="A86" t="s">
        <v>30</v>
      </c>
      <c r="B86">
        <v>2015</v>
      </c>
      <c r="C86" t="s">
        <v>38</v>
      </c>
      <c r="D86" s="3">
        <v>42125</v>
      </c>
      <c r="E86">
        <v>123.5</v>
      </c>
      <c r="F86">
        <v>127.1</v>
      </c>
      <c r="G86">
        <v>117.3</v>
      </c>
      <c r="H86">
        <v>127.7</v>
      </c>
      <c r="I86">
        <v>112.5</v>
      </c>
      <c r="J86">
        <v>134.1</v>
      </c>
      <c r="K86">
        <v>128.5</v>
      </c>
      <c r="L86">
        <v>124.3</v>
      </c>
      <c r="M86">
        <v>97.6</v>
      </c>
      <c r="N86">
        <v>120.7</v>
      </c>
      <c r="O86">
        <v>120.2</v>
      </c>
      <c r="P86">
        <v>129.80000000000001</v>
      </c>
      <c r="Q86">
        <v>124.4</v>
      </c>
      <c r="R86">
        <v>126.7</v>
      </c>
      <c r="S86">
        <v>127.3</v>
      </c>
      <c r="T86">
        <v>124.1</v>
      </c>
      <c r="U86">
        <v>126.8</v>
      </c>
      <c r="W86">
        <v>121.9</v>
      </c>
      <c r="X86">
        <v>121.5</v>
      </c>
      <c r="Y86">
        <v>119.4</v>
      </c>
      <c r="Z86">
        <v>113.3</v>
      </c>
      <c r="AA86">
        <v>116.7</v>
      </c>
      <c r="AB86">
        <v>120.5</v>
      </c>
      <c r="AC86">
        <v>112.3</v>
      </c>
      <c r="AD86">
        <v>116.9</v>
      </c>
      <c r="AE86">
        <v>122.4</v>
      </c>
    </row>
    <row r="87" spans="1:31" x14ac:dyDescent="0.3">
      <c r="A87" t="s">
        <v>33</v>
      </c>
      <c r="B87">
        <v>2015</v>
      </c>
      <c r="C87" t="s">
        <v>38</v>
      </c>
      <c r="D87" s="3">
        <v>42125</v>
      </c>
      <c r="E87">
        <v>123.8</v>
      </c>
      <c r="F87">
        <v>129.69999999999999</v>
      </c>
      <c r="G87">
        <v>111.3</v>
      </c>
      <c r="H87">
        <v>126.6</v>
      </c>
      <c r="I87">
        <v>105.2</v>
      </c>
      <c r="J87">
        <v>130.80000000000001</v>
      </c>
      <c r="K87">
        <v>135.6</v>
      </c>
      <c r="L87">
        <v>142.6</v>
      </c>
      <c r="M87">
        <v>90.8</v>
      </c>
      <c r="N87">
        <v>128.80000000000001</v>
      </c>
      <c r="O87">
        <v>117.7</v>
      </c>
      <c r="P87">
        <v>129.9</v>
      </c>
      <c r="Q87">
        <v>126.1</v>
      </c>
      <c r="R87">
        <v>131.30000000000001</v>
      </c>
      <c r="S87">
        <v>122.4</v>
      </c>
      <c r="T87">
        <v>117.4</v>
      </c>
      <c r="U87">
        <v>121.6</v>
      </c>
      <c r="V87">
        <v>119.6</v>
      </c>
      <c r="W87">
        <v>114.9</v>
      </c>
      <c r="X87">
        <v>118.7</v>
      </c>
      <c r="Y87">
        <v>114.9</v>
      </c>
      <c r="Z87">
        <v>110.8</v>
      </c>
      <c r="AA87">
        <v>116</v>
      </c>
      <c r="AB87">
        <v>122</v>
      </c>
      <c r="AC87">
        <v>112.4</v>
      </c>
      <c r="AD87">
        <v>115.2</v>
      </c>
      <c r="AE87">
        <v>120.7</v>
      </c>
    </row>
    <row r="88" spans="1:31" x14ac:dyDescent="0.3">
      <c r="A88" t="s">
        <v>34</v>
      </c>
      <c r="B88">
        <v>2015</v>
      </c>
      <c r="C88" t="s">
        <v>38</v>
      </c>
      <c r="D88" s="3">
        <v>42125</v>
      </c>
      <c r="E88">
        <v>123.6</v>
      </c>
      <c r="F88">
        <v>128</v>
      </c>
      <c r="G88">
        <v>115</v>
      </c>
      <c r="H88">
        <v>127.3</v>
      </c>
      <c r="I88">
        <v>109.8</v>
      </c>
      <c r="J88">
        <v>132.6</v>
      </c>
      <c r="K88">
        <v>130.9</v>
      </c>
      <c r="L88">
        <v>130.5</v>
      </c>
      <c r="M88">
        <v>95.3</v>
      </c>
      <c r="N88">
        <v>123.4</v>
      </c>
      <c r="O88">
        <v>119.2</v>
      </c>
      <c r="P88">
        <v>129.80000000000001</v>
      </c>
      <c r="Q88">
        <v>125</v>
      </c>
      <c r="R88">
        <v>127.9</v>
      </c>
      <c r="S88">
        <v>125.4</v>
      </c>
      <c r="T88">
        <v>121.3</v>
      </c>
      <c r="U88">
        <v>124.7</v>
      </c>
      <c r="V88">
        <v>119.6</v>
      </c>
      <c r="W88">
        <v>119.2</v>
      </c>
      <c r="X88">
        <v>120.2</v>
      </c>
      <c r="Y88">
        <v>117.7</v>
      </c>
      <c r="Z88">
        <v>112</v>
      </c>
      <c r="AA88">
        <v>116.3</v>
      </c>
      <c r="AB88">
        <v>121.4</v>
      </c>
      <c r="AC88">
        <v>112.3</v>
      </c>
      <c r="AD88">
        <v>116.1</v>
      </c>
      <c r="AE88">
        <v>121.6</v>
      </c>
    </row>
    <row r="89" spans="1:31" x14ac:dyDescent="0.3">
      <c r="A89" t="s">
        <v>30</v>
      </c>
      <c r="B89">
        <v>2015</v>
      </c>
      <c r="C89" t="s">
        <v>39</v>
      </c>
      <c r="D89" s="3">
        <v>42156</v>
      </c>
      <c r="E89">
        <v>124.1</v>
      </c>
      <c r="F89">
        <v>130.4</v>
      </c>
      <c r="G89">
        <v>122.1</v>
      </c>
      <c r="H89">
        <v>128.69999999999999</v>
      </c>
      <c r="I89">
        <v>114.1</v>
      </c>
      <c r="J89">
        <v>133.19999999999999</v>
      </c>
      <c r="K89">
        <v>135.19999999999999</v>
      </c>
      <c r="L89">
        <v>131.9</v>
      </c>
      <c r="M89">
        <v>96.3</v>
      </c>
      <c r="N89">
        <v>123</v>
      </c>
      <c r="O89">
        <v>121.1</v>
      </c>
      <c r="P89">
        <v>131.19999999999999</v>
      </c>
      <c r="Q89">
        <v>126.6</v>
      </c>
      <c r="R89">
        <v>128.19999999999999</v>
      </c>
      <c r="S89">
        <v>128.4</v>
      </c>
      <c r="T89">
        <v>125.1</v>
      </c>
      <c r="U89">
        <v>128</v>
      </c>
      <c r="W89">
        <v>122.6</v>
      </c>
      <c r="X89">
        <v>122.8</v>
      </c>
      <c r="Y89">
        <v>120.4</v>
      </c>
      <c r="Z89">
        <v>114.2</v>
      </c>
      <c r="AA89">
        <v>117.9</v>
      </c>
      <c r="AB89">
        <v>122</v>
      </c>
      <c r="AC89">
        <v>113</v>
      </c>
      <c r="AD89">
        <v>117.9</v>
      </c>
      <c r="AE89">
        <v>124.1</v>
      </c>
    </row>
    <row r="90" spans="1:31" x14ac:dyDescent="0.3">
      <c r="A90" t="s">
        <v>33</v>
      </c>
      <c r="B90">
        <v>2015</v>
      </c>
      <c r="C90" t="s">
        <v>39</v>
      </c>
      <c r="D90" s="3">
        <v>42156</v>
      </c>
      <c r="E90">
        <v>123.6</v>
      </c>
      <c r="F90">
        <v>134.4</v>
      </c>
      <c r="G90">
        <v>120.9</v>
      </c>
      <c r="H90">
        <v>127.3</v>
      </c>
      <c r="I90">
        <v>106</v>
      </c>
      <c r="J90">
        <v>132.30000000000001</v>
      </c>
      <c r="K90">
        <v>146.69999999999999</v>
      </c>
      <c r="L90">
        <v>148.1</v>
      </c>
      <c r="M90">
        <v>89.8</v>
      </c>
      <c r="N90">
        <v>130.5</v>
      </c>
      <c r="O90">
        <v>118</v>
      </c>
      <c r="P90">
        <v>130.5</v>
      </c>
      <c r="Q90">
        <v>128.5</v>
      </c>
      <c r="R90">
        <v>132.1</v>
      </c>
      <c r="S90">
        <v>123.2</v>
      </c>
      <c r="T90">
        <v>117.6</v>
      </c>
      <c r="U90">
        <v>122.3</v>
      </c>
      <c r="V90">
        <v>119</v>
      </c>
      <c r="W90">
        <v>115.1</v>
      </c>
      <c r="X90">
        <v>119.2</v>
      </c>
      <c r="Y90">
        <v>115.4</v>
      </c>
      <c r="Z90">
        <v>111.7</v>
      </c>
      <c r="AA90">
        <v>116.2</v>
      </c>
      <c r="AB90">
        <v>123.8</v>
      </c>
      <c r="AC90">
        <v>112.5</v>
      </c>
      <c r="AD90">
        <v>116</v>
      </c>
      <c r="AE90">
        <v>121.7</v>
      </c>
    </row>
    <row r="91" spans="1:31" x14ac:dyDescent="0.3">
      <c r="A91" t="s">
        <v>34</v>
      </c>
      <c r="B91">
        <v>2015</v>
      </c>
      <c r="C91" t="s">
        <v>39</v>
      </c>
      <c r="D91" s="3">
        <v>42156</v>
      </c>
      <c r="E91">
        <v>123.9</v>
      </c>
      <c r="F91">
        <v>131.80000000000001</v>
      </c>
      <c r="G91">
        <v>121.6</v>
      </c>
      <c r="H91">
        <v>128.19999999999999</v>
      </c>
      <c r="I91">
        <v>111.1</v>
      </c>
      <c r="J91">
        <v>132.80000000000001</v>
      </c>
      <c r="K91">
        <v>139.1</v>
      </c>
      <c r="L91">
        <v>137.4</v>
      </c>
      <c r="M91">
        <v>94.1</v>
      </c>
      <c r="N91">
        <v>125.5</v>
      </c>
      <c r="O91">
        <v>119.8</v>
      </c>
      <c r="P91">
        <v>130.9</v>
      </c>
      <c r="Q91">
        <v>127.3</v>
      </c>
      <c r="R91">
        <v>129.19999999999999</v>
      </c>
      <c r="S91">
        <v>126.4</v>
      </c>
      <c r="T91">
        <v>122</v>
      </c>
      <c r="U91">
        <v>125.7</v>
      </c>
      <c r="V91">
        <v>119</v>
      </c>
      <c r="W91">
        <v>119.8</v>
      </c>
      <c r="X91">
        <v>121.1</v>
      </c>
      <c r="Y91">
        <v>118.5</v>
      </c>
      <c r="Z91">
        <v>112.9</v>
      </c>
      <c r="AA91">
        <v>116.9</v>
      </c>
      <c r="AB91">
        <v>123.1</v>
      </c>
      <c r="AC91">
        <v>112.8</v>
      </c>
      <c r="AD91">
        <v>117</v>
      </c>
      <c r="AE91">
        <v>123</v>
      </c>
    </row>
    <row r="92" spans="1:31" x14ac:dyDescent="0.3">
      <c r="A92" t="s">
        <v>30</v>
      </c>
      <c r="B92">
        <v>2015</v>
      </c>
      <c r="C92" t="s">
        <v>40</v>
      </c>
      <c r="D92" s="3">
        <v>42186</v>
      </c>
      <c r="E92">
        <v>124</v>
      </c>
      <c r="F92">
        <v>131.5</v>
      </c>
      <c r="G92">
        <v>122</v>
      </c>
      <c r="H92">
        <v>128.69999999999999</v>
      </c>
      <c r="I92">
        <v>113.5</v>
      </c>
      <c r="J92">
        <v>133.30000000000001</v>
      </c>
      <c r="K92">
        <v>140.80000000000001</v>
      </c>
      <c r="L92">
        <v>133.80000000000001</v>
      </c>
      <c r="M92">
        <v>94.1</v>
      </c>
      <c r="N92">
        <v>123.4</v>
      </c>
      <c r="O92">
        <v>121</v>
      </c>
      <c r="P92">
        <v>131.69999999999999</v>
      </c>
      <c r="Q92">
        <v>127.5</v>
      </c>
      <c r="R92">
        <v>129.4</v>
      </c>
      <c r="S92">
        <v>128.80000000000001</v>
      </c>
      <c r="T92">
        <v>125.5</v>
      </c>
      <c r="U92">
        <v>128.30000000000001</v>
      </c>
      <c r="W92">
        <v>123</v>
      </c>
      <c r="X92">
        <v>123</v>
      </c>
      <c r="Y92">
        <v>120.8</v>
      </c>
      <c r="Z92">
        <v>114.1</v>
      </c>
      <c r="AA92">
        <v>118</v>
      </c>
      <c r="AB92">
        <v>122.9</v>
      </c>
      <c r="AC92">
        <v>112.7</v>
      </c>
      <c r="AD92">
        <v>118.1</v>
      </c>
      <c r="AE92">
        <v>124.7</v>
      </c>
    </row>
    <row r="93" spans="1:31" x14ac:dyDescent="0.3">
      <c r="A93" t="s">
        <v>33</v>
      </c>
      <c r="B93">
        <v>2015</v>
      </c>
      <c r="C93" t="s">
        <v>40</v>
      </c>
      <c r="D93" s="3">
        <v>42186</v>
      </c>
      <c r="E93">
        <v>123.2</v>
      </c>
      <c r="F93">
        <v>134.30000000000001</v>
      </c>
      <c r="G93">
        <v>119.5</v>
      </c>
      <c r="H93">
        <v>127.7</v>
      </c>
      <c r="I93">
        <v>106.3</v>
      </c>
      <c r="J93">
        <v>132.80000000000001</v>
      </c>
      <c r="K93">
        <v>153.5</v>
      </c>
      <c r="L93">
        <v>149.5</v>
      </c>
      <c r="M93">
        <v>85.7</v>
      </c>
      <c r="N93">
        <v>131.5</v>
      </c>
      <c r="O93">
        <v>118.3</v>
      </c>
      <c r="P93">
        <v>131.1</v>
      </c>
      <c r="Q93">
        <v>129.5</v>
      </c>
      <c r="R93">
        <v>133.1</v>
      </c>
      <c r="S93">
        <v>123.5</v>
      </c>
      <c r="T93">
        <v>117.9</v>
      </c>
      <c r="U93">
        <v>122.7</v>
      </c>
      <c r="V93">
        <v>119.9</v>
      </c>
      <c r="W93">
        <v>115.3</v>
      </c>
      <c r="X93">
        <v>119.5</v>
      </c>
      <c r="Y93">
        <v>116</v>
      </c>
      <c r="Z93">
        <v>111.5</v>
      </c>
      <c r="AA93">
        <v>116.6</v>
      </c>
      <c r="AB93">
        <v>125.4</v>
      </c>
      <c r="AC93">
        <v>111.7</v>
      </c>
      <c r="AD93">
        <v>116.3</v>
      </c>
      <c r="AE93">
        <v>122.4</v>
      </c>
    </row>
    <row r="94" spans="1:31" x14ac:dyDescent="0.3">
      <c r="A94" t="s">
        <v>34</v>
      </c>
      <c r="B94">
        <v>2015</v>
      </c>
      <c r="C94" t="s">
        <v>40</v>
      </c>
      <c r="D94" s="3">
        <v>42186</v>
      </c>
      <c r="E94">
        <v>123.7</v>
      </c>
      <c r="F94">
        <v>132.5</v>
      </c>
      <c r="G94">
        <v>121</v>
      </c>
      <c r="H94">
        <v>128.30000000000001</v>
      </c>
      <c r="I94">
        <v>110.9</v>
      </c>
      <c r="J94">
        <v>133.1</v>
      </c>
      <c r="K94">
        <v>145.1</v>
      </c>
      <c r="L94">
        <v>139.1</v>
      </c>
      <c r="M94">
        <v>91.3</v>
      </c>
      <c r="N94">
        <v>126.1</v>
      </c>
      <c r="O94">
        <v>119.9</v>
      </c>
      <c r="P94">
        <v>131.4</v>
      </c>
      <c r="Q94">
        <v>128.19999999999999</v>
      </c>
      <c r="R94">
        <v>130.4</v>
      </c>
      <c r="S94">
        <v>126.7</v>
      </c>
      <c r="T94">
        <v>122.3</v>
      </c>
      <c r="U94">
        <v>126.1</v>
      </c>
      <c r="V94">
        <v>119.9</v>
      </c>
      <c r="W94">
        <v>120.1</v>
      </c>
      <c r="X94">
        <v>121.3</v>
      </c>
      <c r="Y94">
        <v>119</v>
      </c>
      <c r="Z94">
        <v>112.7</v>
      </c>
      <c r="AA94">
        <v>117.2</v>
      </c>
      <c r="AB94">
        <v>124.4</v>
      </c>
      <c r="AC94">
        <v>112.3</v>
      </c>
      <c r="AD94">
        <v>117.2</v>
      </c>
      <c r="AE94">
        <v>123.6</v>
      </c>
    </row>
    <row r="95" spans="1:31" x14ac:dyDescent="0.3">
      <c r="A95" t="s">
        <v>30</v>
      </c>
      <c r="B95">
        <v>2015</v>
      </c>
      <c r="C95" t="s">
        <v>41</v>
      </c>
      <c r="D95" s="3">
        <v>42217</v>
      </c>
      <c r="E95">
        <v>124.7</v>
      </c>
      <c r="F95">
        <v>131.30000000000001</v>
      </c>
      <c r="G95">
        <v>121.3</v>
      </c>
      <c r="H95">
        <v>128.80000000000001</v>
      </c>
      <c r="I95">
        <v>114</v>
      </c>
      <c r="J95">
        <v>134.19999999999999</v>
      </c>
      <c r="K95">
        <v>153.6</v>
      </c>
      <c r="L95">
        <v>137.9</v>
      </c>
      <c r="M95">
        <v>93.1</v>
      </c>
      <c r="N95">
        <v>123.9</v>
      </c>
      <c r="O95">
        <v>121.5</v>
      </c>
      <c r="P95">
        <v>132.5</v>
      </c>
      <c r="Q95">
        <v>129.80000000000001</v>
      </c>
      <c r="R95">
        <v>130.1</v>
      </c>
      <c r="S95">
        <v>129.5</v>
      </c>
      <c r="T95">
        <v>126.3</v>
      </c>
      <c r="U95">
        <v>129</v>
      </c>
      <c r="W95">
        <v>123.8</v>
      </c>
      <c r="X95">
        <v>123.7</v>
      </c>
      <c r="Y95">
        <v>121.1</v>
      </c>
      <c r="Z95">
        <v>113.6</v>
      </c>
      <c r="AA95">
        <v>118.5</v>
      </c>
      <c r="AB95">
        <v>123.6</v>
      </c>
      <c r="AC95">
        <v>112.5</v>
      </c>
      <c r="AD95">
        <v>118.2</v>
      </c>
      <c r="AE95">
        <v>126.1</v>
      </c>
    </row>
    <row r="96" spans="1:31" x14ac:dyDescent="0.3">
      <c r="A96" t="s">
        <v>33</v>
      </c>
      <c r="B96">
        <v>2015</v>
      </c>
      <c r="C96" t="s">
        <v>41</v>
      </c>
      <c r="D96" s="3">
        <v>42217</v>
      </c>
      <c r="E96">
        <v>123.1</v>
      </c>
      <c r="F96">
        <v>131.69999999999999</v>
      </c>
      <c r="G96">
        <v>118.1</v>
      </c>
      <c r="H96">
        <v>128</v>
      </c>
      <c r="I96">
        <v>106.8</v>
      </c>
      <c r="J96">
        <v>130.1</v>
      </c>
      <c r="K96">
        <v>165.5</v>
      </c>
      <c r="L96">
        <v>156</v>
      </c>
      <c r="M96">
        <v>85.3</v>
      </c>
      <c r="N96">
        <v>132.69999999999999</v>
      </c>
      <c r="O96">
        <v>118.8</v>
      </c>
      <c r="P96">
        <v>131.69999999999999</v>
      </c>
      <c r="Q96">
        <v>131.1</v>
      </c>
      <c r="R96">
        <v>134.19999999999999</v>
      </c>
      <c r="S96">
        <v>123.7</v>
      </c>
      <c r="T96">
        <v>118.2</v>
      </c>
      <c r="U96">
        <v>122.9</v>
      </c>
      <c r="V96">
        <v>120.9</v>
      </c>
      <c r="W96">
        <v>115.3</v>
      </c>
      <c r="X96">
        <v>120</v>
      </c>
      <c r="Y96">
        <v>116.6</v>
      </c>
      <c r="Z96">
        <v>109.9</v>
      </c>
      <c r="AA96">
        <v>117.2</v>
      </c>
      <c r="AB96">
        <v>126.2</v>
      </c>
      <c r="AC96">
        <v>112</v>
      </c>
      <c r="AD96">
        <v>116.2</v>
      </c>
      <c r="AE96">
        <v>123.2</v>
      </c>
    </row>
    <row r="97" spans="1:31" x14ac:dyDescent="0.3">
      <c r="A97" t="s">
        <v>34</v>
      </c>
      <c r="B97">
        <v>2015</v>
      </c>
      <c r="C97" t="s">
        <v>41</v>
      </c>
      <c r="D97" s="3">
        <v>42217</v>
      </c>
      <c r="E97">
        <v>124.2</v>
      </c>
      <c r="F97">
        <v>131.4</v>
      </c>
      <c r="G97">
        <v>120.1</v>
      </c>
      <c r="H97">
        <v>128.5</v>
      </c>
      <c r="I97">
        <v>111.4</v>
      </c>
      <c r="J97">
        <v>132.30000000000001</v>
      </c>
      <c r="K97">
        <v>157.6</v>
      </c>
      <c r="L97">
        <v>144</v>
      </c>
      <c r="M97">
        <v>90.5</v>
      </c>
      <c r="N97">
        <v>126.8</v>
      </c>
      <c r="O97">
        <v>120.4</v>
      </c>
      <c r="P97">
        <v>132.1</v>
      </c>
      <c r="Q97">
        <v>130.30000000000001</v>
      </c>
      <c r="R97">
        <v>131.19999999999999</v>
      </c>
      <c r="S97">
        <v>127.2</v>
      </c>
      <c r="T97">
        <v>122.9</v>
      </c>
      <c r="U97">
        <v>126.6</v>
      </c>
      <c r="V97">
        <v>120.9</v>
      </c>
      <c r="W97">
        <v>120.6</v>
      </c>
      <c r="X97">
        <v>122</v>
      </c>
      <c r="Y97">
        <v>119.4</v>
      </c>
      <c r="Z97">
        <v>111.7</v>
      </c>
      <c r="AA97">
        <v>117.8</v>
      </c>
      <c r="AB97">
        <v>125.1</v>
      </c>
      <c r="AC97">
        <v>112.3</v>
      </c>
      <c r="AD97">
        <v>117.2</v>
      </c>
      <c r="AE97">
        <v>124.8</v>
      </c>
    </row>
    <row r="98" spans="1:31" x14ac:dyDescent="0.3">
      <c r="A98" t="s">
        <v>30</v>
      </c>
      <c r="B98">
        <v>2015</v>
      </c>
      <c r="C98" t="s">
        <v>42</v>
      </c>
      <c r="D98" s="3">
        <v>42248</v>
      </c>
      <c r="E98">
        <v>125.1</v>
      </c>
      <c r="F98">
        <v>131.1</v>
      </c>
      <c r="G98">
        <v>120.7</v>
      </c>
      <c r="H98">
        <v>129.19999999999999</v>
      </c>
      <c r="I98">
        <v>114.7</v>
      </c>
      <c r="J98">
        <v>132.30000000000001</v>
      </c>
      <c r="K98">
        <v>158.9</v>
      </c>
      <c r="L98">
        <v>142.1</v>
      </c>
      <c r="M98">
        <v>92.5</v>
      </c>
      <c r="N98">
        <v>125.4</v>
      </c>
      <c r="O98">
        <v>121.9</v>
      </c>
      <c r="P98">
        <v>132.69999999999999</v>
      </c>
      <c r="Q98">
        <v>131</v>
      </c>
      <c r="R98">
        <v>131</v>
      </c>
      <c r="S98">
        <v>130.4</v>
      </c>
      <c r="T98">
        <v>126.8</v>
      </c>
      <c r="U98">
        <v>129.9</v>
      </c>
      <c r="W98">
        <v>123.7</v>
      </c>
      <c r="X98">
        <v>124.5</v>
      </c>
      <c r="Y98">
        <v>121.4</v>
      </c>
      <c r="Z98">
        <v>113.8</v>
      </c>
      <c r="AA98">
        <v>119.6</v>
      </c>
      <c r="AB98">
        <v>124.5</v>
      </c>
      <c r="AC98">
        <v>113.7</v>
      </c>
      <c r="AD98">
        <v>118.8</v>
      </c>
      <c r="AE98">
        <v>127</v>
      </c>
    </row>
    <row r="99" spans="1:31" x14ac:dyDescent="0.3">
      <c r="A99" t="s">
        <v>33</v>
      </c>
      <c r="B99">
        <v>2015</v>
      </c>
      <c r="C99" t="s">
        <v>42</v>
      </c>
      <c r="D99" s="3">
        <v>42248</v>
      </c>
      <c r="E99">
        <v>123.4</v>
      </c>
      <c r="F99">
        <v>129</v>
      </c>
      <c r="G99">
        <v>115.6</v>
      </c>
      <c r="H99">
        <v>128.30000000000001</v>
      </c>
      <c r="I99">
        <v>107</v>
      </c>
      <c r="J99">
        <v>124</v>
      </c>
      <c r="K99">
        <v>168.5</v>
      </c>
      <c r="L99">
        <v>165.4</v>
      </c>
      <c r="M99">
        <v>86.3</v>
      </c>
      <c r="N99">
        <v>134.4</v>
      </c>
      <c r="O99">
        <v>119.1</v>
      </c>
      <c r="P99">
        <v>132.30000000000001</v>
      </c>
      <c r="Q99">
        <v>131.5</v>
      </c>
      <c r="R99">
        <v>134.69999999999999</v>
      </c>
      <c r="S99">
        <v>124</v>
      </c>
      <c r="T99">
        <v>118.6</v>
      </c>
      <c r="U99">
        <v>123.2</v>
      </c>
      <c r="V99">
        <v>121.6</v>
      </c>
      <c r="W99">
        <v>115.1</v>
      </c>
      <c r="X99">
        <v>120.4</v>
      </c>
      <c r="Y99">
        <v>117.1</v>
      </c>
      <c r="Z99">
        <v>109.1</v>
      </c>
      <c r="AA99">
        <v>117.3</v>
      </c>
      <c r="AB99">
        <v>126.5</v>
      </c>
      <c r="AC99">
        <v>112.9</v>
      </c>
      <c r="AD99">
        <v>116.2</v>
      </c>
      <c r="AE99">
        <v>123.5</v>
      </c>
    </row>
    <row r="100" spans="1:31" x14ac:dyDescent="0.3">
      <c r="A100" t="s">
        <v>34</v>
      </c>
      <c r="B100">
        <v>2015</v>
      </c>
      <c r="C100" t="s">
        <v>42</v>
      </c>
      <c r="D100" s="3">
        <v>42248</v>
      </c>
      <c r="E100">
        <v>124.6</v>
      </c>
      <c r="F100">
        <v>130.4</v>
      </c>
      <c r="G100">
        <v>118.7</v>
      </c>
      <c r="H100">
        <v>128.9</v>
      </c>
      <c r="I100">
        <v>111.9</v>
      </c>
      <c r="J100">
        <v>128.4</v>
      </c>
      <c r="K100">
        <v>162.19999999999999</v>
      </c>
      <c r="L100">
        <v>150</v>
      </c>
      <c r="M100">
        <v>90.4</v>
      </c>
      <c r="N100">
        <v>128.4</v>
      </c>
      <c r="O100">
        <v>120.7</v>
      </c>
      <c r="P100">
        <v>132.5</v>
      </c>
      <c r="Q100">
        <v>131.19999999999999</v>
      </c>
      <c r="R100">
        <v>132</v>
      </c>
      <c r="S100">
        <v>127.9</v>
      </c>
      <c r="T100">
        <v>123.4</v>
      </c>
      <c r="U100">
        <v>127.2</v>
      </c>
      <c r="V100">
        <v>121.6</v>
      </c>
      <c r="W100">
        <v>120.4</v>
      </c>
      <c r="X100">
        <v>122.6</v>
      </c>
      <c r="Y100">
        <v>119.8</v>
      </c>
      <c r="Z100">
        <v>111.3</v>
      </c>
      <c r="AA100">
        <v>118.3</v>
      </c>
      <c r="AB100">
        <v>125.7</v>
      </c>
      <c r="AC100">
        <v>113.4</v>
      </c>
      <c r="AD100">
        <v>117.5</v>
      </c>
      <c r="AE100">
        <v>125.4</v>
      </c>
    </row>
    <row r="101" spans="1:31" x14ac:dyDescent="0.3">
      <c r="A101" t="s">
        <v>30</v>
      </c>
      <c r="B101">
        <v>2015</v>
      </c>
      <c r="C101" t="s">
        <v>43</v>
      </c>
      <c r="D101" s="3">
        <v>42278</v>
      </c>
      <c r="E101">
        <v>125.6</v>
      </c>
      <c r="F101">
        <v>130.4</v>
      </c>
      <c r="G101">
        <v>120.8</v>
      </c>
      <c r="H101">
        <v>129.4</v>
      </c>
      <c r="I101">
        <v>115.8</v>
      </c>
      <c r="J101">
        <v>133.19999999999999</v>
      </c>
      <c r="K101">
        <v>157.69999999999999</v>
      </c>
      <c r="L101">
        <v>154.19999999999999</v>
      </c>
      <c r="M101">
        <v>93.7</v>
      </c>
      <c r="N101">
        <v>126.6</v>
      </c>
      <c r="O101">
        <v>122.3</v>
      </c>
      <c r="P101">
        <v>133.1</v>
      </c>
      <c r="Q101">
        <v>131.80000000000001</v>
      </c>
      <c r="R101">
        <v>131.5</v>
      </c>
      <c r="S101">
        <v>131.1</v>
      </c>
      <c r="T101">
        <v>127.3</v>
      </c>
      <c r="U101">
        <v>130.6</v>
      </c>
      <c r="W101">
        <v>124.4</v>
      </c>
      <c r="X101">
        <v>125.1</v>
      </c>
      <c r="Y101">
        <v>122</v>
      </c>
      <c r="Z101">
        <v>113.8</v>
      </c>
      <c r="AA101">
        <v>120.1</v>
      </c>
      <c r="AB101">
        <v>125.1</v>
      </c>
      <c r="AC101">
        <v>114.2</v>
      </c>
      <c r="AD101">
        <v>119.2</v>
      </c>
      <c r="AE101">
        <v>127.7</v>
      </c>
    </row>
    <row r="102" spans="1:31" x14ac:dyDescent="0.3">
      <c r="A102" t="s">
        <v>33</v>
      </c>
      <c r="B102">
        <v>2015</v>
      </c>
      <c r="C102" t="s">
        <v>43</v>
      </c>
      <c r="D102" s="3">
        <v>42278</v>
      </c>
      <c r="E102">
        <v>123.6</v>
      </c>
      <c r="F102">
        <v>128.6</v>
      </c>
      <c r="G102">
        <v>115.9</v>
      </c>
      <c r="H102">
        <v>128.5</v>
      </c>
      <c r="I102">
        <v>109</v>
      </c>
      <c r="J102">
        <v>124.1</v>
      </c>
      <c r="K102">
        <v>165.8</v>
      </c>
      <c r="L102">
        <v>187.2</v>
      </c>
      <c r="M102">
        <v>89.4</v>
      </c>
      <c r="N102">
        <v>135.80000000000001</v>
      </c>
      <c r="O102">
        <v>119.4</v>
      </c>
      <c r="P102">
        <v>132.9</v>
      </c>
      <c r="Q102">
        <v>132.6</v>
      </c>
      <c r="R102">
        <v>135.30000000000001</v>
      </c>
      <c r="S102">
        <v>124.4</v>
      </c>
      <c r="T102">
        <v>118.8</v>
      </c>
      <c r="U102">
        <v>123.6</v>
      </c>
      <c r="V102">
        <v>122.4</v>
      </c>
      <c r="W102">
        <v>114.9</v>
      </c>
      <c r="X102">
        <v>120.7</v>
      </c>
      <c r="Y102">
        <v>117.7</v>
      </c>
      <c r="Z102">
        <v>109.3</v>
      </c>
      <c r="AA102">
        <v>117.7</v>
      </c>
      <c r="AB102">
        <v>126.5</v>
      </c>
      <c r="AC102">
        <v>113.5</v>
      </c>
      <c r="AD102">
        <v>116.5</v>
      </c>
      <c r="AE102">
        <v>124.2</v>
      </c>
    </row>
    <row r="103" spans="1:31" x14ac:dyDescent="0.3">
      <c r="A103" t="s">
        <v>34</v>
      </c>
      <c r="B103">
        <v>2015</v>
      </c>
      <c r="C103" t="s">
        <v>43</v>
      </c>
      <c r="D103" s="3">
        <v>42278</v>
      </c>
      <c r="E103">
        <v>125</v>
      </c>
      <c r="F103">
        <v>129.80000000000001</v>
      </c>
      <c r="G103">
        <v>118.9</v>
      </c>
      <c r="H103">
        <v>129.1</v>
      </c>
      <c r="I103">
        <v>113.3</v>
      </c>
      <c r="J103">
        <v>129</v>
      </c>
      <c r="K103">
        <v>160.4</v>
      </c>
      <c r="L103">
        <v>165.3</v>
      </c>
      <c r="M103">
        <v>92.3</v>
      </c>
      <c r="N103">
        <v>129.69999999999999</v>
      </c>
      <c r="O103">
        <v>121.1</v>
      </c>
      <c r="P103">
        <v>133</v>
      </c>
      <c r="Q103">
        <v>132.1</v>
      </c>
      <c r="R103">
        <v>132.5</v>
      </c>
      <c r="S103">
        <v>128.5</v>
      </c>
      <c r="T103">
        <v>123.8</v>
      </c>
      <c r="U103">
        <v>127.8</v>
      </c>
      <c r="V103">
        <v>122.4</v>
      </c>
      <c r="W103">
        <v>120.8</v>
      </c>
      <c r="X103">
        <v>123</v>
      </c>
      <c r="Y103">
        <v>120.4</v>
      </c>
      <c r="Z103">
        <v>111.4</v>
      </c>
      <c r="AA103">
        <v>118.7</v>
      </c>
      <c r="AB103">
        <v>125.9</v>
      </c>
      <c r="AC103">
        <v>113.9</v>
      </c>
      <c r="AD103">
        <v>117.9</v>
      </c>
      <c r="AE103">
        <v>126.1</v>
      </c>
    </row>
    <row r="104" spans="1:31" x14ac:dyDescent="0.3">
      <c r="A104" t="s">
        <v>30</v>
      </c>
      <c r="B104">
        <v>2015</v>
      </c>
      <c r="C104" t="s">
        <v>45</v>
      </c>
      <c r="D104" s="3">
        <v>42309</v>
      </c>
      <c r="E104">
        <v>126.1</v>
      </c>
      <c r="F104">
        <v>130.6</v>
      </c>
      <c r="G104">
        <v>121.7</v>
      </c>
      <c r="H104">
        <v>129.5</v>
      </c>
      <c r="I104">
        <v>117.8</v>
      </c>
      <c r="J104">
        <v>132.1</v>
      </c>
      <c r="K104">
        <v>155.19999999999999</v>
      </c>
      <c r="L104">
        <v>160.80000000000001</v>
      </c>
      <c r="M104">
        <v>94.5</v>
      </c>
      <c r="N104">
        <v>128.30000000000001</v>
      </c>
      <c r="O104">
        <v>123.1</v>
      </c>
      <c r="P104">
        <v>134.19999999999999</v>
      </c>
      <c r="Q104">
        <v>132.4</v>
      </c>
      <c r="R104">
        <v>132.19999999999999</v>
      </c>
      <c r="S104">
        <v>132.1</v>
      </c>
      <c r="T104">
        <v>128.19999999999999</v>
      </c>
      <c r="U104">
        <v>131.5</v>
      </c>
      <c r="W104">
        <v>125.6</v>
      </c>
      <c r="X104">
        <v>125.6</v>
      </c>
      <c r="Y104">
        <v>122.6</v>
      </c>
      <c r="Z104">
        <v>114</v>
      </c>
      <c r="AA104">
        <v>120.9</v>
      </c>
      <c r="AB104">
        <v>125.8</v>
      </c>
      <c r="AC104">
        <v>114.2</v>
      </c>
      <c r="AD104">
        <v>119.6</v>
      </c>
      <c r="AE104">
        <v>128.30000000000001</v>
      </c>
    </row>
    <row r="105" spans="1:31" x14ac:dyDescent="0.3">
      <c r="A105" t="s">
        <v>33</v>
      </c>
      <c r="B105">
        <v>2015</v>
      </c>
      <c r="C105" t="s">
        <v>45</v>
      </c>
      <c r="D105" s="3">
        <v>42309</v>
      </c>
      <c r="E105">
        <v>124</v>
      </c>
      <c r="F105">
        <v>129.80000000000001</v>
      </c>
      <c r="G105">
        <v>121.5</v>
      </c>
      <c r="H105">
        <v>128.6</v>
      </c>
      <c r="I105">
        <v>110</v>
      </c>
      <c r="J105">
        <v>123.7</v>
      </c>
      <c r="K105">
        <v>164.6</v>
      </c>
      <c r="L105">
        <v>191.6</v>
      </c>
      <c r="M105">
        <v>90.8</v>
      </c>
      <c r="N105">
        <v>137.1</v>
      </c>
      <c r="O105">
        <v>119.8</v>
      </c>
      <c r="P105">
        <v>133.69999999999999</v>
      </c>
      <c r="Q105">
        <v>133.30000000000001</v>
      </c>
      <c r="R105">
        <v>137.6</v>
      </c>
      <c r="S105">
        <v>125</v>
      </c>
      <c r="T105">
        <v>119.3</v>
      </c>
      <c r="U105">
        <v>124.2</v>
      </c>
      <c r="V105">
        <v>122.9</v>
      </c>
      <c r="W105">
        <v>115.1</v>
      </c>
      <c r="X105">
        <v>121</v>
      </c>
      <c r="Y105">
        <v>118.1</v>
      </c>
      <c r="Z105">
        <v>109.3</v>
      </c>
      <c r="AA105">
        <v>117.9</v>
      </c>
      <c r="AB105">
        <v>126.6</v>
      </c>
      <c r="AC105">
        <v>113.3</v>
      </c>
      <c r="AD105">
        <v>116.6</v>
      </c>
      <c r="AE105">
        <v>124.6</v>
      </c>
    </row>
    <row r="106" spans="1:31" x14ac:dyDescent="0.3">
      <c r="A106" t="s">
        <v>34</v>
      </c>
      <c r="B106">
        <v>2015</v>
      </c>
      <c r="C106" t="s">
        <v>45</v>
      </c>
      <c r="D106" s="3">
        <v>42309</v>
      </c>
      <c r="E106">
        <v>125.4</v>
      </c>
      <c r="F106">
        <v>130.30000000000001</v>
      </c>
      <c r="G106">
        <v>121.6</v>
      </c>
      <c r="H106">
        <v>129.19999999999999</v>
      </c>
      <c r="I106">
        <v>114.9</v>
      </c>
      <c r="J106">
        <v>128.19999999999999</v>
      </c>
      <c r="K106">
        <v>158.4</v>
      </c>
      <c r="L106">
        <v>171.2</v>
      </c>
      <c r="M106">
        <v>93.3</v>
      </c>
      <c r="N106">
        <v>131.19999999999999</v>
      </c>
      <c r="O106">
        <v>121.7</v>
      </c>
      <c r="P106">
        <v>134</v>
      </c>
      <c r="Q106">
        <v>132.69999999999999</v>
      </c>
      <c r="R106">
        <v>133.6</v>
      </c>
      <c r="S106">
        <v>129.30000000000001</v>
      </c>
      <c r="T106">
        <v>124.5</v>
      </c>
      <c r="U106">
        <v>128.6</v>
      </c>
      <c r="V106">
        <v>122.9</v>
      </c>
      <c r="W106">
        <v>121.6</v>
      </c>
      <c r="X106">
        <v>123.4</v>
      </c>
      <c r="Y106">
        <v>120.9</v>
      </c>
      <c r="Z106">
        <v>111.5</v>
      </c>
      <c r="AA106">
        <v>119.2</v>
      </c>
      <c r="AB106">
        <v>126.3</v>
      </c>
      <c r="AC106">
        <v>113.8</v>
      </c>
      <c r="AD106">
        <v>118.1</v>
      </c>
      <c r="AE106">
        <v>126.6</v>
      </c>
    </row>
    <row r="107" spans="1:31" x14ac:dyDescent="0.3">
      <c r="A107" t="s">
        <v>30</v>
      </c>
      <c r="B107">
        <v>2015</v>
      </c>
      <c r="C107" t="s">
        <v>46</v>
      </c>
      <c r="D107" s="3">
        <v>42339</v>
      </c>
      <c r="E107">
        <v>126.3</v>
      </c>
      <c r="F107">
        <v>131.30000000000001</v>
      </c>
      <c r="G107">
        <v>123.3</v>
      </c>
      <c r="H107">
        <v>129.80000000000001</v>
      </c>
      <c r="I107">
        <v>118.3</v>
      </c>
      <c r="J107">
        <v>131.6</v>
      </c>
      <c r="K107">
        <v>145.5</v>
      </c>
      <c r="L107">
        <v>162.1</v>
      </c>
      <c r="M107">
        <v>95.4</v>
      </c>
      <c r="N107">
        <v>128.9</v>
      </c>
      <c r="O107">
        <v>123.3</v>
      </c>
      <c r="P107">
        <v>135.1</v>
      </c>
      <c r="Q107">
        <v>131.4</v>
      </c>
      <c r="R107">
        <v>133.1</v>
      </c>
      <c r="S107">
        <v>132.5</v>
      </c>
      <c r="T107">
        <v>128.5</v>
      </c>
      <c r="U107">
        <v>131.9</v>
      </c>
      <c r="W107">
        <v>125.7</v>
      </c>
      <c r="X107">
        <v>126</v>
      </c>
      <c r="Y107">
        <v>123.1</v>
      </c>
      <c r="Z107">
        <v>114</v>
      </c>
      <c r="AA107">
        <v>121.6</v>
      </c>
      <c r="AB107">
        <v>125.6</v>
      </c>
      <c r="AC107">
        <v>114.1</v>
      </c>
      <c r="AD107">
        <v>119.8</v>
      </c>
      <c r="AE107">
        <v>127.9</v>
      </c>
    </row>
    <row r="108" spans="1:31" x14ac:dyDescent="0.3">
      <c r="A108" t="s">
        <v>33</v>
      </c>
      <c r="B108">
        <v>2015</v>
      </c>
      <c r="C108" t="s">
        <v>46</v>
      </c>
      <c r="D108" s="3">
        <v>42339</v>
      </c>
      <c r="E108">
        <v>124.3</v>
      </c>
      <c r="F108">
        <v>131.69999999999999</v>
      </c>
      <c r="G108">
        <v>127.1</v>
      </c>
      <c r="H108">
        <v>128.6</v>
      </c>
      <c r="I108">
        <v>110</v>
      </c>
      <c r="J108">
        <v>120.8</v>
      </c>
      <c r="K108">
        <v>149</v>
      </c>
      <c r="L108">
        <v>190.1</v>
      </c>
      <c r="M108">
        <v>92.7</v>
      </c>
      <c r="N108">
        <v>138.6</v>
      </c>
      <c r="O108">
        <v>120.2</v>
      </c>
      <c r="P108">
        <v>134.19999999999999</v>
      </c>
      <c r="Q108">
        <v>131.5</v>
      </c>
      <c r="R108">
        <v>138.19999999999999</v>
      </c>
      <c r="S108">
        <v>125.4</v>
      </c>
      <c r="T108">
        <v>119.5</v>
      </c>
      <c r="U108">
        <v>124.5</v>
      </c>
      <c r="V108">
        <v>122.4</v>
      </c>
      <c r="W108">
        <v>116</v>
      </c>
      <c r="X108">
        <v>121</v>
      </c>
      <c r="Y108">
        <v>118.6</v>
      </c>
      <c r="Z108">
        <v>109.3</v>
      </c>
      <c r="AA108">
        <v>118.1</v>
      </c>
      <c r="AB108">
        <v>126.6</v>
      </c>
      <c r="AC108">
        <v>113.2</v>
      </c>
      <c r="AD108">
        <v>116.7</v>
      </c>
      <c r="AE108">
        <v>124</v>
      </c>
    </row>
    <row r="109" spans="1:31" x14ac:dyDescent="0.3">
      <c r="A109" t="s">
        <v>34</v>
      </c>
      <c r="B109">
        <v>2015</v>
      </c>
      <c r="C109" t="s">
        <v>46</v>
      </c>
      <c r="D109" s="3">
        <v>42339</v>
      </c>
      <c r="E109">
        <v>125.7</v>
      </c>
      <c r="F109">
        <v>131.4</v>
      </c>
      <c r="G109">
        <v>124.8</v>
      </c>
      <c r="H109">
        <v>129.4</v>
      </c>
      <c r="I109">
        <v>115.3</v>
      </c>
      <c r="J109">
        <v>126.6</v>
      </c>
      <c r="K109">
        <v>146.69999999999999</v>
      </c>
      <c r="L109">
        <v>171.5</v>
      </c>
      <c r="M109">
        <v>94.5</v>
      </c>
      <c r="N109">
        <v>132.1</v>
      </c>
      <c r="O109">
        <v>122</v>
      </c>
      <c r="P109">
        <v>134.69999999999999</v>
      </c>
      <c r="Q109">
        <v>131.4</v>
      </c>
      <c r="R109">
        <v>134.5</v>
      </c>
      <c r="S109">
        <v>129.69999999999999</v>
      </c>
      <c r="T109">
        <v>124.8</v>
      </c>
      <c r="U109">
        <v>129</v>
      </c>
      <c r="V109">
        <v>122.4</v>
      </c>
      <c r="W109">
        <v>122</v>
      </c>
      <c r="X109">
        <v>123.6</v>
      </c>
      <c r="Y109">
        <v>121.4</v>
      </c>
      <c r="Z109">
        <v>111.5</v>
      </c>
      <c r="AA109">
        <v>119.6</v>
      </c>
      <c r="AB109">
        <v>126.2</v>
      </c>
      <c r="AC109">
        <v>113.7</v>
      </c>
      <c r="AD109">
        <v>118.3</v>
      </c>
      <c r="AE109">
        <v>126.1</v>
      </c>
    </row>
    <row r="110" spans="1:31" x14ac:dyDescent="0.3">
      <c r="A110" t="s">
        <v>30</v>
      </c>
      <c r="B110">
        <v>2016</v>
      </c>
      <c r="C110" t="s">
        <v>31</v>
      </c>
      <c r="D110" s="3">
        <v>42370</v>
      </c>
      <c r="E110">
        <v>126.8</v>
      </c>
      <c r="F110">
        <v>133.19999999999999</v>
      </c>
      <c r="G110">
        <v>126.5</v>
      </c>
      <c r="H110">
        <v>130.30000000000001</v>
      </c>
      <c r="I110">
        <v>118.9</v>
      </c>
      <c r="J110">
        <v>131.6</v>
      </c>
      <c r="K110">
        <v>140.1</v>
      </c>
      <c r="L110">
        <v>163.80000000000001</v>
      </c>
      <c r="M110">
        <v>97.7</v>
      </c>
      <c r="N110">
        <v>129.6</v>
      </c>
      <c r="O110">
        <v>124.3</v>
      </c>
      <c r="P110">
        <v>135.9</v>
      </c>
      <c r="Q110">
        <v>131.4</v>
      </c>
      <c r="R110">
        <v>133.6</v>
      </c>
      <c r="S110">
        <v>133.19999999999999</v>
      </c>
      <c r="T110">
        <v>128.9</v>
      </c>
      <c r="U110">
        <v>132.6</v>
      </c>
      <c r="W110">
        <v>126.2</v>
      </c>
      <c r="X110">
        <v>126.6</v>
      </c>
      <c r="Y110">
        <v>123.7</v>
      </c>
      <c r="Z110">
        <v>113.6</v>
      </c>
      <c r="AA110">
        <v>121.4</v>
      </c>
      <c r="AB110">
        <v>126.2</v>
      </c>
      <c r="AC110">
        <v>114.9</v>
      </c>
      <c r="AD110">
        <v>120.1</v>
      </c>
      <c r="AE110">
        <v>128.1</v>
      </c>
    </row>
    <row r="111" spans="1:31" x14ac:dyDescent="0.3">
      <c r="A111" t="s">
        <v>33</v>
      </c>
      <c r="B111">
        <v>2016</v>
      </c>
      <c r="C111" t="s">
        <v>31</v>
      </c>
      <c r="D111" s="3">
        <v>42370</v>
      </c>
      <c r="E111">
        <v>124.7</v>
      </c>
      <c r="F111">
        <v>135.9</v>
      </c>
      <c r="G111">
        <v>132</v>
      </c>
      <c r="H111">
        <v>129.19999999999999</v>
      </c>
      <c r="I111">
        <v>109.7</v>
      </c>
      <c r="J111">
        <v>119</v>
      </c>
      <c r="K111">
        <v>144.1</v>
      </c>
      <c r="L111">
        <v>184.2</v>
      </c>
      <c r="M111">
        <v>96.7</v>
      </c>
      <c r="N111">
        <v>139.5</v>
      </c>
      <c r="O111">
        <v>120.5</v>
      </c>
      <c r="P111">
        <v>134.69999999999999</v>
      </c>
      <c r="Q111">
        <v>131.19999999999999</v>
      </c>
      <c r="R111">
        <v>139.5</v>
      </c>
      <c r="S111">
        <v>125.8</v>
      </c>
      <c r="T111">
        <v>119.8</v>
      </c>
      <c r="U111">
        <v>124.9</v>
      </c>
      <c r="V111">
        <v>123.4</v>
      </c>
      <c r="W111">
        <v>116.9</v>
      </c>
      <c r="X111">
        <v>121.6</v>
      </c>
      <c r="Y111">
        <v>119.1</v>
      </c>
      <c r="Z111">
        <v>108.9</v>
      </c>
      <c r="AA111">
        <v>118.5</v>
      </c>
      <c r="AB111">
        <v>126.4</v>
      </c>
      <c r="AC111">
        <v>114</v>
      </c>
      <c r="AD111">
        <v>116.8</v>
      </c>
      <c r="AE111">
        <v>124.2</v>
      </c>
    </row>
    <row r="112" spans="1:31" x14ac:dyDescent="0.3">
      <c r="A112" t="s">
        <v>34</v>
      </c>
      <c r="B112">
        <v>2016</v>
      </c>
      <c r="C112" t="s">
        <v>31</v>
      </c>
      <c r="D112" s="3">
        <v>42370</v>
      </c>
      <c r="E112">
        <v>126.1</v>
      </c>
      <c r="F112">
        <v>134.1</v>
      </c>
      <c r="G112">
        <v>128.6</v>
      </c>
      <c r="H112">
        <v>129.9</v>
      </c>
      <c r="I112">
        <v>115.5</v>
      </c>
      <c r="J112">
        <v>125.7</v>
      </c>
      <c r="K112">
        <v>141.5</v>
      </c>
      <c r="L112">
        <v>170.7</v>
      </c>
      <c r="M112">
        <v>97.4</v>
      </c>
      <c r="N112">
        <v>132.9</v>
      </c>
      <c r="O112">
        <v>122.7</v>
      </c>
      <c r="P112">
        <v>135.30000000000001</v>
      </c>
      <c r="Q112">
        <v>131.30000000000001</v>
      </c>
      <c r="R112">
        <v>135.19999999999999</v>
      </c>
      <c r="S112">
        <v>130.30000000000001</v>
      </c>
      <c r="T112">
        <v>125.1</v>
      </c>
      <c r="U112">
        <v>129.5</v>
      </c>
      <c r="V112">
        <v>123.4</v>
      </c>
      <c r="W112">
        <v>122.7</v>
      </c>
      <c r="X112">
        <v>124.2</v>
      </c>
      <c r="Y112">
        <v>122</v>
      </c>
      <c r="Z112">
        <v>111.1</v>
      </c>
      <c r="AA112">
        <v>119.8</v>
      </c>
      <c r="AB112">
        <v>126.3</v>
      </c>
      <c r="AC112">
        <v>114.5</v>
      </c>
      <c r="AD112">
        <v>118.5</v>
      </c>
      <c r="AE112">
        <v>126.3</v>
      </c>
    </row>
    <row r="113" spans="1:31" x14ac:dyDescent="0.3">
      <c r="A113" t="s">
        <v>30</v>
      </c>
      <c r="B113">
        <v>2016</v>
      </c>
      <c r="C113" t="s">
        <v>35</v>
      </c>
      <c r="D113" s="3">
        <v>42401</v>
      </c>
      <c r="E113">
        <v>127.1</v>
      </c>
      <c r="F113">
        <v>133.69999999999999</v>
      </c>
      <c r="G113">
        <v>127.7</v>
      </c>
      <c r="H113">
        <v>130.69999999999999</v>
      </c>
      <c r="I113">
        <v>118.5</v>
      </c>
      <c r="J113">
        <v>130.4</v>
      </c>
      <c r="K113">
        <v>130.9</v>
      </c>
      <c r="L113">
        <v>162.80000000000001</v>
      </c>
      <c r="M113">
        <v>98.7</v>
      </c>
      <c r="N113">
        <v>130.6</v>
      </c>
      <c r="O113">
        <v>124.8</v>
      </c>
      <c r="P113">
        <v>136.4</v>
      </c>
      <c r="Q113">
        <v>130.30000000000001</v>
      </c>
      <c r="R113">
        <v>134.4</v>
      </c>
      <c r="S113">
        <v>133.9</v>
      </c>
      <c r="T113">
        <v>129.80000000000001</v>
      </c>
      <c r="U113">
        <v>133.4</v>
      </c>
      <c r="W113">
        <v>127.5</v>
      </c>
      <c r="X113">
        <v>127.1</v>
      </c>
      <c r="Y113">
        <v>124.3</v>
      </c>
      <c r="Z113">
        <v>113.9</v>
      </c>
      <c r="AA113">
        <v>122.3</v>
      </c>
      <c r="AB113">
        <v>127.1</v>
      </c>
      <c r="AC113">
        <v>116.8</v>
      </c>
      <c r="AD113">
        <v>120.9</v>
      </c>
      <c r="AE113">
        <v>127.9</v>
      </c>
    </row>
    <row r="114" spans="1:31" x14ac:dyDescent="0.3">
      <c r="A114" t="s">
        <v>33</v>
      </c>
      <c r="B114">
        <v>2016</v>
      </c>
      <c r="C114" t="s">
        <v>35</v>
      </c>
      <c r="D114" s="3">
        <v>42401</v>
      </c>
      <c r="E114">
        <v>124.8</v>
      </c>
      <c r="F114">
        <v>135.1</v>
      </c>
      <c r="G114">
        <v>130.30000000000001</v>
      </c>
      <c r="H114">
        <v>129.6</v>
      </c>
      <c r="I114">
        <v>108.4</v>
      </c>
      <c r="J114">
        <v>118.6</v>
      </c>
      <c r="K114">
        <v>129.19999999999999</v>
      </c>
      <c r="L114">
        <v>176.4</v>
      </c>
      <c r="M114">
        <v>99.1</v>
      </c>
      <c r="N114">
        <v>139.69999999999999</v>
      </c>
      <c r="O114">
        <v>120.6</v>
      </c>
      <c r="P114">
        <v>135.19999999999999</v>
      </c>
      <c r="Q114">
        <v>129.1</v>
      </c>
      <c r="R114">
        <v>140</v>
      </c>
      <c r="S114">
        <v>126.2</v>
      </c>
      <c r="T114">
        <v>120.1</v>
      </c>
      <c r="U114">
        <v>125.3</v>
      </c>
      <c r="V114">
        <v>124.4</v>
      </c>
      <c r="W114">
        <v>116</v>
      </c>
      <c r="X114">
        <v>121.8</v>
      </c>
      <c r="Y114">
        <v>119.5</v>
      </c>
      <c r="Z114">
        <v>109.1</v>
      </c>
      <c r="AA114">
        <v>118.8</v>
      </c>
      <c r="AB114">
        <v>126.3</v>
      </c>
      <c r="AC114">
        <v>116.2</v>
      </c>
      <c r="AD114">
        <v>117.2</v>
      </c>
      <c r="AE114">
        <v>123.8</v>
      </c>
    </row>
    <row r="115" spans="1:31" x14ac:dyDescent="0.3">
      <c r="A115" t="s">
        <v>34</v>
      </c>
      <c r="B115">
        <v>2016</v>
      </c>
      <c r="C115" t="s">
        <v>35</v>
      </c>
      <c r="D115" s="3">
        <v>42401</v>
      </c>
      <c r="E115">
        <v>126.4</v>
      </c>
      <c r="F115">
        <v>134.19999999999999</v>
      </c>
      <c r="G115">
        <v>128.69999999999999</v>
      </c>
      <c r="H115">
        <v>130.30000000000001</v>
      </c>
      <c r="I115">
        <v>114.8</v>
      </c>
      <c r="J115">
        <v>124.9</v>
      </c>
      <c r="K115">
        <v>130.30000000000001</v>
      </c>
      <c r="L115">
        <v>167.4</v>
      </c>
      <c r="M115">
        <v>98.8</v>
      </c>
      <c r="N115">
        <v>133.6</v>
      </c>
      <c r="O115">
        <v>123</v>
      </c>
      <c r="P115">
        <v>135.80000000000001</v>
      </c>
      <c r="Q115">
        <v>129.9</v>
      </c>
      <c r="R115">
        <v>135.9</v>
      </c>
      <c r="S115">
        <v>130.9</v>
      </c>
      <c r="T115">
        <v>125.8</v>
      </c>
      <c r="U115">
        <v>130.19999999999999</v>
      </c>
      <c r="V115">
        <v>124.4</v>
      </c>
      <c r="W115">
        <v>123.1</v>
      </c>
      <c r="X115">
        <v>124.6</v>
      </c>
      <c r="Y115">
        <v>122.5</v>
      </c>
      <c r="Z115">
        <v>111.4</v>
      </c>
      <c r="AA115">
        <v>120.3</v>
      </c>
      <c r="AB115">
        <v>126.6</v>
      </c>
      <c r="AC115">
        <v>116.6</v>
      </c>
      <c r="AD115">
        <v>119.1</v>
      </c>
      <c r="AE115">
        <v>126</v>
      </c>
    </row>
    <row r="116" spans="1:31" x14ac:dyDescent="0.3">
      <c r="A116" t="s">
        <v>30</v>
      </c>
      <c r="B116">
        <v>2016</v>
      </c>
      <c r="C116" t="s">
        <v>36</v>
      </c>
      <c r="D116" s="3">
        <v>42430</v>
      </c>
      <c r="E116">
        <v>127.3</v>
      </c>
      <c r="F116">
        <v>134.4</v>
      </c>
      <c r="G116">
        <v>125.1</v>
      </c>
      <c r="H116">
        <v>130.5</v>
      </c>
      <c r="I116">
        <v>118.3</v>
      </c>
      <c r="J116">
        <v>131.69999999999999</v>
      </c>
      <c r="K116">
        <v>130.69999999999999</v>
      </c>
      <c r="L116">
        <v>161.19999999999999</v>
      </c>
      <c r="M116">
        <v>100.4</v>
      </c>
      <c r="N116">
        <v>130.80000000000001</v>
      </c>
      <c r="O116">
        <v>124.9</v>
      </c>
      <c r="P116">
        <v>137</v>
      </c>
      <c r="Q116">
        <v>130.4</v>
      </c>
      <c r="R116">
        <v>135</v>
      </c>
      <c r="S116">
        <v>134.4</v>
      </c>
      <c r="T116">
        <v>130.19999999999999</v>
      </c>
      <c r="U116">
        <v>133.80000000000001</v>
      </c>
      <c r="W116">
        <v>127</v>
      </c>
      <c r="X116">
        <v>127.7</v>
      </c>
      <c r="Y116">
        <v>124.8</v>
      </c>
      <c r="Z116">
        <v>113.6</v>
      </c>
      <c r="AA116">
        <v>122.5</v>
      </c>
      <c r="AB116">
        <v>127.5</v>
      </c>
      <c r="AC116">
        <v>117.4</v>
      </c>
      <c r="AD116">
        <v>121.1</v>
      </c>
      <c r="AE116">
        <v>128</v>
      </c>
    </row>
    <row r="117" spans="1:31" x14ac:dyDescent="0.3">
      <c r="A117" t="s">
        <v>33</v>
      </c>
      <c r="B117">
        <v>2016</v>
      </c>
      <c r="C117" t="s">
        <v>36</v>
      </c>
      <c r="D117" s="3">
        <v>42430</v>
      </c>
      <c r="E117">
        <v>124.8</v>
      </c>
      <c r="F117">
        <v>136.30000000000001</v>
      </c>
      <c r="G117">
        <v>123.7</v>
      </c>
      <c r="H117">
        <v>129.69999999999999</v>
      </c>
      <c r="I117">
        <v>107.9</v>
      </c>
      <c r="J117">
        <v>119.9</v>
      </c>
      <c r="K117">
        <v>128.1</v>
      </c>
      <c r="L117">
        <v>170.3</v>
      </c>
      <c r="M117">
        <v>101.8</v>
      </c>
      <c r="N117">
        <v>140.1</v>
      </c>
      <c r="O117">
        <v>120.7</v>
      </c>
      <c r="P117">
        <v>135.4</v>
      </c>
      <c r="Q117">
        <v>128.9</v>
      </c>
      <c r="R117">
        <v>140.6</v>
      </c>
      <c r="S117">
        <v>126.4</v>
      </c>
      <c r="T117">
        <v>120.3</v>
      </c>
      <c r="U117">
        <v>125.5</v>
      </c>
      <c r="V117">
        <v>124.9</v>
      </c>
      <c r="W117">
        <v>114.8</v>
      </c>
      <c r="X117">
        <v>122.3</v>
      </c>
      <c r="Y117">
        <v>119.7</v>
      </c>
      <c r="Z117">
        <v>108.5</v>
      </c>
      <c r="AA117">
        <v>119.1</v>
      </c>
      <c r="AB117">
        <v>126.4</v>
      </c>
      <c r="AC117">
        <v>117.1</v>
      </c>
      <c r="AD117">
        <v>117.3</v>
      </c>
      <c r="AE117">
        <v>123.8</v>
      </c>
    </row>
    <row r="118" spans="1:31" x14ac:dyDescent="0.3">
      <c r="A118" t="s">
        <v>34</v>
      </c>
      <c r="B118">
        <v>2016</v>
      </c>
      <c r="C118" t="s">
        <v>36</v>
      </c>
      <c r="D118" s="3">
        <v>42430</v>
      </c>
      <c r="E118">
        <v>126.5</v>
      </c>
      <c r="F118">
        <v>135.1</v>
      </c>
      <c r="G118">
        <v>124.6</v>
      </c>
      <c r="H118">
        <v>130.19999999999999</v>
      </c>
      <c r="I118">
        <v>114.5</v>
      </c>
      <c r="J118">
        <v>126.2</v>
      </c>
      <c r="K118">
        <v>129.80000000000001</v>
      </c>
      <c r="L118">
        <v>164.3</v>
      </c>
      <c r="M118">
        <v>100.9</v>
      </c>
      <c r="N118">
        <v>133.9</v>
      </c>
      <c r="O118">
        <v>123.1</v>
      </c>
      <c r="P118">
        <v>136.30000000000001</v>
      </c>
      <c r="Q118">
        <v>129.80000000000001</v>
      </c>
      <c r="R118">
        <v>136.5</v>
      </c>
      <c r="S118">
        <v>131.30000000000001</v>
      </c>
      <c r="T118">
        <v>126.1</v>
      </c>
      <c r="U118">
        <v>130.5</v>
      </c>
      <c r="V118">
        <v>124.9</v>
      </c>
      <c r="W118">
        <v>122.4</v>
      </c>
      <c r="X118">
        <v>125.1</v>
      </c>
      <c r="Y118">
        <v>122.9</v>
      </c>
      <c r="Z118">
        <v>110.9</v>
      </c>
      <c r="AA118">
        <v>120.6</v>
      </c>
      <c r="AB118">
        <v>126.9</v>
      </c>
      <c r="AC118">
        <v>117.3</v>
      </c>
      <c r="AD118">
        <v>119.3</v>
      </c>
      <c r="AE118">
        <v>126</v>
      </c>
    </row>
    <row r="119" spans="1:31" x14ac:dyDescent="0.3">
      <c r="A119" t="s">
        <v>30</v>
      </c>
      <c r="B119">
        <v>2016</v>
      </c>
      <c r="C119" t="s">
        <v>37</v>
      </c>
      <c r="D119" s="3">
        <v>42461</v>
      </c>
      <c r="E119">
        <v>127.4</v>
      </c>
      <c r="F119">
        <v>135.4</v>
      </c>
      <c r="G119">
        <v>123.4</v>
      </c>
      <c r="H119">
        <v>131.30000000000001</v>
      </c>
      <c r="I119">
        <v>118.2</v>
      </c>
      <c r="J119">
        <v>138.1</v>
      </c>
      <c r="K119">
        <v>134.1</v>
      </c>
      <c r="L119">
        <v>162.69999999999999</v>
      </c>
      <c r="M119">
        <v>105</v>
      </c>
      <c r="N119">
        <v>131.4</v>
      </c>
      <c r="O119">
        <v>125.4</v>
      </c>
      <c r="P119">
        <v>137.4</v>
      </c>
      <c r="Q119">
        <v>131.80000000000001</v>
      </c>
      <c r="R119">
        <v>135.5</v>
      </c>
      <c r="S119">
        <v>135</v>
      </c>
      <c r="T119">
        <v>130.6</v>
      </c>
      <c r="U119">
        <v>134.4</v>
      </c>
      <c r="W119">
        <v>127</v>
      </c>
      <c r="X119">
        <v>128</v>
      </c>
      <c r="Y119">
        <v>125.2</v>
      </c>
      <c r="Z119">
        <v>114.4</v>
      </c>
      <c r="AA119">
        <v>123.2</v>
      </c>
      <c r="AB119">
        <v>127.9</v>
      </c>
      <c r="AC119">
        <v>118.4</v>
      </c>
      <c r="AD119">
        <v>121.7</v>
      </c>
      <c r="AE119">
        <v>129</v>
      </c>
    </row>
    <row r="120" spans="1:31" x14ac:dyDescent="0.3">
      <c r="A120" t="s">
        <v>33</v>
      </c>
      <c r="B120">
        <v>2016</v>
      </c>
      <c r="C120" t="s">
        <v>37</v>
      </c>
      <c r="D120" s="3">
        <v>42461</v>
      </c>
      <c r="E120">
        <v>124.9</v>
      </c>
      <c r="F120">
        <v>139.30000000000001</v>
      </c>
      <c r="G120">
        <v>119.9</v>
      </c>
      <c r="H120">
        <v>130.19999999999999</v>
      </c>
      <c r="I120">
        <v>108.9</v>
      </c>
      <c r="J120">
        <v>131.1</v>
      </c>
      <c r="K120">
        <v>136.80000000000001</v>
      </c>
      <c r="L120">
        <v>176.9</v>
      </c>
      <c r="M120">
        <v>109.1</v>
      </c>
      <c r="N120">
        <v>140.4</v>
      </c>
      <c r="O120">
        <v>121.1</v>
      </c>
      <c r="P120">
        <v>135.9</v>
      </c>
      <c r="Q120">
        <v>131.80000000000001</v>
      </c>
      <c r="R120">
        <v>141.5</v>
      </c>
      <c r="S120">
        <v>126.8</v>
      </c>
      <c r="T120">
        <v>120.5</v>
      </c>
      <c r="U120">
        <v>125.8</v>
      </c>
      <c r="V120">
        <v>125.6</v>
      </c>
      <c r="W120">
        <v>114.6</v>
      </c>
      <c r="X120">
        <v>122.8</v>
      </c>
      <c r="Y120">
        <v>120</v>
      </c>
      <c r="Z120">
        <v>110</v>
      </c>
      <c r="AA120">
        <v>119.5</v>
      </c>
      <c r="AB120">
        <v>127.6</v>
      </c>
      <c r="AC120">
        <v>117.6</v>
      </c>
      <c r="AD120">
        <v>118.2</v>
      </c>
      <c r="AE120">
        <v>125.3</v>
      </c>
    </row>
    <row r="121" spans="1:31" x14ac:dyDescent="0.3">
      <c r="A121" t="s">
        <v>34</v>
      </c>
      <c r="B121">
        <v>2016</v>
      </c>
      <c r="C121" t="s">
        <v>37</v>
      </c>
      <c r="D121" s="3">
        <v>42461</v>
      </c>
      <c r="E121">
        <v>126.6</v>
      </c>
      <c r="F121">
        <v>136.80000000000001</v>
      </c>
      <c r="G121">
        <v>122</v>
      </c>
      <c r="H121">
        <v>130.9</v>
      </c>
      <c r="I121">
        <v>114.8</v>
      </c>
      <c r="J121">
        <v>134.80000000000001</v>
      </c>
      <c r="K121">
        <v>135</v>
      </c>
      <c r="L121">
        <v>167.5</v>
      </c>
      <c r="M121">
        <v>106.4</v>
      </c>
      <c r="N121">
        <v>134.4</v>
      </c>
      <c r="O121">
        <v>123.6</v>
      </c>
      <c r="P121">
        <v>136.69999999999999</v>
      </c>
      <c r="Q121">
        <v>131.80000000000001</v>
      </c>
      <c r="R121">
        <v>137.1</v>
      </c>
      <c r="S121">
        <v>131.80000000000001</v>
      </c>
      <c r="T121">
        <v>126.4</v>
      </c>
      <c r="U121">
        <v>131</v>
      </c>
      <c r="V121">
        <v>125.6</v>
      </c>
      <c r="W121">
        <v>122.3</v>
      </c>
      <c r="X121">
        <v>125.5</v>
      </c>
      <c r="Y121">
        <v>123.2</v>
      </c>
      <c r="Z121">
        <v>112.1</v>
      </c>
      <c r="AA121">
        <v>121.1</v>
      </c>
      <c r="AB121">
        <v>127.7</v>
      </c>
      <c r="AC121">
        <v>118.1</v>
      </c>
      <c r="AD121">
        <v>120</v>
      </c>
      <c r="AE121">
        <v>127.3</v>
      </c>
    </row>
    <row r="122" spans="1:31" x14ac:dyDescent="0.3">
      <c r="A122" t="s">
        <v>30</v>
      </c>
      <c r="B122">
        <v>2016</v>
      </c>
      <c r="C122" t="s">
        <v>38</v>
      </c>
      <c r="D122" s="3">
        <v>42491</v>
      </c>
      <c r="E122">
        <v>127.6</v>
      </c>
      <c r="F122">
        <v>137.5</v>
      </c>
      <c r="G122">
        <v>124.4</v>
      </c>
      <c r="H122">
        <v>132.4</v>
      </c>
      <c r="I122">
        <v>118.2</v>
      </c>
      <c r="J122">
        <v>138.1</v>
      </c>
      <c r="K122">
        <v>141.80000000000001</v>
      </c>
      <c r="L122">
        <v>166</v>
      </c>
      <c r="M122">
        <v>107.5</v>
      </c>
      <c r="N122">
        <v>132.19999999999999</v>
      </c>
      <c r="O122">
        <v>126.1</v>
      </c>
      <c r="P122">
        <v>138.30000000000001</v>
      </c>
      <c r="Q122">
        <v>133.6</v>
      </c>
      <c r="R122">
        <v>136</v>
      </c>
      <c r="S122">
        <v>135.4</v>
      </c>
      <c r="T122">
        <v>131.1</v>
      </c>
      <c r="U122">
        <v>134.80000000000001</v>
      </c>
      <c r="W122">
        <v>127.4</v>
      </c>
      <c r="X122">
        <v>128.5</v>
      </c>
      <c r="Y122">
        <v>125.8</v>
      </c>
      <c r="Z122">
        <v>115.1</v>
      </c>
      <c r="AA122">
        <v>123.6</v>
      </c>
      <c r="AB122">
        <v>129.1</v>
      </c>
      <c r="AC122">
        <v>119.7</v>
      </c>
      <c r="AD122">
        <v>122.5</v>
      </c>
      <c r="AE122">
        <v>130.30000000000001</v>
      </c>
    </row>
    <row r="123" spans="1:31" x14ac:dyDescent="0.3">
      <c r="A123" t="s">
        <v>33</v>
      </c>
      <c r="B123">
        <v>2016</v>
      </c>
      <c r="C123" t="s">
        <v>38</v>
      </c>
      <c r="D123" s="3">
        <v>42491</v>
      </c>
      <c r="E123">
        <v>125</v>
      </c>
      <c r="F123">
        <v>142.1</v>
      </c>
      <c r="G123">
        <v>127</v>
      </c>
      <c r="H123">
        <v>130.4</v>
      </c>
      <c r="I123">
        <v>109.6</v>
      </c>
      <c r="J123">
        <v>133.5</v>
      </c>
      <c r="K123">
        <v>151.4</v>
      </c>
      <c r="L123">
        <v>182.8</v>
      </c>
      <c r="M123">
        <v>111.1</v>
      </c>
      <c r="N123">
        <v>141.5</v>
      </c>
      <c r="O123">
        <v>121.5</v>
      </c>
      <c r="P123">
        <v>136.30000000000001</v>
      </c>
      <c r="Q123">
        <v>134.6</v>
      </c>
      <c r="R123">
        <v>142.19999999999999</v>
      </c>
      <c r="S123">
        <v>127.2</v>
      </c>
      <c r="T123">
        <v>120.7</v>
      </c>
      <c r="U123">
        <v>126.2</v>
      </c>
      <c r="V123">
        <v>126</v>
      </c>
      <c r="W123">
        <v>115</v>
      </c>
      <c r="X123">
        <v>123.2</v>
      </c>
      <c r="Y123">
        <v>120.3</v>
      </c>
      <c r="Z123">
        <v>110.7</v>
      </c>
      <c r="AA123">
        <v>119.8</v>
      </c>
      <c r="AB123">
        <v>128</v>
      </c>
      <c r="AC123">
        <v>118.5</v>
      </c>
      <c r="AD123">
        <v>118.7</v>
      </c>
      <c r="AE123">
        <v>126.6</v>
      </c>
    </row>
    <row r="124" spans="1:31" x14ac:dyDescent="0.3">
      <c r="A124" t="s">
        <v>34</v>
      </c>
      <c r="B124">
        <v>2016</v>
      </c>
      <c r="C124" t="s">
        <v>38</v>
      </c>
      <c r="D124" s="3">
        <v>42491</v>
      </c>
      <c r="E124">
        <v>126.8</v>
      </c>
      <c r="F124">
        <v>139.1</v>
      </c>
      <c r="G124">
        <v>125.4</v>
      </c>
      <c r="H124">
        <v>131.69999999999999</v>
      </c>
      <c r="I124">
        <v>115</v>
      </c>
      <c r="J124">
        <v>136</v>
      </c>
      <c r="K124">
        <v>145.1</v>
      </c>
      <c r="L124">
        <v>171.7</v>
      </c>
      <c r="M124">
        <v>108.7</v>
      </c>
      <c r="N124">
        <v>135.30000000000001</v>
      </c>
      <c r="O124">
        <v>124.2</v>
      </c>
      <c r="P124">
        <v>137.4</v>
      </c>
      <c r="Q124">
        <v>134</v>
      </c>
      <c r="R124">
        <v>137.69999999999999</v>
      </c>
      <c r="S124">
        <v>132.19999999999999</v>
      </c>
      <c r="T124">
        <v>126.8</v>
      </c>
      <c r="U124">
        <v>131.4</v>
      </c>
      <c r="V124">
        <v>126</v>
      </c>
      <c r="W124">
        <v>122.7</v>
      </c>
      <c r="X124">
        <v>126</v>
      </c>
      <c r="Y124">
        <v>123.7</v>
      </c>
      <c r="Z124">
        <v>112.8</v>
      </c>
      <c r="AA124">
        <v>121.5</v>
      </c>
      <c r="AB124">
        <v>128.5</v>
      </c>
      <c r="AC124">
        <v>119.2</v>
      </c>
      <c r="AD124">
        <v>120.7</v>
      </c>
      <c r="AE124">
        <v>128.6</v>
      </c>
    </row>
    <row r="125" spans="1:31" x14ac:dyDescent="0.3">
      <c r="A125" t="s">
        <v>30</v>
      </c>
      <c r="B125">
        <v>2016</v>
      </c>
      <c r="C125" t="s">
        <v>39</v>
      </c>
      <c r="D125" s="3">
        <v>42522</v>
      </c>
      <c r="E125">
        <v>128.6</v>
      </c>
      <c r="F125">
        <v>138.6</v>
      </c>
      <c r="G125">
        <v>126.6</v>
      </c>
      <c r="H125">
        <v>133.6</v>
      </c>
      <c r="I125">
        <v>118.6</v>
      </c>
      <c r="J125">
        <v>137.4</v>
      </c>
      <c r="K125">
        <v>152.5</v>
      </c>
      <c r="L125">
        <v>169.2</v>
      </c>
      <c r="M125">
        <v>108.8</v>
      </c>
      <c r="N125">
        <v>133.1</v>
      </c>
      <c r="O125">
        <v>126.4</v>
      </c>
      <c r="P125">
        <v>139.19999999999999</v>
      </c>
      <c r="Q125">
        <v>136</v>
      </c>
      <c r="R125">
        <v>137.19999999999999</v>
      </c>
      <c r="S125">
        <v>136.30000000000001</v>
      </c>
      <c r="T125">
        <v>131.6</v>
      </c>
      <c r="U125">
        <v>135.6</v>
      </c>
      <c r="W125">
        <v>128</v>
      </c>
      <c r="X125">
        <v>129.30000000000001</v>
      </c>
      <c r="Y125">
        <v>126.2</v>
      </c>
      <c r="Z125">
        <v>116.3</v>
      </c>
      <c r="AA125">
        <v>124.1</v>
      </c>
      <c r="AB125">
        <v>130.19999999999999</v>
      </c>
      <c r="AC125">
        <v>119.9</v>
      </c>
      <c r="AD125">
        <v>123.3</v>
      </c>
      <c r="AE125">
        <v>131.9</v>
      </c>
    </row>
    <row r="126" spans="1:31" x14ac:dyDescent="0.3">
      <c r="A126" t="s">
        <v>33</v>
      </c>
      <c r="B126">
        <v>2016</v>
      </c>
      <c r="C126" t="s">
        <v>39</v>
      </c>
      <c r="D126" s="3">
        <v>42522</v>
      </c>
      <c r="E126">
        <v>125.9</v>
      </c>
      <c r="F126">
        <v>143.9</v>
      </c>
      <c r="G126">
        <v>130.9</v>
      </c>
      <c r="H126">
        <v>131</v>
      </c>
      <c r="I126">
        <v>110.2</v>
      </c>
      <c r="J126">
        <v>135.5</v>
      </c>
      <c r="K126">
        <v>173.7</v>
      </c>
      <c r="L126">
        <v>184.4</v>
      </c>
      <c r="M126">
        <v>112</v>
      </c>
      <c r="N126">
        <v>142.80000000000001</v>
      </c>
      <c r="O126">
        <v>121.6</v>
      </c>
      <c r="P126">
        <v>136.9</v>
      </c>
      <c r="Q126">
        <v>138.19999999999999</v>
      </c>
      <c r="R126">
        <v>142.69999999999999</v>
      </c>
      <c r="S126">
        <v>127.6</v>
      </c>
      <c r="T126">
        <v>121.1</v>
      </c>
      <c r="U126">
        <v>126.6</v>
      </c>
      <c r="V126">
        <v>125.5</v>
      </c>
      <c r="W126">
        <v>115.5</v>
      </c>
      <c r="X126">
        <v>123.2</v>
      </c>
      <c r="Y126">
        <v>120.6</v>
      </c>
      <c r="Z126">
        <v>112.3</v>
      </c>
      <c r="AA126">
        <v>119.9</v>
      </c>
      <c r="AB126">
        <v>129.30000000000001</v>
      </c>
      <c r="AC126">
        <v>118.8</v>
      </c>
      <c r="AD126">
        <v>119.6</v>
      </c>
      <c r="AE126">
        <v>128.1</v>
      </c>
    </row>
    <row r="127" spans="1:31" x14ac:dyDescent="0.3">
      <c r="A127" t="s">
        <v>34</v>
      </c>
      <c r="B127">
        <v>2016</v>
      </c>
      <c r="C127" t="s">
        <v>39</v>
      </c>
      <c r="D127" s="3">
        <v>42522</v>
      </c>
      <c r="E127">
        <v>127.7</v>
      </c>
      <c r="F127">
        <v>140.5</v>
      </c>
      <c r="G127">
        <v>128.30000000000001</v>
      </c>
      <c r="H127">
        <v>132.6</v>
      </c>
      <c r="I127">
        <v>115.5</v>
      </c>
      <c r="J127">
        <v>136.5</v>
      </c>
      <c r="K127">
        <v>159.69999999999999</v>
      </c>
      <c r="L127">
        <v>174.3</v>
      </c>
      <c r="M127">
        <v>109.9</v>
      </c>
      <c r="N127">
        <v>136.30000000000001</v>
      </c>
      <c r="O127">
        <v>124.4</v>
      </c>
      <c r="P127">
        <v>138.1</v>
      </c>
      <c r="Q127">
        <v>136.80000000000001</v>
      </c>
      <c r="R127">
        <v>138.69999999999999</v>
      </c>
      <c r="S127">
        <v>132.9</v>
      </c>
      <c r="T127">
        <v>127.2</v>
      </c>
      <c r="U127">
        <v>132</v>
      </c>
      <c r="V127">
        <v>125.5</v>
      </c>
      <c r="W127">
        <v>123.3</v>
      </c>
      <c r="X127">
        <v>126.4</v>
      </c>
      <c r="Y127">
        <v>124.1</v>
      </c>
      <c r="Z127">
        <v>114.2</v>
      </c>
      <c r="AA127">
        <v>121.7</v>
      </c>
      <c r="AB127">
        <v>129.69999999999999</v>
      </c>
      <c r="AC127">
        <v>119.4</v>
      </c>
      <c r="AD127">
        <v>121.5</v>
      </c>
      <c r="AE127">
        <v>130.1</v>
      </c>
    </row>
    <row r="128" spans="1:31" x14ac:dyDescent="0.3">
      <c r="A128" t="s">
        <v>30</v>
      </c>
      <c r="B128">
        <v>2016</v>
      </c>
      <c r="C128" t="s">
        <v>40</v>
      </c>
      <c r="D128" s="3">
        <v>42552</v>
      </c>
      <c r="E128">
        <v>129.30000000000001</v>
      </c>
      <c r="F128">
        <v>139.5</v>
      </c>
      <c r="G128">
        <v>129.6</v>
      </c>
      <c r="H128">
        <v>134.5</v>
      </c>
      <c r="I128">
        <v>119.5</v>
      </c>
      <c r="J128">
        <v>138.5</v>
      </c>
      <c r="K128">
        <v>158.19999999999999</v>
      </c>
      <c r="L128">
        <v>171.8</v>
      </c>
      <c r="M128">
        <v>110.3</v>
      </c>
      <c r="N128">
        <v>134.30000000000001</v>
      </c>
      <c r="O128">
        <v>127.3</v>
      </c>
      <c r="P128">
        <v>139.9</v>
      </c>
      <c r="Q128">
        <v>137.6</v>
      </c>
      <c r="R128">
        <v>138</v>
      </c>
      <c r="S128">
        <v>137.19999999999999</v>
      </c>
      <c r="T128">
        <v>132.19999999999999</v>
      </c>
      <c r="U128">
        <v>136.5</v>
      </c>
      <c r="W128">
        <v>128.19999999999999</v>
      </c>
      <c r="X128">
        <v>130</v>
      </c>
      <c r="Y128">
        <v>126.7</v>
      </c>
      <c r="Z128">
        <v>116.4</v>
      </c>
      <c r="AA128">
        <v>125.2</v>
      </c>
      <c r="AB128">
        <v>130.80000000000001</v>
      </c>
      <c r="AC128">
        <v>120.9</v>
      </c>
      <c r="AD128">
        <v>123.8</v>
      </c>
      <c r="AE128">
        <v>133</v>
      </c>
    </row>
    <row r="129" spans="1:31" x14ac:dyDescent="0.3">
      <c r="A129" t="s">
        <v>33</v>
      </c>
      <c r="B129">
        <v>2016</v>
      </c>
      <c r="C129" t="s">
        <v>40</v>
      </c>
      <c r="D129" s="3">
        <v>42552</v>
      </c>
      <c r="E129">
        <v>126.8</v>
      </c>
      <c r="F129">
        <v>144.19999999999999</v>
      </c>
      <c r="G129">
        <v>136.6</v>
      </c>
      <c r="H129">
        <v>131.80000000000001</v>
      </c>
      <c r="I129">
        <v>111</v>
      </c>
      <c r="J129">
        <v>137</v>
      </c>
      <c r="K129">
        <v>179.5</v>
      </c>
      <c r="L129">
        <v>188.4</v>
      </c>
      <c r="M129">
        <v>113.3</v>
      </c>
      <c r="N129">
        <v>143.9</v>
      </c>
      <c r="O129">
        <v>121.7</v>
      </c>
      <c r="P129">
        <v>137.5</v>
      </c>
      <c r="Q129">
        <v>139.80000000000001</v>
      </c>
      <c r="R129">
        <v>142.9</v>
      </c>
      <c r="S129">
        <v>127.9</v>
      </c>
      <c r="T129">
        <v>121.1</v>
      </c>
      <c r="U129">
        <v>126.9</v>
      </c>
      <c r="V129">
        <v>126.4</v>
      </c>
      <c r="W129">
        <v>115.5</v>
      </c>
      <c r="X129">
        <v>123.5</v>
      </c>
      <c r="Y129">
        <v>120.9</v>
      </c>
      <c r="Z129">
        <v>111.7</v>
      </c>
      <c r="AA129">
        <v>120.3</v>
      </c>
      <c r="AB129">
        <v>130.80000000000001</v>
      </c>
      <c r="AC129">
        <v>120</v>
      </c>
      <c r="AD129">
        <v>119.9</v>
      </c>
      <c r="AE129">
        <v>129</v>
      </c>
    </row>
    <row r="130" spans="1:31" x14ac:dyDescent="0.3">
      <c r="A130" t="s">
        <v>34</v>
      </c>
      <c r="B130">
        <v>2016</v>
      </c>
      <c r="C130" t="s">
        <v>40</v>
      </c>
      <c r="D130" s="3">
        <v>42552</v>
      </c>
      <c r="E130">
        <v>128.5</v>
      </c>
      <c r="F130">
        <v>141.19999999999999</v>
      </c>
      <c r="G130">
        <v>132.30000000000001</v>
      </c>
      <c r="H130">
        <v>133.5</v>
      </c>
      <c r="I130">
        <v>116.4</v>
      </c>
      <c r="J130">
        <v>137.80000000000001</v>
      </c>
      <c r="K130">
        <v>165.4</v>
      </c>
      <c r="L130">
        <v>177.4</v>
      </c>
      <c r="M130">
        <v>111.3</v>
      </c>
      <c r="N130">
        <v>137.5</v>
      </c>
      <c r="O130">
        <v>125</v>
      </c>
      <c r="P130">
        <v>138.80000000000001</v>
      </c>
      <c r="Q130">
        <v>138.4</v>
      </c>
      <c r="R130">
        <v>139.30000000000001</v>
      </c>
      <c r="S130">
        <v>133.5</v>
      </c>
      <c r="T130">
        <v>127.6</v>
      </c>
      <c r="U130">
        <v>132.69999999999999</v>
      </c>
      <c r="V130">
        <v>126.4</v>
      </c>
      <c r="W130">
        <v>123.4</v>
      </c>
      <c r="X130">
        <v>126.9</v>
      </c>
      <c r="Y130">
        <v>124.5</v>
      </c>
      <c r="Z130">
        <v>113.9</v>
      </c>
      <c r="AA130">
        <v>122.4</v>
      </c>
      <c r="AB130">
        <v>130.80000000000001</v>
      </c>
      <c r="AC130">
        <v>120.5</v>
      </c>
      <c r="AD130">
        <v>121.9</v>
      </c>
      <c r="AE130">
        <v>131.1</v>
      </c>
    </row>
    <row r="131" spans="1:31" x14ac:dyDescent="0.3">
      <c r="A131" t="s">
        <v>30</v>
      </c>
      <c r="B131">
        <v>2016</v>
      </c>
      <c r="C131" t="s">
        <v>41</v>
      </c>
      <c r="D131" s="3">
        <v>42583</v>
      </c>
      <c r="E131">
        <v>130.1</v>
      </c>
      <c r="F131">
        <v>138.80000000000001</v>
      </c>
      <c r="G131">
        <v>130.30000000000001</v>
      </c>
      <c r="H131">
        <v>135.30000000000001</v>
      </c>
      <c r="I131">
        <v>119.9</v>
      </c>
      <c r="J131">
        <v>140.19999999999999</v>
      </c>
      <c r="K131">
        <v>156.9</v>
      </c>
      <c r="L131">
        <v>172.2</v>
      </c>
      <c r="M131">
        <v>112.1</v>
      </c>
      <c r="N131">
        <v>134.9</v>
      </c>
      <c r="O131">
        <v>128.1</v>
      </c>
      <c r="P131">
        <v>140.69999999999999</v>
      </c>
      <c r="Q131">
        <v>138</v>
      </c>
      <c r="R131">
        <v>138.9</v>
      </c>
      <c r="S131">
        <v>137.80000000000001</v>
      </c>
      <c r="T131">
        <v>133</v>
      </c>
      <c r="U131">
        <v>137.1</v>
      </c>
      <c r="W131">
        <v>129.1</v>
      </c>
      <c r="X131">
        <v>130.6</v>
      </c>
      <c r="Y131">
        <v>127</v>
      </c>
      <c r="Z131">
        <v>116</v>
      </c>
      <c r="AA131">
        <v>125.5</v>
      </c>
      <c r="AB131">
        <v>131.9</v>
      </c>
      <c r="AC131">
        <v>122</v>
      </c>
      <c r="AD131">
        <v>124.2</v>
      </c>
      <c r="AE131">
        <v>133.5</v>
      </c>
    </row>
    <row r="132" spans="1:31" x14ac:dyDescent="0.3">
      <c r="A132" t="s">
        <v>33</v>
      </c>
      <c r="B132">
        <v>2016</v>
      </c>
      <c r="C132" t="s">
        <v>41</v>
      </c>
      <c r="D132" s="3">
        <v>42583</v>
      </c>
      <c r="E132">
        <v>127.6</v>
      </c>
      <c r="F132">
        <v>140.30000000000001</v>
      </c>
      <c r="G132">
        <v>133.69999999999999</v>
      </c>
      <c r="H132">
        <v>132.19999999999999</v>
      </c>
      <c r="I132">
        <v>111.8</v>
      </c>
      <c r="J132">
        <v>135.80000000000001</v>
      </c>
      <c r="K132">
        <v>163.5</v>
      </c>
      <c r="L132">
        <v>182.3</v>
      </c>
      <c r="M132">
        <v>114.6</v>
      </c>
      <c r="N132">
        <v>144.6</v>
      </c>
      <c r="O132">
        <v>121.9</v>
      </c>
      <c r="P132">
        <v>138.1</v>
      </c>
      <c r="Q132">
        <v>137.6</v>
      </c>
      <c r="R132">
        <v>143.6</v>
      </c>
      <c r="S132">
        <v>128.30000000000001</v>
      </c>
      <c r="T132">
        <v>121.4</v>
      </c>
      <c r="U132">
        <v>127.3</v>
      </c>
      <c r="V132">
        <v>127.3</v>
      </c>
      <c r="W132">
        <v>114.7</v>
      </c>
      <c r="X132">
        <v>123.9</v>
      </c>
      <c r="Y132">
        <v>121.2</v>
      </c>
      <c r="Z132">
        <v>110.4</v>
      </c>
      <c r="AA132">
        <v>120.6</v>
      </c>
      <c r="AB132">
        <v>131.5</v>
      </c>
      <c r="AC132">
        <v>120.9</v>
      </c>
      <c r="AD132">
        <v>119.9</v>
      </c>
      <c r="AE132">
        <v>128.4</v>
      </c>
    </row>
    <row r="133" spans="1:31" x14ac:dyDescent="0.3">
      <c r="A133" t="s">
        <v>34</v>
      </c>
      <c r="B133">
        <v>2016</v>
      </c>
      <c r="C133" t="s">
        <v>41</v>
      </c>
      <c r="D133" s="3">
        <v>42583</v>
      </c>
      <c r="E133">
        <v>129.30000000000001</v>
      </c>
      <c r="F133">
        <v>139.30000000000001</v>
      </c>
      <c r="G133">
        <v>131.6</v>
      </c>
      <c r="H133">
        <v>134.1</v>
      </c>
      <c r="I133">
        <v>116.9</v>
      </c>
      <c r="J133">
        <v>138.1</v>
      </c>
      <c r="K133">
        <v>159.1</v>
      </c>
      <c r="L133">
        <v>175.6</v>
      </c>
      <c r="M133">
        <v>112.9</v>
      </c>
      <c r="N133">
        <v>138.1</v>
      </c>
      <c r="O133">
        <v>125.5</v>
      </c>
      <c r="P133">
        <v>139.5</v>
      </c>
      <c r="Q133">
        <v>137.9</v>
      </c>
      <c r="R133">
        <v>140.19999999999999</v>
      </c>
      <c r="S133">
        <v>134.1</v>
      </c>
      <c r="T133">
        <v>128.19999999999999</v>
      </c>
      <c r="U133">
        <v>133.19999999999999</v>
      </c>
      <c r="V133">
        <v>127.3</v>
      </c>
      <c r="W133">
        <v>123.6</v>
      </c>
      <c r="X133">
        <v>127.4</v>
      </c>
      <c r="Y133">
        <v>124.8</v>
      </c>
      <c r="Z133">
        <v>113.1</v>
      </c>
      <c r="AA133">
        <v>122.7</v>
      </c>
      <c r="AB133">
        <v>131.69999999999999</v>
      </c>
      <c r="AC133">
        <v>121.5</v>
      </c>
      <c r="AD133">
        <v>122.1</v>
      </c>
      <c r="AE133">
        <v>131.1</v>
      </c>
    </row>
    <row r="134" spans="1:31" x14ac:dyDescent="0.3">
      <c r="A134" t="s">
        <v>30</v>
      </c>
      <c r="B134">
        <v>2016</v>
      </c>
      <c r="C134" t="s">
        <v>42</v>
      </c>
      <c r="D134" s="3">
        <v>42614</v>
      </c>
      <c r="E134">
        <v>130.80000000000001</v>
      </c>
      <c r="F134">
        <v>138.19999999999999</v>
      </c>
      <c r="G134">
        <v>130.5</v>
      </c>
      <c r="H134">
        <v>135.5</v>
      </c>
      <c r="I134">
        <v>120.2</v>
      </c>
      <c r="J134">
        <v>139.19999999999999</v>
      </c>
      <c r="K134">
        <v>149.5</v>
      </c>
      <c r="L134">
        <v>170.4</v>
      </c>
      <c r="M134">
        <v>113.1</v>
      </c>
      <c r="N134">
        <v>135.80000000000001</v>
      </c>
      <c r="O134">
        <v>128.80000000000001</v>
      </c>
      <c r="P134">
        <v>141.5</v>
      </c>
      <c r="Q134">
        <v>137.19999999999999</v>
      </c>
      <c r="R134">
        <v>139.9</v>
      </c>
      <c r="S134">
        <v>138.5</v>
      </c>
      <c r="T134">
        <v>133.5</v>
      </c>
      <c r="U134">
        <v>137.80000000000001</v>
      </c>
      <c r="W134">
        <v>129.69999999999999</v>
      </c>
      <c r="X134">
        <v>131.1</v>
      </c>
      <c r="Y134">
        <v>127.8</v>
      </c>
      <c r="Z134">
        <v>117</v>
      </c>
      <c r="AA134">
        <v>125.7</v>
      </c>
      <c r="AB134">
        <v>132.19999999999999</v>
      </c>
      <c r="AC134">
        <v>122.8</v>
      </c>
      <c r="AD134">
        <v>124.9</v>
      </c>
      <c r="AE134">
        <v>133.4</v>
      </c>
    </row>
    <row r="135" spans="1:31" x14ac:dyDescent="0.3">
      <c r="A135" t="s">
        <v>33</v>
      </c>
      <c r="B135">
        <v>2016</v>
      </c>
      <c r="C135" t="s">
        <v>42</v>
      </c>
      <c r="D135" s="3">
        <v>42614</v>
      </c>
      <c r="E135">
        <v>128.1</v>
      </c>
      <c r="F135">
        <v>137.69999999999999</v>
      </c>
      <c r="G135">
        <v>130.6</v>
      </c>
      <c r="H135">
        <v>132.6</v>
      </c>
      <c r="I135">
        <v>111.9</v>
      </c>
      <c r="J135">
        <v>132.5</v>
      </c>
      <c r="K135">
        <v>152.9</v>
      </c>
      <c r="L135">
        <v>173.6</v>
      </c>
      <c r="M135">
        <v>115.1</v>
      </c>
      <c r="N135">
        <v>144.80000000000001</v>
      </c>
      <c r="O135">
        <v>122.1</v>
      </c>
      <c r="P135">
        <v>138.80000000000001</v>
      </c>
      <c r="Q135">
        <v>135.69999999999999</v>
      </c>
      <c r="R135">
        <v>143.9</v>
      </c>
      <c r="S135">
        <v>128.69999999999999</v>
      </c>
      <c r="T135">
        <v>121.6</v>
      </c>
      <c r="U135">
        <v>127.7</v>
      </c>
      <c r="V135">
        <v>127.9</v>
      </c>
      <c r="W135">
        <v>114.8</v>
      </c>
      <c r="X135">
        <v>124.3</v>
      </c>
      <c r="Y135">
        <v>121.4</v>
      </c>
      <c r="Z135">
        <v>111.8</v>
      </c>
      <c r="AA135">
        <v>120.8</v>
      </c>
      <c r="AB135">
        <v>131.6</v>
      </c>
      <c r="AC135">
        <v>121.2</v>
      </c>
      <c r="AD135">
        <v>120.5</v>
      </c>
      <c r="AE135">
        <v>128</v>
      </c>
    </row>
    <row r="136" spans="1:31" x14ac:dyDescent="0.3">
      <c r="A136" t="s">
        <v>34</v>
      </c>
      <c r="B136">
        <v>2016</v>
      </c>
      <c r="C136" t="s">
        <v>42</v>
      </c>
      <c r="D136" s="3">
        <v>42614</v>
      </c>
      <c r="E136">
        <v>129.9</v>
      </c>
      <c r="F136">
        <v>138</v>
      </c>
      <c r="G136">
        <v>130.5</v>
      </c>
      <c r="H136">
        <v>134.4</v>
      </c>
      <c r="I136">
        <v>117.2</v>
      </c>
      <c r="J136">
        <v>136.1</v>
      </c>
      <c r="K136">
        <v>150.69999999999999</v>
      </c>
      <c r="L136">
        <v>171.5</v>
      </c>
      <c r="M136">
        <v>113.8</v>
      </c>
      <c r="N136">
        <v>138.80000000000001</v>
      </c>
      <c r="O136">
        <v>126</v>
      </c>
      <c r="P136">
        <v>140.19999999999999</v>
      </c>
      <c r="Q136">
        <v>136.6</v>
      </c>
      <c r="R136">
        <v>141</v>
      </c>
      <c r="S136">
        <v>134.6</v>
      </c>
      <c r="T136">
        <v>128.6</v>
      </c>
      <c r="U136">
        <v>133.80000000000001</v>
      </c>
      <c r="V136">
        <v>127.9</v>
      </c>
      <c r="W136">
        <v>124.1</v>
      </c>
      <c r="X136">
        <v>127.9</v>
      </c>
      <c r="Y136">
        <v>125.4</v>
      </c>
      <c r="Z136">
        <v>114.3</v>
      </c>
      <c r="AA136">
        <v>122.9</v>
      </c>
      <c r="AB136">
        <v>131.80000000000001</v>
      </c>
      <c r="AC136">
        <v>122.1</v>
      </c>
      <c r="AD136">
        <v>122.8</v>
      </c>
      <c r="AE136">
        <v>130.9</v>
      </c>
    </row>
    <row r="137" spans="1:31" x14ac:dyDescent="0.3">
      <c r="A137" t="s">
        <v>30</v>
      </c>
      <c r="B137">
        <v>2016</v>
      </c>
      <c r="C137" t="s">
        <v>43</v>
      </c>
      <c r="D137" s="3">
        <v>42644</v>
      </c>
      <c r="E137">
        <v>131.30000000000001</v>
      </c>
      <c r="F137">
        <v>137.6</v>
      </c>
      <c r="G137">
        <v>130.1</v>
      </c>
      <c r="H137">
        <v>136</v>
      </c>
      <c r="I137">
        <v>120.8</v>
      </c>
      <c r="J137">
        <v>138.4</v>
      </c>
      <c r="K137">
        <v>149.19999999999999</v>
      </c>
      <c r="L137">
        <v>170.2</v>
      </c>
      <c r="M137">
        <v>113.4</v>
      </c>
      <c r="N137">
        <v>136.30000000000001</v>
      </c>
      <c r="O137">
        <v>128.69999999999999</v>
      </c>
      <c r="P137">
        <v>142.4</v>
      </c>
      <c r="Q137">
        <v>137.4</v>
      </c>
      <c r="R137">
        <v>140.9</v>
      </c>
      <c r="S137">
        <v>139.6</v>
      </c>
      <c r="T137">
        <v>134.30000000000001</v>
      </c>
      <c r="U137">
        <v>138.80000000000001</v>
      </c>
      <c r="W137">
        <v>129.80000000000001</v>
      </c>
      <c r="X137">
        <v>131.80000000000001</v>
      </c>
      <c r="Y137">
        <v>128.69999999999999</v>
      </c>
      <c r="Z137">
        <v>117.8</v>
      </c>
      <c r="AA137">
        <v>126.5</v>
      </c>
      <c r="AB137">
        <v>133</v>
      </c>
      <c r="AC137">
        <v>123</v>
      </c>
      <c r="AD137">
        <v>125.7</v>
      </c>
      <c r="AE137">
        <v>133.80000000000001</v>
      </c>
    </row>
    <row r="138" spans="1:31" x14ac:dyDescent="0.3">
      <c r="A138" t="s">
        <v>33</v>
      </c>
      <c r="B138">
        <v>2016</v>
      </c>
      <c r="C138" t="s">
        <v>43</v>
      </c>
      <c r="D138" s="3">
        <v>42644</v>
      </c>
      <c r="E138">
        <v>128.69999999999999</v>
      </c>
      <c r="F138">
        <v>138.4</v>
      </c>
      <c r="G138">
        <v>130.30000000000001</v>
      </c>
      <c r="H138">
        <v>132.69999999999999</v>
      </c>
      <c r="I138">
        <v>112.5</v>
      </c>
      <c r="J138">
        <v>130.4</v>
      </c>
      <c r="K138">
        <v>155.1</v>
      </c>
      <c r="L138">
        <v>175.7</v>
      </c>
      <c r="M138">
        <v>115.4</v>
      </c>
      <c r="N138">
        <v>145.30000000000001</v>
      </c>
      <c r="O138">
        <v>122.5</v>
      </c>
      <c r="P138">
        <v>139.6</v>
      </c>
      <c r="Q138">
        <v>136.30000000000001</v>
      </c>
      <c r="R138">
        <v>144.30000000000001</v>
      </c>
      <c r="S138">
        <v>129.1</v>
      </c>
      <c r="T138">
        <v>121.9</v>
      </c>
      <c r="U138">
        <v>128</v>
      </c>
      <c r="V138">
        <v>128.69999999999999</v>
      </c>
      <c r="W138">
        <v>115.2</v>
      </c>
      <c r="X138">
        <v>124.5</v>
      </c>
      <c r="Y138">
        <v>121.8</v>
      </c>
      <c r="Z138">
        <v>112.8</v>
      </c>
      <c r="AA138">
        <v>121.2</v>
      </c>
      <c r="AB138">
        <v>131.9</v>
      </c>
      <c r="AC138">
        <v>120.8</v>
      </c>
      <c r="AD138">
        <v>120.9</v>
      </c>
      <c r="AE138">
        <v>128.6</v>
      </c>
    </row>
    <row r="139" spans="1:31" x14ac:dyDescent="0.3">
      <c r="A139" t="s">
        <v>34</v>
      </c>
      <c r="B139">
        <v>2016</v>
      </c>
      <c r="C139" t="s">
        <v>43</v>
      </c>
      <c r="D139" s="3">
        <v>42644</v>
      </c>
      <c r="E139">
        <v>130.5</v>
      </c>
      <c r="F139">
        <v>137.9</v>
      </c>
      <c r="G139">
        <v>130.19999999999999</v>
      </c>
      <c r="H139">
        <v>134.80000000000001</v>
      </c>
      <c r="I139">
        <v>117.8</v>
      </c>
      <c r="J139">
        <v>134.69999999999999</v>
      </c>
      <c r="K139">
        <v>151.19999999999999</v>
      </c>
      <c r="L139">
        <v>172.1</v>
      </c>
      <c r="M139">
        <v>114.1</v>
      </c>
      <c r="N139">
        <v>139.30000000000001</v>
      </c>
      <c r="O139">
        <v>126.1</v>
      </c>
      <c r="P139">
        <v>141.1</v>
      </c>
      <c r="Q139">
        <v>137</v>
      </c>
      <c r="R139">
        <v>141.80000000000001</v>
      </c>
      <c r="S139">
        <v>135.5</v>
      </c>
      <c r="T139">
        <v>129.1</v>
      </c>
      <c r="U139">
        <v>134.5</v>
      </c>
      <c r="V139">
        <v>128.69999999999999</v>
      </c>
      <c r="W139">
        <v>124.3</v>
      </c>
      <c r="X139">
        <v>128.4</v>
      </c>
      <c r="Y139">
        <v>126.1</v>
      </c>
      <c r="Z139">
        <v>115.2</v>
      </c>
      <c r="AA139">
        <v>123.5</v>
      </c>
      <c r="AB139">
        <v>132.4</v>
      </c>
      <c r="AC139">
        <v>122.1</v>
      </c>
      <c r="AD139">
        <v>123.4</v>
      </c>
      <c r="AE139">
        <v>131.4</v>
      </c>
    </row>
    <row r="140" spans="1:31" x14ac:dyDescent="0.3">
      <c r="A140" t="s">
        <v>30</v>
      </c>
      <c r="B140">
        <v>2016</v>
      </c>
      <c r="C140" t="s">
        <v>45</v>
      </c>
      <c r="D140" s="3">
        <v>42675</v>
      </c>
      <c r="E140">
        <v>132</v>
      </c>
      <c r="F140">
        <v>137.4</v>
      </c>
      <c r="G140">
        <v>130.6</v>
      </c>
      <c r="H140">
        <v>136.19999999999999</v>
      </c>
      <c r="I140">
        <v>121.1</v>
      </c>
      <c r="J140">
        <v>136.9</v>
      </c>
      <c r="K140">
        <v>141.80000000000001</v>
      </c>
      <c r="L140">
        <v>170</v>
      </c>
      <c r="M140">
        <v>113.4</v>
      </c>
      <c r="N140">
        <v>136.80000000000001</v>
      </c>
      <c r="O140">
        <v>128.69999999999999</v>
      </c>
      <c r="P140">
        <v>143.1</v>
      </c>
      <c r="Q140">
        <v>136.6</v>
      </c>
      <c r="R140">
        <v>141.19999999999999</v>
      </c>
      <c r="S140">
        <v>139.9</v>
      </c>
      <c r="T140">
        <v>134.5</v>
      </c>
      <c r="U140">
        <v>139.19999999999999</v>
      </c>
      <c r="W140">
        <v>130.30000000000001</v>
      </c>
      <c r="X140">
        <v>132.1</v>
      </c>
      <c r="Y140">
        <v>129.1</v>
      </c>
      <c r="Z140">
        <v>118.2</v>
      </c>
      <c r="AA140">
        <v>126.9</v>
      </c>
      <c r="AB140">
        <v>133.69999999999999</v>
      </c>
      <c r="AC140">
        <v>123.5</v>
      </c>
      <c r="AD140">
        <v>126.1</v>
      </c>
      <c r="AE140">
        <v>133.6</v>
      </c>
    </row>
    <row r="141" spans="1:31" x14ac:dyDescent="0.3">
      <c r="A141" t="s">
        <v>33</v>
      </c>
      <c r="B141">
        <v>2016</v>
      </c>
      <c r="C141" t="s">
        <v>45</v>
      </c>
      <c r="D141" s="3">
        <v>42675</v>
      </c>
      <c r="E141">
        <v>130.19999999999999</v>
      </c>
      <c r="F141">
        <v>138.5</v>
      </c>
      <c r="G141">
        <v>134.1</v>
      </c>
      <c r="H141">
        <v>132.9</v>
      </c>
      <c r="I141">
        <v>112.6</v>
      </c>
      <c r="J141">
        <v>130.80000000000001</v>
      </c>
      <c r="K141">
        <v>142</v>
      </c>
      <c r="L141">
        <v>174.9</v>
      </c>
      <c r="M141">
        <v>115.6</v>
      </c>
      <c r="N141">
        <v>145.4</v>
      </c>
      <c r="O141">
        <v>122.7</v>
      </c>
      <c r="P141">
        <v>140.30000000000001</v>
      </c>
      <c r="Q141">
        <v>135.19999999999999</v>
      </c>
      <c r="R141">
        <v>144.30000000000001</v>
      </c>
      <c r="S141">
        <v>129.6</v>
      </c>
      <c r="T141">
        <v>122.1</v>
      </c>
      <c r="U141">
        <v>128.5</v>
      </c>
      <c r="V141">
        <v>129.1</v>
      </c>
      <c r="W141">
        <v>116.2</v>
      </c>
      <c r="X141">
        <v>124.7</v>
      </c>
      <c r="Y141">
        <v>122.1</v>
      </c>
      <c r="Z141">
        <v>113.4</v>
      </c>
      <c r="AA141">
        <v>121.7</v>
      </c>
      <c r="AB141">
        <v>132.1</v>
      </c>
      <c r="AC141">
        <v>121.3</v>
      </c>
      <c r="AD141">
        <v>121.3</v>
      </c>
      <c r="AE141">
        <v>128.5</v>
      </c>
    </row>
    <row r="142" spans="1:31" x14ac:dyDescent="0.3">
      <c r="A142" t="s">
        <v>34</v>
      </c>
      <c r="B142">
        <v>2016</v>
      </c>
      <c r="C142" t="s">
        <v>45</v>
      </c>
      <c r="D142" s="3">
        <v>42675</v>
      </c>
      <c r="E142">
        <v>131.4</v>
      </c>
      <c r="F142">
        <v>137.80000000000001</v>
      </c>
      <c r="G142">
        <v>132</v>
      </c>
      <c r="H142">
        <v>135</v>
      </c>
      <c r="I142">
        <v>118</v>
      </c>
      <c r="J142">
        <v>134.1</v>
      </c>
      <c r="K142">
        <v>141.9</v>
      </c>
      <c r="L142">
        <v>171.7</v>
      </c>
      <c r="M142">
        <v>114.1</v>
      </c>
      <c r="N142">
        <v>139.69999999999999</v>
      </c>
      <c r="O142">
        <v>126.2</v>
      </c>
      <c r="P142">
        <v>141.80000000000001</v>
      </c>
      <c r="Q142">
        <v>136.1</v>
      </c>
      <c r="R142">
        <v>142</v>
      </c>
      <c r="S142">
        <v>135.80000000000001</v>
      </c>
      <c r="T142">
        <v>129.30000000000001</v>
      </c>
      <c r="U142">
        <v>135</v>
      </c>
      <c r="V142">
        <v>129.1</v>
      </c>
      <c r="W142">
        <v>125</v>
      </c>
      <c r="X142">
        <v>128.6</v>
      </c>
      <c r="Y142">
        <v>126.4</v>
      </c>
      <c r="Z142">
        <v>115.7</v>
      </c>
      <c r="AA142">
        <v>124</v>
      </c>
      <c r="AB142">
        <v>132.80000000000001</v>
      </c>
      <c r="AC142">
        <v>122.6</v>
      </c>
      <c r="AD142">
        <v>123.8</v>
      </c>
      <c r="AE142">
        <v>131.19999999999999</v>
      </c>
    </row>
    <row r="143" spans="1:31" x14ac:dyDescent="0.3">
      <c r="A143" t="s">
        <v>30</v>
      </c>
      <c r="B143">
        <v>2016</v>
      </c>
      <c r="C143" t="s">
        <v>46</v>
      </c>
      <c r="D143" s="3">
        <v>42705</v>
      </c>
      <c r="E143">
        <v>132.6</v>
      </c>
      <c r="F143">
        <v>137.30000000000001</v>
      </c>
      <c r="G143">
        <v>131.6</v>
      </c>
      <c r="H143">
        <v>136.30000000000001</v>
      </c>
      <c r="I143">
        <v>121.6</v>
      </c>
      <c r="J143">
        <v>135.6</v>
      </c>
      <c r="K143">
        <v>127.5</v>
      </c>
      <c r="L143">
        <v>167.9</v>
      </c>
      <c r="M143">
        <v>113.8</v>
      </c>
      <c r="N143">
        <v>137.5</v>
      </c>
      <c r="O143">
        <v>129.1</v>
      </c>
      <c r="P143">
        <v>143.6</v>
      </c>
      <c r="Q143">
        <v>134.69999999999999</v>
      </c>
      <c r="R143">
        <v>142.4</v>
      </c>
      <c r="S143">
        <v>140.4</v>
      </c>
      <c r="T143">
        <v>135.19999999999999</v>
      </c>
      <c r="U143">
        <v>139.69999999999999</v>
      </c>
      <c r="W143">
        <v>132</v>
      </c>
      <c r="X143">
        <v>132.9</v>
      </c>
      <c r="Y143">
        <v>129.69999999999999</v>
      </c>
      <c r="Z143">
        <v>118.6</v>
      </c>
      <c r="AA143">
        <v>127.3</v>
      </c>
      <c r="AB143">
        <v>134.19999999999999</v>
      </c>
      <c r="AC143">
        <v>121.9</v>
      </c>
      <c r="AD143">
        <v>126.3</v>
      </c>
      <c r="AE143">
        <v>132.80000000000001</v>
      </c>
    </row>
    <row r="144" spans="1:31" x14ac:dyDescent="0.3">
      <c r="A144" t="s">
        <v>33</v>
      </c>
      <c r="B144">
        <v>2016</v>
      </c>
      <c r="C144" t="s">
        <v>46</v>
      </c>
      <c r="D144" s="3">
        <v>42705</v>
      </c>
      <c r="E144">
        <v>131.6</v>
      </c>
      <c r="F144">
        <v>138.19999999999999</v>
      </c>
      <c r="G144">
        <v>134.9</v>
      </c>
      <c r="H144">
        <v>133.1</v>
      </c>
      <c r="I144">
        <v>113.5</v>
      </c>
      <c r="J144">
        <v>129.30000000000001</v>
      </c>
      <c r="K144">
        <v>121.1</v>
      </c>
      <c r="L144">
        <v>170.3</v>
      </c>
      <c r="M144">
        <v>115.5</v>
      </c>
      <c r="N144">
        <v>145.5</v>
      </c>
      <c r="O144">
        <v>123.1</v>
      </c>
      <c r="P144">
        <v>140.9</v>
      </c>
      <c r="Q144">
        <v>132.80000000000001</v>
      </c>
      <c r="R144">
        <v>145</v>
      </c>
      <c r="S144">
        <v>130</v>
      </c>
      <c r="T144">
        <v>122.2</v>
      </c>
      <c r="U144">
        <v>128.80000000000001</v>
      </c>
      <c r="V144">
        <v>128.5</v>
      </c>
      <c r="W144">
        <v>117.8</v>
      </c>
      <c r="X144">
        <v>125</v>
      </c>
      <c r="Y144">
        <v>122.3</v>
      </c>
      <c r="Z144">
        <v>113.7</v>
      </c>
      <c r="AA144">
        <v>121.8</v>
      </c>
      <c r="AB144">
        <v>132.30000000000001</v>
      </c>
      <c r="AC144">
        <v>119.9</v>
      </c>
      <c r="AD144">
        <v>121.4</v>
      </c>
      <c r="AE144">
        <v>127.6</v>
      </c>
    </row>
    <row r="145" spans="1:31" x14ac:dyDescent="0.3">
      <c r="A145" t="s">
        <v>34</v>
      </c>
      <c r="B145">
        <v>2016</v>
      </c>
      <c r="C145" t="s">
        <v>46</v>
      </c>
      <c r="D145" s="3">
        <v>42705</v>
      </c>
      <c r="E145">
        <v>132.30000000000001</v>
      </c>
      <c r="F145">
        <v>137.6</v>
      </c>
      <c r="G145">
        <v>132.9</v>
      </c>
      <c r="H145">
        <v>135.1</v>
      </c>
      <c r="I145">
        <v>118.6</v>
      </c>
      <c r="J145">
        <v>132.69999999999999</v>
      </c>
      <c r="K145">
        <v>125.3</v>
      </c>
      <c r="L145">
        <v>168.7</v>
      </c>
      <c r="M145">
        <v>114.4</v>
      </c>
      <c r="N145">
        <v>140.19999999999999</v>
      </c>
      <c r="O145">
        <v>126.6</v>
      </c>
      <c r="P145">
        <v>142.30000000000001</v>
      </c>
      <c r="Q145">
        <v>134</v>
      </c>
      <c r="R145">
        <v>143.1</v>
      </c>
      <c r="S145">
        <v>136.30000000000001</v>
      </c>
      <c r="T145">
        <v>129.80000000000001</v>
      </c>
      <c r="U145">
        <v>135.4</v>
      </c>
      <c r="V145">
        <v>128.5</v>
      </c>
      <c r="W145">
        <v>126.6</v>
      </c>
      <c r="X145">
        <v>129.19999999999999</v>
      </c>
      <c r="Y145">
        <v>126.9</v>
      </c>
      <c r="Z145">
        <v>116</v>
      </c>
      <c r="AA145">
        <v>124.2</v>
      </c>
      <c r="AB145">
        <v>133.1</v>
      </c>
      <c r="AC145">
        <v>121.1</v>
      </c>
      <c r="AD145">
        <v>123.9</v>
      </c>
      <c r="AE145">
        <v>130.4</v>
      </c>
    </row>
    <row r="146" spans="1:31" x14ac:dyDescent="0.3">
      <c r="A146" t="s">
        <v>30</v>
      </c>
      <c r="B146">
        <v>2017</v>
      </c>
      <c r="C146" t="s">
        <v>31</v>
      </c>
      <c r="D146" s="3">
        <v>42736</v>
      </c>
      <c r="E146">
        <v>133.1</v>
      </c>
      <c r="F146">
        <v>137.80000000000001</v>
      </c>
      <c r="G146">
        <v>131.9</v>
      </c>
      <c r="H146">
        <v>136.69999999999999</v>
      </c>
      <c r="I146">
        <v>122</v>
      </c>
      <c r="J146">
        <v>136</v>
      </c>
      <c r="K146">
        <v>119.8</v>
      </c>
      <c r="L146">
        <v>161.69999999999999</v>
      </c>
      <c r="M146">
        <v>114.8</v>
      </c>
      <c r="N146">
        <v>136.9</v>
      </c>
      <c r="O146">
        <v>129</v>
      </c>
      <c r="P146">
        <v>143.9</v>
      </c>
      <c r="Q146">
        <v>133.69999999999999</v>
      </c>
      <c r="R146">
        <v>143.1</v>
      </c>
      <c r="S146">
        <v>140.69999999999999</v>
      </c>
      <c r="T146">
        <v>135.80000000000001</v>
      </c>
      <c r="U146">
        <v>140</v>
      </c>
      <c r="W146">
        <v>132.1</v>
      </c>
      <c r="X146">
        <v>133.19999999999999</v>
      </c>
      <c r="Y146">
        <v>129.9</v>
      </c>
      <c r="Z146">
        <v>119.1</v>
      </c>
      <c r="AA146">
        <v>127</v>
      </c>
      <c r="AB146">
        <v>134.6</v>
      </c>
      <c r="AC146">
        <v>122.3</v>
      </c>
      <c r="AD146">
        <v>126.6</v>
      </c>
      <c r="AE146">
        <v>132.4</v>
      </c>
    </row>
    <row r="147" spans="1:31" x14ac:dyDescent="0.3">
      <c r="A147" t="s">
        <v>33</v>
      </c>
      <c r="B147">
        <v>2017</v>
      </c>
      <c r="C147" t="s">
        <v>31</v>
      </c>
      <c r="D147" s="3">
        <v>42736</v>
      </c>
      <c r="E147">
        <v>132.19999999999999</v>
      </c>
      <c r="F147">
        <v>138.9</v>
      </c>
      <c r="G147">
        <v>132.6</v>
      </c>
      <c r="H147">
        <v>133.1</v>
      </c>
      <c r="I147">
        <v>114</v>
      </c>
      <c r="J147">
        <v>129.6</v>
      </c>
      <c r="K147">
        <v>118.7</v>
      </c>
      <c r="L147">
        <v>155.1</v>
      </c>
      <c r="M147">
        <v>117.3</v>
      </c>
      <c r="N147">
        <v>144.9</v>
      </c>
      <c r="O147">
        <v>123.2</v>
      </c>
      <c r="P147">
        <v>141.6</v>
      </c>
      <c r="Q147">
        <v>132</v>
      </c>
      <c r="R147">
        <v>145.6</v>
      </c>
      <c r="S147">
        <v>130.19999999999999</v>
      </c>
      <c r="T147">
        <v>122.3</v>
      </c>
      <c r="U147">
        <v>129</v>
      </c>
      <c r="V147">
        <v>129.6</v>
      </c>
      <c r="W147">
        <v>118</v>
      </c>
      <c r="X147">
        <v>125.1</v>
      </c>
      <c r="Y147">
        <v>122.6</v>
      </c>
      <c r="Z147">
        <v>115.2</v>
      </c>
      <c r="AA147">
        <v>122</v>
      </c>
      <c r="AB147">
        <v>132.4</v>
      </c>
      <c r="AC147">
        <v>120.9</v>
      </c>
      <c r="AD147">
        <v>122.1</v>
      </c>
      <c r="AE147">
        <v>127.8</v>
      </c>
    </row>
    <row r="148" spans="1:31" x14ac:dyDescent="0.3">
      <c r="A148" t="s">
        <v>34</v>
      </c>
      <c r="B148">
        <v>2017</v>
      </c>
      <c r="C148" t="s">
        <v>31</v>
      </c>
      <c r="D148" s="3">
        <v>42736</v>
      </c>
      <c r="E148">
        <v>132.80000000000001</v>
      </c>
      <c r="F148">
        <v>138.19999999999999</v>
      </c>
      <c r="G148">
        <v>132.19999999999999</v>
      </c>
      <c r="H148">
        <v>135.4</v>
      </c>
      <c r="I148">
        <v>119.1</v>
      </c>
      <c r="J148">
        <v>133</v>
      </c>
      <c r="K148">
        <v>119.4</v>
      </c>
      <c r="L148">
        <v>159.5</v>
      </c>
      <c r="M148">
        <v>115.6</v>
      </c>
      <c r="N148">
        <v>139.6</v>
      </c>
      <c r="O148">
        <v>126.6</v>
      </c>
      <c r="P148">
        <v>142.80000000000001</v>
      </c>
      <c r="Q148">
        <v>133.1</v>
      </c>
      <c r="R148">
        <v>143.80000000000001</v>
      </c>
      <c r="S148">
        <v>136.6</v>
      </c>
      <c r="T148">
        <v>130.19999999999999</v>
      </c>
      <c r="U148">
        <v>135.6</v>
      </c>
      <c r="V148">
        <v>129.6</v>
      </c>
      <c r="W148">
        <v>126.8</v>
      </c>
      <c r="X148">
        <v>129.4</v>
      </c>
      <c r="Y148">
        <v>127.1</v>
      </c>
      <c r="Z148">
        <v>117</v>
      </c>
      <c r="AA148">
        <v>124.2</v>
      </c>
      <c r="AB148">
        <v>133.30000000000001</v>
      </c>
      <c r="AC148">
        <v>121.7</v>
      </c>
      <c r="AD148">
        <v>124.4</v>
      </c>
      <c r="AE148">
        <v>130.30000000000001</v>
      </c>
    </row>
    <row r="149" spans="1:31" x14ac:dyDescent="0.3">
      <c r="A149" t="s">
        <v>30</v>
      </c>
      <c r="B149">
        <v>2017</v>
      </c>
      <c r="C149" t="s">
        <v>35</v>
      </c>
      <c r="D149" s="3">
        <v>42767</v>
      </c>
      <c r="E149">
        <v>133.30000000000001</v>
      </c>
      <c r="F149">
        <v>138.30000000000001</v>
      </c>
      <c r="G149">
        <v>129.30000000000001</v>
      </c>
      <c r="H149">
        <v>137.19999999999999</v>
      </c>
      <c r="I149">
        <v>122.1</v>
      </c>
      <c r="J149">
        <v>138.69999999999999</v>
      </c>
      <c r="K149">
        <v>119.1</v>
      </c>
      <c r="L149">
        <v>156.9</v>
      </c>
      <c r="M149">
        <v>116.2</v>
      </c>
      <c r="N149">
        <v>136</v>
      </c>
      <c r="O149">
        <v>129.4</v>
      </c>
      <c r="P149">
        <v>144.4</v>
      </c>
      <c r="Q149">
        <v>133.6</v>
      </c>
      <c r="R149">
        <v>143.69999999999999</v>
      </c>
      <c r="S149">
        <v>140.9</v>
      </c>
      <c r="T149">
        <v>135.80000000000001</v>
      </c>
      <c r="U149">
        <v>140.19999999999999</v>
      </c>
      <c r="W149">
        <v>133.19999999999999</v>
      </c>
      <c r="X149">
        <v>133.6</v>
      </c>
      <c r="Y149">
        <v>130.1</v>
      </c>
      <c r="Z149">
        <v>119.5</v>
      </c>
      <c r="AA149">
        <v>127.7</v>
      </c>
      <c r="AB149">
        <v>134.9</v>
      </c>
      <c r="AC149">
        <v>123.2</v>
      </c>
      <c r="AD149">
        <v>127</v>
      </c>
      <c r="AE149">
        <v>132.6</v>
      </c>
    </row>
    <row r="150" spans="1:31" x14ac:dyDescent="0.3">
      <c r="A150" t="s">
        <v>33</v>
      </c>
      <c r="B150">
        <v>2017</v>
      </c>
      <c r="C150" t="s">
        <v>35</v>
      </c>
      <c r="D150" s="3">
        <v>42767</v>
      </c>
      <c r="E150">
        <v>132.80000000000001</v>
      </c>
      <c r="F150">
        <v>139.80000000000001</v>
      </c>
      <c r="G150">
        <v>129.30000000000001</v>
      </c>
      <c r="H150">
        <v>133.5</v>
      </c>
      <c r="I150">
        <v>114.3</v>
      </c>
      <c r="J150">
        <v>131.4</v>
      </c>
      <c r="K150">
        <v>120.2</v>
      </c>
      <c r="L150">
        <v>143.1</v>
      </c>
      <c r="M150">
        <v>119.5</v>
      </c>
      <c r="N150">
        <v>144</v>
      </c>
      <c r="O150">
        <v>123.4</v>
      </c>
      <c r="P150">
        <v>141.9</v>
      </c>
      <c r="Q150">
        <v>132.1</v>
      </c>
      <c r="R150">
        <v>146.30000000000001</v>
      </c>
      <c r="S150">
        <v>130.5</v>
      </c>
      <c r="T150">
        <v>122.5</v>
      </c>
      <c r="U150">
        <v>129.30000000000001</v>
      </c>
      <c r="V150">
        <v>130.5</v>
      </c>
      <c r="W150">
        <v>119.2</v>
      </c>
      <c r="X150">
        <v>125.3</v>
      </c>
      <c r="Y150">
        <v>122.9</v>
      </c>
      <c r="Z150">
        <v>115.5</v>
      </c>
      <c r="AA150">
        <v>122.2</v>
      </c>
      <c r="AB150">
        <v>132.4</v>
      </c>
      <c r="AC150">
        <v>121.7</v>
      </c>
      <c r="AD150">
        <v>122.4</v>
      </c>
      <c r="AE150">
        <v>128.19999999999999</v>
      </c>
    </row>
    <row r="151" spans="1:31" x14ac:dyDescent="0.3">
      <c r="A151" t="s">
        <v>34</v>
      </c>
      <c r="B151">
        <v>2017</v>
      </c>
      <c r="C151" t="s">
        <v>35</v>
      </c>
      <c r="D151" s="3">
        <v>42767</v>
      </c>
      <c r="E151">
        <v>133.1</v>
      </c>
      <c r="F151">
        <v>138.80000000000001</v>
      </c>
      <c r="G151">
        <v>129.30000000000001</v>
      </c>
      <c r="H151">
        <v>135.80000000000001</v>
      </c>
      <c r="I151">
        <v>119.2</v>
      </c>
      <c r="J151">
        <v>135.30000000000001</v>
      </c>
      <c r="K151">
        <v>119.5</v>
      </c>
      <c r="L151">
        <v>152.19999999999999</v>
      </c>
      <c r="M151">
        <v>117.3</v>
      </c>
      <c r="N151">
        <v>138.69999999999999</v>
      </c>
      <c r="O151">
        <v>126.9</v>
      </c>
      <c r="P151">
        <v>143.19999999999999</v>
      </c>
      <c r="Q151">
        <v>133</v>
      </c>
      <c r="R151">
        <v>144.4</v>
      </c>
      <c r="S151">
        <v>136.80000000000001</v>
      </c>
      <c r="T151">
        <v>130.30000000000001</v>
      </c>
      <c r="U151">
        <v>135.9</v>
      </c>
      <c r="V151">
        <v>130.5</v>
      </c>
      <c r="W151">
        <v>127.9</v>
      </c>
      <c r="X151">
        <v>129.69999999999999</v>
      </c>
      <c r="Y151">
        <v>127.4</v>
      </c>
      <c r="Z151">
        <v>117.4</v>
      </c>
      <c r="AA151">
        <v>124.6</v>
      </c>
      <c r="AB151">
        <v>133.4</v>
      </c>
      <c r="AC151">
        <v>122.6</v>
      </c>
      <c r="AD151">
        <v>124.8</v>
      </c>
      <c r="AE151">
        <v>130.6</v>
      </c>
    </row>
    <row r="152" spans="1:31" x14ac:dyDescent="0.3">
      <c r="A152" t="s">
        <v>30</v>
      </c>
      <c r="B152">
        <v>2017</v>
      </c>
      <c r="C152" t="s">
        <v>36</v>
      </c>
      <c r="D152" s="3">
        <v>42795</v>
      </c>
      <c r="E152">
        <v>133.6</v>
      </c>
      <c r="F152">
        <v>138.80000000000001</v>
      </c>
      <c r="G152">
        <v>128.80000000000001</v>
      </c>
      <c r="H152">
        <v>137.19999999999999</v>
      </c>
      <c r="I152">
        <v>121.6</v>
      </c>
      <c r="J152">
        <v>139.69999999999999</v>
      </c>
      <c r="K152">
        <v>119.7</v>
      </c>
      <c r="L152">
        <v>148</v>
      </c>
      <c r="M152">
        <v>116.9</v>
      </c>
      <c r="N152">
        <v>135.6</v>
      </c>
      <c r="O152">
        <v>129.80000000000001</v>
      </c>
      <c r="P152">
        <v>145.4</v>
      </c>
      <c r="Q152">
        <v>133.4</v>
      </c>
      <c r="R152">
        <v>144.19999999999999</v>
      </c>
      <c r="S152">
        <v>141.6</v>
      </c>
      <c r="T152">
        <v>136.19999999999999</v>
      </c>
      <c r="U152">
        <v>140.80000000000001</v>
      </c>
      <c r="W152">
        <v>134.19999999999999</v>
      </c>
      <c r="X152">
        <v>134.1</v>
      </c>
      <c r="Y152">
        <v>130.6</v>
      </c>
      <c r="Z152">
        <v>119.8</v>
      </c>
      <c r="AA152">
        <v>128.30000000000001</v>
      </c>
      <c r="AB152">
        <v>135.19999999999999</v>
      </c>
      <c r="AC152">
        <v>123.3</v>
      </c>
      <c r="AD152">
        <v>127.4</v>
      </c>
      <c r="AE152">
        <v>132.80000000000001</v>
      </c>
    </row>
    <row r="153" spans="1:31" x14ac:dyDescent="0.3">
      <c r="A153" t="s">
        <v>33</v>
      </c>
      <c r="B153">
        <v>2017</v>
      </c>
      <c r="C153" t="s">
        <v>36</v>
      </c>
      <c r="D153" s="3">
        <v>42795</v>
      </c>
      <c r="E153">
        <v>132.69999999999999</v>
      </c>
      <c r="F153">
        <v>139.4</v>
      </c>
      <c r="G153">
        <v>128.4</v>
      </c>
      <c r="H153">
        <v>134.9</v>
      </c>
      <c r="I153">
        <v>114</v>
      </c>
      <c r="J153">
        <v>136.80000000000001</v>
      </c>
      <c r="K153">
        <v>122.2</v>
      </c>
      <c r="L153">
        <v>135.80000000000001</v>
      </c>
      <c r="M153">
        <v>120.3</v>
      </c>
      <c r="N153">
        <v>142.6</v>
      </c>
      <c r="O153">
        <v>123.6</v>
      </c>
      <c r="P153">
        <v>142.4</v>
      </c>
      <c r="Q153">
        <v>132.6</v>
      </c>
      <c r="R153">
        <v>147.5</v>
      </c>
      <c r="S153">
        <v>130.80000000000001</v>
      </c>
      <c r="T153">
        <v>122.8</v>
      </c>
      <c r="U153">
        <v>129.6</v>
      </c>
      <c r="V153">
        <v>131.1</v>
      </c>
      <c r="W153">
        <v>120.8</v>
      </c>
      <c r="X153">
        <v>125.6</v>
      </c>
      <c r="Y153">
        <v>123.1</v>
      </c>
      <c r="Z153">
        <v>115.6</v>
      </c>
      <c r="AA153">
        <v>122.4</v>
      </c>
      <c r="AB153">
        <v>132.80000000000001</v>
      </c>
      <c r="AC153">
        <v>121.7</v>
      </c>
      <c r="AD153">
        <v>122.6</v>
      </c>
      <c r="AE153">
        <v>128.69999999999999</v>
      </c>
    </row>
    <row r="154" spans="1:31" x14ac:dyDescent="0.3">
      <c r="A154" t="s">
        <v>34</v>
      </c>
      <c r="B154">
        <v>2017</v>
      </c>
      <c r="C154" t="s">
        <v>36</v>
      </c>
      <c r="D154" s="3">
        <v>42795</v>
      </c>
      <c r="E154">
        <v>133.30000000000001</v>
      </c>
      <c r="F154">
        <v>139</v>
      </c>
      <c r="G154">
        <v>128.6</v>
      </c>
      <c r="H154">
        <v>136.30000000000001</v>
      </c>
      <c r="I154">
        <v>118.8</v>
      </c>
      <c r="J154">
        <v>138.30000000000001</v>
      </c>
      <c r="K154">
        <v>120.5</v>
      </c>
      <c r="L154">
        <v>143.9</v>
      </c>
      <c r="M154">
        <v>118</v>
      </c>
      <c r="N154">
        <v>137.9</v>
      </c>
      <c r="O154">
        <v>127.2</v>
      </c>
      <c r="P154">
        <v>144</v>
      </c>
      <c r="Q154">
        <v>133.1</v>
      </c>
      <c r="R154">
        <v>145.1</v>
      </c>
      <c r="S154">
        <v>137.30000000000001</v>
      </c>
      <c r="T154">
        <v>130.6</v>
      </c>
      <c r="U154">
        <v>136.4</v>
      </c>
      <c r="V154">
        <v>131.1</v>
      </c>
      <c r="W154">
        <v>129.1</v>
      </c>
      <c r="X154">
        <v>130.1</v>
      </c>
      <c r="Y154">
        <v>127.8</v>
      </c>
      <c r="Z154">
        <v>117.6</v>
      </c>
      <c r="AA154">
        <v>125</v>
      </c>
      <c r="AB154">
        <v>133.80000000000001</v>
      </c>
      <c r="AC154">
        <v>122.6</v>
      </c>
      <c r="AD154">
        <v>125.1</v>
      </c>
      <c r="AE154">
        <v>130.9</v>
      </c>
    </row>
    <row r="155" spans="1:31" x14ac:dyDescent="0.3">
      <c r="A155" t="s">
        <v>30</v>
      </c>
      <c r="B155">
        <v>2017</v>
      </c>
      <c r="C155" t="s">
        <v>37</v>
      </c>
      <c r="D155" s="3">
        <v>42826</v>
      </c>
      <c r="E155">
        <v>133.19999999999999</v>
      </c>
      <c r="F155">
        <v>138.69999999999999</v>
      </c>
      <c r="G155">
        <v>127.1</v>
      </c>
      <c r="H155">
        <v>137.69999999999999</v>
      </c>
      <c r="I155">
        <v>121.3</v>
      </c>
      <c r="J155">
        <v>141.80000000000001</v>
      </c>
      <c r="K155">
        <v>121.5</v>
      </c>
      <c r="L155">
        <v>144.5</v>
      </c>
      <c r="M155">
        <v>117.4</v>
      </c>
      <c r="N155">
        <v>134.1</v>
      </c>
      <c r="O155">
        <v>130</v>
      </c>
      <c r="P155">
        <v>145.5</v>
      </c>
      <c r="Q155">
        <v>133.5</v>
      </c>
      <c r="R155">
        <v>144.4</v>
      </c>
      <c r="S155">
        <v>142.4</v>
      </c>
      <c r="T155">
        <v>136.80000000000001</v>
      </c>
      <c r="U155">
        <v>141.6</v>
      </c>
      <c r="W155">
        <v>135</v>
      </c>
      <c r="X155">
        <v>134.30000000000001</v>
      </c>
      <c r="Y155">
        <v>131</v>
      </c>
      <c r="Z155">
        <v>119.2</v>
      </c>
      <c r="AA155">
        <v>128.30000000000001</v>
      </c>
      <c r="AB155">
        <v>135.69999999999999</v>
      </c>
      <c r="AC155">
        <v>123.7</v>
      </c>
      <c r="AD155">
        <v>127.5</v>
      </c>
      <c r="AE155">
        <v>132.9</v>
      </c>
    </row>
    <row r="156" spans="1:31" x14ac:dyDescent="0.3">
      <c r="A156" t="s">
        <v>33</v>
      </c>
      <c r="B156">
        <v>2017</v>
      </c>
      <c r="C156" t="s">
        <v>37</v>
      </c>
      <c r="D156" s="3">
        <v>42826</v>
      </c>
      <c r="E156">
        <v>132.69999999999999</v>
      </c>
      <c r="F156">
        <v>140.6</v>
      </c>
      <c r="G156">
        <v>124.5</v>
      </c>
      <c r="H156">
        <v>136.30000000000001</v>
      </c>
      <c r="I156">
        <v>113.5</v>
      </c>
      <c r="J156">
        <v>137.69999999999999</v>
      </c>
      <c r="K156">
        <v>127.1</v>
      </c>
      <c r="L156">
        <v>133.80000000000001</v>
      </c>
      <c r="M156">
        <v>120.8</v>
      </c>
      <c r="N156">
        <v>141.30000000000001</v>
      </c>
      <c r="O156">
        <v>123.8</v>
      </c>
      <c r="P156">
        <v>142.6</v>
      </c>
      <c r="Q156">
        <v>133.4</v>
      </c>
      <c r="R156">
        <v>148</v>
      </c>
      <c r="S156">
        <v>131.19999999999999</v>
      </c>
      <c r="T156">
        <v>123</v>
      </c>
      <c r="U156">
        <v>130</v>
      </c>
      <c r="V156">
        <v>131.69999999999999</v>
      </c>
      <c r="W156">
        <v>121.4</v>
      </c>
      <c r="X156">
        <v>126</v>
      </c>
      <c r="Y156">
        <v>123.4</v>
      </c>
      <c r="Z156">
        <v>114.3</v>
      </c>
      <c r="AA156">
        <v>122.6</v>
      </c>
      <c r="AB156">
        <v>133.6</v>
      </c>
      <c r="AC156">
        <v>122.2</v>
      </c>
      <c r="AD156">
        <v>122.5</v>
      </c>
      <c r="AE156">
        <v>129.1</v>
      </c>
    </row>
    <row r="157" spans="1:31" x14ac:dyDescent="0.3">
      <c r="A157" t="s">
        <v>34</v>
      </c>
      <c r="B157">
        <v>2017</v>
      </c>
      <c r="C157" t="s">
        <v>37</v>
      </c>
      <c r="D157" s="3">
        <v>42826</v>
      </c>
      <c r="E157">
        <v>133</v>
      </c>
      <c r="F157">
        <v>139.4</v>
      </c>
      <c r="G157">
        <v>126.1</v>
      </c>
      <c r="H157">
        <v>137.19999999999999</v>
      </c>
      <c r="I157">
        <v>118.4</v>
      </c>
      <c r="J157">
        <v>139.9</v>
      </c>
      <c r="K157">
        <v>123.4</v>
      </c>
      <c r="L157">
        <v>140.9</v>
      </c>
      <c r="M157">
        <v>118.5</v>
      </c>
      <c r="N157">
        <v>136.5</v>
      </c>
      <c r="O157">
        <v>127.4</v>
      </c>
      <c r="P157">
        <v>144.19999999999999</v>
      </c>
      <c r="Q157">
        <v>133.5</v>
      </c>
      <c r="R157">
        <v>145.4</v>
      </c>
      <c r="S157">
        <v>138</v>
      </c>
      <c r="T157">
        <v>131.1</v>
      </c>
      <c r="U157">
        <v>137</v>
      </c>
      <c r="V157">
        <v>131.69999999999999</v>
      </c>
      <c r="W157">
        <v>129.80000000000001</v>
      </c>
      <c r="X157">
        <v>130.4</v>
      </c>
      <c r="Y157">
        <v>128.1</v>
      </c>
      <c r="Z157">
        <v>116.6</v>
      </c>
      <c r="AA157">
        <v>125.1</v>
      </c>
      <c r="AB157">
        <v>134.5</v>
      </c>
      <c r="AC157">
        <v>123.1</v>
      </c>
      <c r="AD157">
        <v>125.1</v>
      </c>
      <c r="AE157">
        <v>131.1</v>
      </c>
    </row>
    <row r="158" spans="1:31" x14ac:dyDescent="0.3">
      <c r="A158" t="s">
        <v>30</v>
      </c>
      <c r="B158">
        <v>2017</v>
      </c>
      <c r="C158" t="s">
        <v>38</v>
      </c>
      <c r="D158" s="3">
        <v>42856</v>
      </c>
      <c r="E158">
        <v>133.1</v>
      </c>
      <c r="F158">
        <v>140.30000000000001</v>
      </c>
      <c r="G158">
        <v>126.8</v>
      </c>
      <c r="H158">
        <v>138.19999999999999</v>
      </c>
      <c r="I158">
        <v>120.8</v>
      </c>
      <c r="J158">
        <v>140.19999999999999</v>
      </c>
      <c r="K158">
        <v>123.8</v>
      </c>
      <c r="L158">
        <v>141.80000000000001</v>
      </c>
      <c r="M158">
        <v>118.6</v>
      </c>
      <c r="N158">
        <v>134</v>
      </c>
      <c r="O158">
        <v>130.30000000000001</v>
      </c>
      <c r="P158">
        <v>145.80000000000001</v>
      </c>
      <c r="Q158">
        <v>133.80000000000001</v>
      </c>
      <c r="R158">
        <v>145.5</v>
      </c>
      <c r="S158">
        <v>142.5</v>
      </c>
      <c r="T158">
        <v>137.30000000000001</v>
      </c>
      <c r="U158">
        <v>141.80000000000001</v>
      </c>
      <c r="W158">
        <v>135</v>
      </c>
      <c r="X158">
        <v>134.9</v>
      </c>
      <c r="Y158">
        <v>131.4</v>
      </c>
      <c r="Z158">
        <v>119.4</v>
      </c>
      <c r="AA158">
        <v>129.4</v>
      </c>
      <c r="AB158">
        <v>136.30000000000001</v>
      </c>
      <c r="AC158">
        <v>123.7</v>
      </c>
      <c r="AD158">
        <v>127.9</v>
      </c>
      <c r="AE158">
        <v>133.30000000000001</v>
      </c>
    </row>
    <row r="159" spans="1:31" x14ac:dyDescent="0.3">
      <c r="A159" t="s">
        <v>33</v>
      </c>
      <c r="B159">
        <v>2017</v>
      </c>
      <c r="C159" t="s">
        <v>38</v>
      </c>
      <c r="D159" s="3">
        <v>42856</v>
      </c>
      <c r="E159">
        <v>132.6</v>
      </c>
      <c r="F159">
        <v>144.1</v>
      </c>
      <c r="G159">
        <v>125.6</v>
      </c>
      <c r="H159">
        <v>136.80000000000001</v>
      </c>
      <c r="I159">
        <v>113.4</v>
      </c>
      <c r="J159">
        <v>135.19999999999999</v>
      </c>
      <c r="K159">
        <v>129.19999999999999</v>
      </c>
      <c r="L159">
        <v>131.5</v>
      </c>
      <c r="M159">
        <v>121</v>
      </c>
      <c r="N159">
        <v>139.9</v>
      </c>
      <c r="O159">
        <v>123.8</v>
      </c>
      <c r="P159">
        <v>142.9</v>
      </c>
      <c r="Q159">
        <v>133.6</v>
      </c>
      <c r="R159">
        <v>148.30000000000001</v>
      </c>
      <c r="S159">
        <v>131.5</v>
      </c>
      <c r="T159">
        <v>123.2</v>
      </c>
      <c r="U159">
        <v>130.19999999999999</v>
      </c>
      <c r="V159">
        <v>132.1</v>
      </c>
      <c r="W159">
        <v>120.1</v>
      </c>
      <c r="X159">
        <v>126.5</v>
      </c>
      <c r="Y159">
        <v>123.6</v>
      </c>
      <c r="Z159">
        <v>114.3</v>
      </c>
      <c r="AA159">
        <v>122.8</v>
      </c>
      <c r="AB159">
        <v>133.80000000000001</v>
      </c>
      <c r="AC159">
        <v>122</v>
      </c>
      <c r="AD159">
        <v>122.6</v>
      </c>
      <c r="AE159">
        <v>129.30000000000001</v>
      </c>
    </row>
    <row r="160" spans="1:31" x14ac:dyDescent="0.3">
      <c r="A160" t="s">
        <v>34</v>
      </c>
      <c r="B160">
        <v>2017</v>
      </c>
      <c r="C160" t="s">
        <v>38</v>
      </c>
      <c r="D160" s="3">
        <v>42856</v>
      </c>
      <c r="E160">
        <v>132.9</v>
      </c>
      <c r="F160">
        <v>141.6</v>
      </c>
      <c r="G160">
        <v>126.3</v>
      </c>
      <c r="H160">
        <v>137.69999999999999</v>
      </c>
      <c r="I160">
        <v>118.1</v>
      </c>
      <c r="J160">
        <v>137.9</v>
      </c>
      <c r="K160">
        <v>125.6</v>
      </c>
      <c r="L160">
        <v>138.30000000000001</v>
      </c>
      <c r="M160">
        <v>119.4</v>
      </c>
      <c r="N160">
        <v>136</v>
      </c>
      <c r="O160">
        <v>127.6</v>
      </c>
      <c r="P160">
        <v>144.5</v>
      </c>
      <c r="Q160">
        <v>133.69999999999999</v>
      </c>
      <c r="R160">
        <v>146.19999999999999</v>
      </c>
      <c r="S160">
        <v>138.19999999999999</v>
      </c>
      <c r="T160">
        <v>131.4</v>
      </c>
      <c r="U160">
        <v>137.19999999999999</v>
      </c>
      <c r="V160">
        <v>132.1</v>
      </c>
      <c r="W160">
        <v>129.4</v>
      </c>
      <c r="X160">
        <v>130.9</v>
      </c>
      <c r="Y160">
        <v>128.4</v>
      </c>
      <c r="Z160">
        <v>116.7</v>
      </c>
      <c r="AA160">
        <v>125.7</v>
      </c>
      <c r="AB160">
        <v>134.80000000000001</v>
      </c>
      <c r="AC160">
        <v>123</v>
      </c>
      <c r="AD160">
        <v>125.3</v>
      </c>
      <c r="AE160">
        <v>131.4</v>
      </c>
    </row>
    <row r="161" spans="1:31" x14ac:dyDescent="0.3">
      <c r="A161" t="s">
        <v>30</v>
      </c>
      <c r="B161">
        <v>2017</v>
      </c>
      <c r="C161" t="s">
        <v>39</v>
      </c>
      <c r="D161" s="3">
        <v>42887</v>
      </c>
      <c r="E161">
        <v>133.5</v>
      </c>
      <c r="F161">
        <v>143.69999999999999</v>
      </c>
      <c r="G161">
        <v>128</v>
      </c>
      <c r="H161">
        <v>138.6</v>
      </c>
      <c r="I161">
        <v>120.9</v>
      </c>
      <c r="J161">
        <v>140.9</v>
      </c>
      <c r="K161">
        <v>128.80000000000001</v>
      </c>
      <c r="L161">
        <v>140.19999999999999</v>
      </c>
      <c r="M161">
        <v>118.9</v>
      </c>
      <c r="N161">
        <v>133.5</v>
      </c>
      <c r="O161">
        <v>130.4</v>
      </c>
      <c r="P161">
        <v>146.5</v>
      </c>
      <c r="Q161">
        <v>134.9</v>
      </c>
      <c r="R161">
        <v>145.80000000000001</v>
      </c>
      <c r="S161">
        <v>143.1</v>
      </c>
      <c r="T161">
        <v>137.69999999999999</v>
      </c>
      <c r="U161">
        <v>142.30000000000001</v>
      </c>
      <c r="W161">
        <v>134.80000000000001</v>
      </c>
      <c r="X161">
        <v>135.19999999999999</v>
      </c>
      <c r="Y161">
        <v>131.30000000000001</v>
      </c>
      <c r="Z161">
        <v>119.4</v>
      </c>
      <c r="AA161">
        <v>129.80000000000001</v>
      </c>
      <c r="AB161">
        <v>136.9</v>
      </c>
      <c r="AC161">
        <v>124.1</v>
      </c>
      <c r="AD161">
        <v>128.1</v>
      </c>
      <c r="AE161">
        <v>133.9</v>
      </c>
    </row>
    <row r="162" spans="1:31" x14ac:dyDescent="0.3">
      <c r="A162" t="s">
        <v>33</v>
      </c>
      <c r="B162">
        <v>2017</v>
      </c>
      <c r="C162" t="s">
        <v>39</v>
      </c>
      <c r="D162" s="3">
        <v>42887</v>
      </c>
      <c r="E162">
        <v>132.9</v>
      </c>
      <c r="F162">
        <v>148.69999999999999</v>
      </c>
      <c r="G162">
        <v>128.30000000000001</v>
      </c>
      <c r="H162">
        <v>137.30000000000001</v>
      </c>
      <c r="I162">
        <v>113.5</v>
      </c>
      <c r="J162">
        <v>137.19999999999999</v>
      </c>
      <c r="K162">
        <v>142.19999999999999</v>
      </c>
      <c r="L162">
        <v>128.19999999999999</v>
      </c>
      <c r="M162">
        <v>120.9</v>
      </c>
      <c r="N162">
        <v>138.80000000000001</v>
      </c>
      <c r="O162">
        <v>124.2</v>
      </c>
      <c r="P162">
        <v>143.1</v>
      </c>
      <c r="Q162">
        <v>135.69999999999999</v>
      </c>
      <c r="R162">
        <v>148.6</v>
      </c>
      <c r="S162">
        <v>131.5</v>
      </c>
      <c r="T162">
        <v>123.2</v>
      </c>
      <c r="U162">
        <v>130.19999999999999</v>
      </c>
      <c r="V162">
        <v>131.4</v>
      </c>
      <c r="W162">
        <v>119</v>
      </c>
      <c r="X162">
        <v>126.8</v>
      </c>
      <c r="Y162">
        <v>123.8</v>
      </c>
      <c r="Z162">
        <v>113.9</v>
      </c>
      <c r="AA162">
        <v>122.9</v>
      </c>
      <c r="AB162">
        <v>134.30000000000001</v>
      </c>
      <c r="AC162">
        <v>122.5</v>
      </c>
      <c r="AD162">
        <v>122.7</v>
      </c>
      <c r="AE162">
        <v>129.9</v>
      </c>
    </row>
    <row r="163" spans="1:31" x14ac:dyDescent="0.3">
      <c r="A163" t="s">
        <v>34</v>
      </c>
      <c r="B163">
        <v>2017</v>
      </c>
      <c r="C163" t="s">
        <v>39</v>
      </c>
      <c r="D163" s="3">
        <v>42887</v>
      </c>
      <c r="E163">
        <v>133.30000000000001</v>
      </c>
      <c r="F163">
        <v>145.5</v>
      </c>
      <c r="G163">
        <v>128.1</v>
      </c>
      <c r="H163">
        <v>138.1</v>
      </c>
      <c r="I163">
        <v>118.2</v>
      </c>
      <c r="J163">
        <v>139.19999999999999</v>
      </c>
      <c r="K163">
        <v>133.30000000000001</v>
      </c>
      <c r="L163">
        <v>136.19999999999999</v>
      </c>
      <c r="M163">
        <v>119.6</v>
      </c>
      <c r="N163">
        <v>135.30000000000001</v>
      </c>
      <c r="O163">
        <v>127.8</v>
      </c>
      <c r="P163">
        <v>144.9</v>
      </c>
      <c r="Q163">
        <v>135.19999999999999</v>
      </c>
      <c r="R163">
        <v>146.5</v>
      </c>
      <c r="S163">
        <v>138.5</v>
      </c>
      <c r="T163">
        <v>131.69999999999999</v>
      </c>
      <c r="U163">
        <v>137.5</v>
      </c>
      <c r="V163">
        <v>131.4</v>
      </c>
      <c r="W163">
        <v>128.80000000000001</v>
      </c>
      <c r="X163">
        <v>131.19999999999999</v>
      </c>
      <c r="Y163">
        <v>128.5</v>
      </c>
      <c r="Z163">
        <v>116.5</v>
      </c>
      <c r="AA163">
        <v>125.9</v>
      </c>
      <c r="AB163">
        <v>135.4</v>
      </c>
      <c r="AC163">
        <v>123.4</v>
      </c>
      <c r="AD163">
        <v>125.5</v>
      </c>
      <c r="AE163">
        <v>132</v>
      </c>
    </row>
    <row r="164" spans="1:31" x14ac:dyDescent="0.3">
      <c r="A164" t="s">
        <v>30</v>
      </c>
      <c r="B164">
        <v>2017</v>
      </c>
      <c r="C164" t="s">
        <v>40</v>
      </c>
      <c r="D164" s="3">
        <v>42917</v>
      </c>
      <c r="E164">
        <v>134</v>
      </c>
      <c r="F164">
        <v>144.19999999999999</v>
      </c>
      <c r="G164">
        <v>129.80000000000001</v>
      </c>
      <c r="H164">
        <v>139</v>
      </c>
      <c r="I164">
        <v>120.9</v>
      </c>
      <c r="J164">
        <v>143.9</v>
      </c>
      <c r="K164">
        <v>151.5</v>
      </c>
      <c r="L164">
        <v>138.1</v>
      </c>
      <c r="M164">
        <v>120</v>
      </c>
      <c r="N164">
        <v>133.9</v>
      </c>
      <c r="O164">
        <v>131.4</v>
      </c>
      <c r="P164">
        <v>147.69999999999999</v>
      </c>
      <c r="Q164">
        <v>138.5</v>
      </c>
      <c r="R164">
        <v>147.4</v>
      </c>
      <c r="S164">
        <v>144.30000000000001</v>
      </c>
      <c r="T164">
        <v>138.1</v>
      </c>
      <c r="U164">
        <v>143.5</v>
      </c>
      <c r="W164">
        <v>135.30000000000001</v>
      </c>
      <c r="X164">
        <v>136.1</v>
      </c>
      <c r="Y164">
        <v>132.1</v>
      </c>
      <c r="Z164">
        <v>119.1</v>
      </c>
      <c r="AA164">
        <v>130.6</v>
      </c>
      <c r="AB164">
        <v>138.6</v>
      </c>
      <c r="AC164">
        <v>124.4</v>
      </c>
      <c r="AD164">
        <v>128.6</v>
      </c>
      <c r="AE164">
        <v>136.19999999999999</v>
      </c>
    </row>
    <row r="165" spans="1:31" x14ac:dyDescent="0.3">
      <c r="A165" t="s">
        <v>33</v>
      </c>
      <c r="B165">
        <v>2017</v>
      </c>
      <c r="C165" t="s">
        <v>40</v>
      </c>
      <c r="D165" s="3">
        <v>42917</v>
      </c>
      <c r="E165">
        <v>132.80000000000001</v>
      </c>
      <c r="F165">
        <v>148.4</v>
      </c>
      <c r="G165">
        <v>129.4</v>
      </c>
      <c r="H165">
        <v>137.69999999999999</v>
      </c>
      <c r="I165">
        <v>113.4</v>
      </c>
      <c r="J165">
        <v>139.4</v>
      </c>
      <c r="K165">
        <v>175.1</v>
      </c>
      <c r="L165">
        <v>124.7</v>
      </c>
      <c r="M165">
        <v>121.5</v>
      </c>
      <c r="N165">
        <v>137.80000000000001</v>
      </c>
      <c r="O165">
        <v>124.4</v>
      </c>
      <c r="P165">
        <v>143.69999999999999</v>
      </c>
      <c r="Q165">
        <v>139.80000000000001</v>
      </c>
      <c r="R165">
        <v>150.5</v>
      </c>
      <c r="S165">
        <v>131.6</v>
      </c>
      <c r="T165">
        <v>123.7</v>
      </c>
      <c r="U165">
        <v>130.4</v>
      </c>
      <c r="V165">
        <v>132.6</v>
      </c>
      <c r="W165">
        <v>119.7</v>
      </c>
      <c r="X165">
        <v>127.2</v>
      </c>
      <c r="Y165">
        <v>125</v>
      </c>
      <c r="Z165">
        <v>113.2</v>
      </c>
      <c r="AA165">
        <v>123.5</v>
      </c>
      <c r="AB165">
        <v>135.5</v>
      </c>
      <c r="AC165">
        <v>122.4</v>
      </c>
      <c r="AD165">
        <v>123</v>
      </c>
      <c r="AE165">
        <v>131.80000000000001</v>
      </c>
    </row>
    <row r="166" spans="1:31" x14ac:dyDescent="0.3">
      <c r="A166" t="s">
        <v>34</v>
      </c>
      <c r="B166">
        <v>2017</v>
      </c>
      <c r="C166" t="s">
        <v>40</v>
      </c>
      <c r="D166" s="3">
        <v>42917</v>
      </c>
      <c r="E166">
        <v>133.6</v>
      </c>
      <c r="F166">
        <v>145.69999999999999</v>
      </c>
      <c r="G166">
        <v>129.6</v>
      </c>
      <c r="H166">
        <v>138.5</v>
      </c>
      <c r="I166">
        <v>118.1</v>
      </c>
      <c r="J166">
        <v>141.80000000000001</v>
      </c>
      <c r="K166">
        <v>159.5</v>
      </c>
      <c r="L166">
        <v>133.6</v>
      </c>
      <c r="M166">
        <v>120.5</v>
      </c>
      <c r="N166">
        <v>135.19999999999999</v>
      </c>
      <c r="O166">
        <v>128.5</v>
      </c>
      <c r="P166">
        <v>145.80000000000001</v>
      </c>
      <c r="Q166">
        <v>139</v>
      </c>
      <c r="R166">
        <v>148.19999999999999</v>
      </c>
      <c r="S166">
        <v>139.30000000000001</v>
      </c>
      <c r="T166">
        <v>132.1</v>
      </c>
      <c r="U166">
        <v>138.30000000000001</v>
      </c>
      <c r="V166">
        <v>132.6</v>
      </c>
      <c r="W166">
        <v>129.4</v>
      </c>
      <c r="X166">
        <v>131.9</v>
      </c>
      <c r="Y166">
        <v>129.4</v>
      </c>
      <c r="Z166">
        <v>116</v>
      </c>
      <c r="AA166">
        <v>126.6</v>
      </c>
      <c r="AB166">
        <v>136.80000000000001</v>
      </c>
      <c r="AC166">
        <v>123.6</v>
      </c>
      <c r="AD166">
        <v>125.9</v>
      </c>
      <c r="AE166">
        <v>134.19999999999999</v>
      </c>
    </row>
    <row r="167" spans="1:31" x14ac:dyDescent="0.3">
      <c r="A167" t="s">
        <v>30</v>
      </c>
      <c r="B167">
        <v>2017</v>
      </c>
      <c r="C167" t="s">
        <v>41</v>
      </c>
      <c r="D167" s="3">
        <v>42948</v>
      </c>
      <c r="E167">
        <v>134.80000000000001</v>
      </c>
      <c r="F167">
        <v>143.1</v>
      </c>
      <c r="G167">
        <v>130</v>
      </c>
      <c r="H167">
        <v>139.4</v>
      </c>
      <c r="I167">
        <v>120.5</v>
      </c>
      <c r="J167">
        <v>148</v>
      </c>
      <c r="K167">
        <v>162.9</v>
      </c>
      <c r="L167">
        <v>137.4</v>
      </c>
      <c r="M167">
        <v>120.8</v>
      </c>
      <c r="N167">
        <v>134.69999999999999</v>
      </c>
      <c r="O167">
        <v>131.6</v>
      </c>
      <c r="P167">
        <v>148.69999999999999</v>
      </c>
      <c r="Q167">
        <v>140.6</v>
      </c>
      <c r="R167">
        <v>149</v>
      </c>
      <c r="S167">
        <v>145.30000000000001</v>
      </c>
      <c r="T167">
        <v>139.19999999999999</v>
      </c>
      <c r="U167">
        <v>144.5</v>
      </c>
      <c r="W167">
        <v>136.4</v>
      </c>
      <c r="X167">
        <v>137.30000000000001</v>
      </c>
      <c r="Y167">
        <v>133</v>
      </c>
      <c r="Z167">
        <v>120.3</v>
      </c>
      <c r="AA167">
        <v>131.5</v>
      </c>
      <c r="AB167">
        <v>140.19999999999999</v>
      </c>
      <c r="AC167">
        <v>125.4</v>
      </c>
      <c r="AD167">
        <v>129.69999999999999</v>
      </c>
      <c r="AE167">
        <v>137.80000000000001</v>
      </c>
    </row>
    <row r="168" spans="1:31" x14ac:dyDescent="0.3">
      <c r="A168" t="s">
        <v>33</v>
      </c>
      <c r="B168">
        <v>2017</v>
      </c>
      <c r="C168" t="s">
        <v>41</v>
      </c>
      <c r="D168" s="3">
        <v>42948</v>
      </c>
      <c r="E168">
        <v>133.19999999999999</v>
      </c>
      <c r="F168">
        <v>143.9</v>
      </c>
      <c r="G168">
        <v>128.30000000000001</v>
      </c>
      <c r="H168">
        <v>138.30000000000001</v>
      </c>
      <c r="I168">
        <v>114.1</v>
      </c>
      <c r="J168">
        <v>142.69999999999999</v>
      </c>
      <c r="K168">
        <v>179.8</v>
      </c>
      <c r="L168">
        <v>123.5</v>
      </c>
      <c r="M168">
        <v>122.1</v>
      </c>
      <c r="N168">
        <v>137.5</v>
      </c>
      <c r="O168">
        <v>124.6</v>
      </c>
      <c r="P168">
        <v>144.5</v>
      </c>
      <c r="Q168">
        <v>140.5</v>
      </c>
      <c r="R168">
        <v>152.1</v>
      </c>
      <c r="S168">
        <v>132.69999999999999</v>
      </c>
      <c r="T168">
        <v>124.3</v>
      </c>
      <c r="U168">
        <v>131.4</v>
      </c>
      <c r="V168">
        <v>134.4</v>
      </c>
      <c r="W168">
        <v>118.9</v>
      </c>
      <c r="X168">
        <v>127.7</v>
      </c>
      <c r="Y168">
        <v>125.7</v>
      </c>
      <c r="Z168">
        <v>114.6</v>
      </c>
      <c r="AA168">
        <v>124.1</v>
      </c>
      <c r="AB168">
        <v>135.69999999999999</v>
      </c>
      <c r="AC168">
        <v>123.3</v>
      </c>
      <c r="AD168">
        <v>123.8</v>
      </c>
      <c r="AE168">
        <v>132.69999999999999</v>
      </c>
    </row>
    <row r="169" spans="1:31" x14ac:dyDescent="0.3">
      <c r="A169" t="s">
        <v>34</v>
      </c>
      <c r="B169">
        <v>2017</v>
      </c>
      <c r="C169" t="s">
        <v>41</v>
      </c>
      <c r="D169" s="3">
        <v>42948</v>
      </c>
      <c r="E169">
        <v>134.30000000000001</v>
      </c>
      <c r="F169">
        <v>143.4</v>
      </c>
      <c r="G169">
        <v>129.30000000000001</v>
      </c>
      <c r="H169">
        <v>139</v>
      </c>
      <c r="I169">
        <v>118.1</v>
      </c>
      <c r="J169">
        <v>145.5</v>
      </c>
      <c r="K169">
        <v>168.6</v>
      </c>
      <c r="L169">
        <v>132.69999999999999</v>
      </c>
      <c r="M169">
        <v>121.2</v>
      </c>
      <c r="N169">
        <v>135.6</v>
      </c>
      <c r="O169">
        <v>128.69999999999999</v>
      </c>
      <c r="P169">
        <v>146.80000000000001</v>
      </c>
      <c r="Q169">
        <v>140.6</v>
      </c>
      <c r="R169">
        <v>149.80000000000001</v>
      </c>
      <c r="S169">
        <v>140.30000000000001</v>
      </c>
      <c r="T169">
        <v>133</v>
      </c>
      <c r="U169">
        <v>139.30000000000001</v>
      </c>
      <c r="V169">
        <v>134.4</v>
      </c>
      <c r="W169">
        <v>129.80000000000001</v>
      </c>
      <c r="X169">
        <v>132.80000000000001</v>
      </c>
      <c r="Y169">
        <v>130.19999999999999</v>
      </c>
      <c r="Z169">
        <v>117.3</v>
      </c>
      <c r="AA169">
        <v>127.3</v>
      </c>
      <c r="AB169">
        <v>137.6</v>
      </c>
      <c r="AC169">
        <v>124.5</v>
      </c>
      <c r="AD169">
        <v>126.8</v>
      </c>
      <c r="AE169">
        <v>135.4</v>
      </c>
    </row>
    <row r="170" spans="1:31" x14ac:dyDescent="0.3">
      <c r="A170" t="s">
        <v>30</v>
      </c>
      <c r="B170">
        <v>2017</v>
      </c>
      <c r="C170" t="s">
        <v>42</v>
      </c>
      <c r="D170" s="3">
        <v>42979</v>
      </c>
      <c r="E170">
        <v>135.19999999999999</v>
      </c>
      <c r="F170">
        <v>142</v>
      </c>
      <c r="G170">
        <v>130.5</v>
      </c>
      <c r="H170">
        <v>140.19999999999999</v>
      </c>
      <c r="I170">
        <v>120.7</v>
      </c>
      <c r="J170">
        <v>147.80000000000001</v>
      </c>
      <c r="K170">
        <v>154.5</v>
      </c>
      <c r="L170">
        <v>137.1</v>
      </c>
      <c r="M170">
        <v>121</v>
      </c>
      <c r="N170">
        <v>134.69999999999999</v>
      </c>
      <c r="O170">
        <v>131.69999999999999</v>
      </c>
      <c r="P170">
        <v>149.30000000000001</v>
      </c>
      <c r="Q170">
        <v>139.6</v>
      </c>
      <c r="R170">
        <v>149.80000000000001</v>
      </c>
      <c r="S170">
        <v>146.1</v>
      </c>
      <c r="T170">
        <v>139.69999999999999</v>
      </c>
      <c r="U170">
        <v>145.19999999999999</v>
      </c>
      <c r="W170">
        <v>137.4</v>
      </c>
      <c r="X170">
        <v>137.9</v>
      </c>
      <c r="Y170">
        <v>133.4</v>
      </c>
      <c r="Z170">
        <v>121.2</v>
      </c>
      <c r="AA170">
        <v>132.30000000000001</v>
      </c>
      <c r="AB170">
        <v>139.6</v>
      </c>
      <c r="AC170">
        <v>126.7</v>
      </c>
      <c r="AD170">
        <v>130.30000000000001</v>
      </c>
      <c r="AE170">
        <v>137.6</v>
      </c>
    </row>
    <row r="171" spans="1:31" x14ac:dyDescent="0.3">
      <c r="A171" t="s">
        <v>33</v>
      </c>
      <c r="B171">
        <v>2017</v>
      </c>
      <c r="C171" t="s">
        <v>42</v>
      </c>
      <c r="D171" s="3">
        <v>42979</v>
      </c>
      <c r="E171">
        <v>133.6</v>
      </c>
      <c r="F171">
        <v>143</v>
      </c>
      <c r="G171">
        <v>129.69999999999999</v>
      </c>
      <c r="H171">
        <v>138.69999999999999</v>
      </c>
      <c r="I171">
        <v>114.5</v>
      </c>
      <c r="J171">
        <v>137.5</v>
      </c>
      <c r="K171">
        <v>160.69999999999999</v>
      </c>
      <c r="L171">
        <v>124.5</v>
      </c>
      <c r="M171">
        <v>122.4</v>
      </c>
      <c r="N171">
        <v>137.30000000000001</v>
      </c>
      <c r="O171">
        <v>124.8</v>
      </c>
      <c r="P171">
        <v>145</v>
      </c>
      <c r="Q171">
        <v>138</v>
      </c>
      <c r="R171">
        <v>153.6</v>
      </c>
      <c r="S171">
        <v>133.30000000000001</v>
      </c>
      <c r="T171">
        <v>124.6</v>
      </c>
      <c r="U171">
        <v>132</v>
      </c>
      <c r="V171">
        <v>135.69999999999999</v>
      </c>
      <c r="W171">
        <v>120.6</v>
      </c>
      <c r="X171">
        <v>128.1</v>
      </c>
      <c r="Y171">
        <v>126.1</v>
      </c>
      <c r="Z171">
        <v>115.7</v>
      </c>
      <c r="AA171">
        <v>124.5</v>
      </c>
      <c r="AB171">
        <v>135.9</v>
      </c>
      <c r="AC171">
        <v>124.4</v>
      </c>
      <c r="AD171">
        <v>124.5</v>
      </c>
      <c r="AE171">
        <v>132.4</v>
      </c>
    </row>
    <row r="172" spans="1:31" x14ac:dyDescent="0.3">
      <c r="A172" t="s">
        <v>34</v>
      </c>
      <c r="B172">
        <v>2017</v>
      </c>
      <c r="C172" t="s">
        <v>42</v>
      </c>
      <c r="D172" s="3">
        <v>42979</v>
      </c>
      <c r="E172">
        <v>134.69999999999999</v>
      </c>
      <c r="F172">
        <v>142.4</v>
      </c>
      <c r="G172">
        <v>130.19999999999999</v>
      </c>
      <c r="H172">
        <v>139.6</v>
      </c>
      <c r="I172">
        <v>118.4</v>
      </c>
      <c r="J172">
        <v>143</v>
      </c>
      <c r="K172">
        <v>156.6</v>
      </c>
      <c r="L172">
        <v>132.9</v>
      </c>
      <c r="M172">
        <v>121.5</v>
      </c>
      <c r="N172">
        <v>135.6</v>
      </c>
      <c r="O172">
        <v>128.80000000000001</v>
      </c>
      <c r="P172">
        <v>147.30000000000001</v>
      </c>
      <c r="Q172">
        <v>139</v>
      </c>
      <c r="R172">
        <v>150.80000000000001</v>
      </c>
      <c r="S172">
        <v>141.1</v>
      </c>
      <c r="T172">
        <v>133.4</v>
      </c>
      <c r="U172">
        <v>140</v>
      </c>
      <c r="V172">
        <v>135.69999999999999</v>
      </c>
      <c r="W172">
        <v>131</v>
      </c>
      <c r="X172">
        <v>133.30000000000001</v>
      </c>
      <c r="Y172">
        <v>130.6</v>
      </c>
      <c r="Z172">
        <v>118.3</v>
      </c>
      <c r="AA172">
        <v>127.9</v>
      </c>
      <c r="AB172">
        <v>137.4</v>
      </c>
      <c r="AC172">
        <v>125.7</v>
      </c>
      <c r="AD172">
        <v>127.5</v>
      </c>
      <c r="AE172">
        <v>135.19999999999999</v>
      </c>
    </row>
    <row r="173" spans="1:31" x14ac:dyDescent="0.3">
      <c r="A173" t="s">
        <v>30</v>
      </c>
      <c r="B173">
        <v>2017</v>
      </c>
      <c r="C173" t="s">
        <v>43</v>
      </c>
      <c r="D173" s="3">
        <v>43009</v>
      </c>
      <c r="E173">
        <v>135.9</v>
      </c>
      <c r="F173">
        <v>141.9</v>
      </c>
      <c r="G173">
        <v>131</v>
      </c>
      <c r="H173">
        <v>141.5</v>
      </c>
      <c r="I173">
        <v>121.4</v>
      </c>
      <c r="J173">
        <v>146.69999999999999</v>
      </c>
      <c r="K173">
        <v>157.1</v>
      </c>
      <c r="L173">
        <v>136.4</v>
      </c>
      <c r="M173">
        <v>121.4</v>
      </c>
      <c r="N173">
        <v>135.6</v>
      </c>
      <c r="O173">
        <v>131.30000000000001</v>
      </c>
      <c r="P173">
        <v>150.30000000000001</v>
      </c>
      <c r="Q173">
        <v>140.4</v>
      </c>
      <c r="R173">
        <v>150.5</v>
      </c>
      <c r="S173">
        <v>147.19999999999999</v>
      </c>
      <c r="T173">
        <v>140.6</v>
      </c>
      <c r="U173">
        <v>146.19999999999999</v>
      </c>
      <c r="W173">
        <v>138.1</v>
      </c>
      <c r="X173">
        <v>138.4</v>
      </c>
      <c r="Y173">
        <v>134.19999999999999</v>
      </c>
      <c r="Z173">
        <v>121</v>
      </c>
      <c r="AA173">
        <v>133</v>
      </c>
      <c r="AB173">
        <v>140.1</v>
      </c>
      <c r="AC173">
        <v>127.4</v>
      </c>
      <c r="AD173">
        <v>130.69999999999999</v>
      </c>
      <c r="AE173">
        <v>138.30000000000001</v>
      </c>
    </row>
    <row r="174" spans="1:31" x14ac:dyDescent="0.3">
      <c r="A174" t="s">
        <v>33</v>
      </c>
      <c r="B174">
        <v>2017</v>
      </c>
      <c r="C174" t="s">
        <v>43</v>
      </c>
      <c r="D174" s="3">
        <v>43009</v>
      </c>
      <c r="E174">
        <v>133.9</v>
      </c>
      <c r="F174">
        <v>142.80000000000001</v>
      </c>
      <c r="G174">
        <v>131.4</v>
      </c>
      <c r="H174">
        <v>139.1</v>
      </c>
      <c r="I174">
        <v>114.9</v>
      </c>
      <c r="J174">
        <v>135.6</v>
      </c>
      <c r="K174">
        <v>173.2</v>
      </c>
      <c r="L174">
        <v>124.1</v>
      </c>
      <c r="M174">
        <v>122.6</v>
      </c>
      <c r="N174">
        <v>137.80000000000001</v>
      </c>
      <c r="O174">
        <v>125.1</v>
      </c>
      <c r="P174">
        <v>145.5</v>
      </c>
      <c r="Q174">
        <v>139.69999999999999</v>
      </c>
      <c r="R174">
        <v>154.6</v>
      </c>
      <c r="S174">
        <v>134</v>
      </c>
      <c r="T174">
        <v>124.9</v>
      </c>
      <c r="U174">
        <v>132.6</v>
      </c>
      <c r="V174">
        <v>137.30000000000001</v>
      </c>
      <c r="W174">
        <v>122.6</v>
      </c>
      <c r="X174">
        <v>128.30000000000001</v>
      </c>
      <c r="Y174">
        <v>126.6</v>
      </c>
      <c r="Z174">
        <v>115</v>
      </c>
      <c r="AA174">
        <v>124.8</v>
      </c>
      <c r="AB174">
        <v>136.30000000000001</v>
      </c>
      <c r="AC174">
        <v>124.6</v>
      </c>
      <c r="AD174">
        <v>124.5</v>
      </c>
      <c r="AE174">
        <v>133.5</v>
      </c>
    </row>
    <row r="175" spans="1:31" x14ac:dyDescent="0.3">
      <c r="A175" t="s">
        <v>34</v>
      </c>
      <c r="B175">
        <v>2017</v>
      </c>
      <c r="C175" t="s">
        <v>43</v>
      </c>
      <c r="D175" s="3">
        <v>43009</v>
      </c>
      <c r="E175">
        <v>135.30000000000001</v>
      </c>
      <c r="F175">
        <v>142.19999999999999</v>
      </c>
      <c r="G175">
        <v>131.19999999999999</v>
      </c>
      <c r="H175">
        <v>140.6</v>
      </c>
      <c r="I175">
        <v>119</v>
      </c>
      <c r="J175">
        <v>141.5</v>
      </c>
      <c r="K175">
        <v>162.6</v>
      </c>
      <c r="L175">
        <v>132.30000000000001</v>
      </c>
      <c r="M175">
        <v>121.8</v>
      </c>
      <c r="N175">
        <v>136.30000000000001</v>
      </c>
      <c r="O175">
        <v>128.69999999999999</v>
      </c>
      <c r="P175">
        <v>148.1</v>
      </c>
      <c r="Q175">
        <v>140.1</v>
      </c>
      <c r="R175">
        <v>151.6</v>
      </c>
      <c r="S175">
        <v>142</v>
      </c>
      <c r="T175">
        <v>134.1</v>
      </c>
      <c r="U175">
        <v>140.80000000000001</v>
      </c>
      <c r="V175">
        <v>137.30000000000001</v>
      </c>
      <c r="W175">
        <v>132.19999999999999</v>
      </c>
      <c r="X175">
        <v>133.6</v>
      </c>
      <c r="Y175">
        <v>131.30000000000001</v>
      </c>
      <c r="Z175">
        <v>117.8</v>
      </c>
      <c r="AA175">
        <v>128.4</v>
      </c>
      <c r="AB175">
        <v>137.9</v>
      </c>
      <c r="AC175">
        <v>126.2</v>
      </c>
      <c r="AD175">
        <v>127.7</v>
      </c>
      <c r="AE175">
        <v>136.1</v>
      </c>
    </row>
    <row r="176" spans="1:31" x14ac:dyDescent="0.3">
      <c r="A176" t="s">
        <v>30</v>
      </c>
      <c r="B176">
        <v>2017</v>
      </c>
      <c r="C176" t="s">
        <v>45</v>
      </c>
      <c r="D176" s="3">
        <v>43040</v>
      </c>
      <c r="E176">
        <v>136.30000000000001</v>
      </c>
      <c r="F176">
        <v>142.5</v>
      </c>
      <c r="G176">
        <v>140.5</v>
      </c>
      <c r="H176">
        <v>141.5</v>
      </c>
      <c r="I176">
        <v>121.6</v>
      </c>
      <c r="J176">
        <v>147.30000000000001</v>
      </c>
      <c r="K176">
        <v>168</v>
      </c>
      <c r="L176">
        <v>135.80000000000001</v>
      </c>
      <c r="M176">
        <v>122.5</v>
      </c>
      <c r="N176">
        <v>136</v>
      </c>
      <c r="O176">
        <v>131.9</v>
      </c>
      <c r="P176">
        <v>151.4</v>
      </c>
      <c r="Q176">
        <v>142.4</v>
      </c>
      <c r="R176">
        <v>152.1</v>
      </c>
      <c r="S176">
        <v>148.19999999999999</v>
      </c>
      <c r="T176">
        <v>141.5</v>
      </c>
      <c r="U176">
        <v>147.30000000000001</v>
      </c>
      <c r="W176">
        <v>141.1</v>
      </c>
      <c r="X176">
        <v>139.4</v>
      </c>
      <c r="Y176">
        <v>135.80000000000001</v>
      </c>
      <c r="Z176">
        <v>121.6</v>
      </c>
      <c r="AA176">
        <v>133.69999999999999</v>
      </c>
      <c r="AB176">
        <v>141.5</v>
      </c>
      <c r="AC176">
        <v>128.1</v>
      </c>
      <c r="AD176">
        <v>131.69999999999999</v>
      </c>
      <c r="AE176">
        <v>140</v>
      </c>
    </row>
    <row r="177" spans="1:31" x14ac:dyDescent="0.3">
      <c r="A177" t="s">
        <v>33</v>
      </c>
      <c r="B177">
        <v>2017</v>
      </c>
      <c r="C177" t="s">
        <v>45</v>
      </c>
      <c r="D177" s="3">
        <v>43040</v>
      </c>
      <c r="E177">
        <v>134.30000000000001</v>
      </c>
      <c r="F177">
        <v>142.1</v>
      </c>
      <c r="G177">
        <v>146.69999999999999</v>
      </c>
      <c r="H177">
        <v>139.5</v>
      </c>
      <c r="I177">
        <v>115.2</v>
      </c>
      <c r="J177">
        <v>136.4</v>
      </c>
      <c r="K177">
        <v>185.2</v>
      </c>
      <c r="L177">
        <v>122.2</v>
      </c>
      <c r="M177">
        <v>123.9</v>
      </c>
      <c r="N177">
        <v>138.30000000000001</v>
      </c>
      <c r="O177">
        <v>125.4</v>
      </c>
      <c r="P177">
        <v>146</v>
      </c>
      <c r="Q177">
        <v>141.5</v>
      </c>
      <c r="R177">
        <v>156.19999999999999</v>
      </c>
      <c r="S177">
        <v>135</v>
      </c>
      <c r="T177">
        <v>125.4</v>
      </c>
      <c r="U177">
        <v>133.5</v>
      </c>
      <c r="V177">
        <v>138.6</v>
      </c>
      <c r="W177">
        <v>125.7</v>
      </c>
      <c r="X177">
        <v>128.80000000000001</v>
      </c>
      <c r="Y177">
        <v>127.4</v>
      </c>
      <c r="Z177">
        <v>115.3</v>
      </c>
      <c r="AA177">
        <v>125.1</v>
      </c>
      <c r="AB177">
        <v>136.6</v>
      </c>
      <c r="AC177">
        <v>124.9</v>
      </c>
      <c r="AD177">
        <v>124.9</v>
      </c>
      <c r="AE177">
        <v>134.80000000000001</v>
      </c>
    </row>
    <row r="178" spans="1:31" x14ac:dyDescent="0.3">
      <c r="A178" t="s">
        <v>34</v>
      </c>
      <c r="B178">
        <v>2017</v>
      </c>
      <c r="C178" t="s">
        <v>45</v>
      </c>
      <c r="D178" s="3">
        <v>43040</v>
      </c>
      <c r="E178">
        <v>135.69999999999999</v>
      </c>
      <c r="F178">
        <v>142.4</v>
      </c>
      <c r="G178">
        <v>142.9</v>
      </c>
      <c r="H178">
        <v>140.80000000000001</v>
      </c>
      <c r="I178">
        <v>119.2</v>
      </c>
      <c r="J178">
        <v>142.19999999999999</v>
      </c>
      <c r="K178">
        <v>173.8</v>
      </c>
      <c r="L178">
        <v>131.19999999999999</v>
      </c>
      <c r="M178">
        <v>123</v>
      </c>
      <c r="N178">
        <v>136.80000000000001</v>
      </c>
      <c r="O178">
        <v>129.19999999999999</v>
      </c>
      <c r="P178">
        <v>148.9</v>
      </c>
      <c r="Q178">
        <v>142.1</v>
      </c>
      <c r="R178">
        <v>153.19999999999999</v>
      </c>
      <c r="S178">
        <v>143</v>
      </c>
      <c r="T178">
        <v>134.80000000000001</v>
      </c>
      <c r="U178">
        <v>141.80000000000001</v>
      </c>
      <c r="V178">
        <v>138.6</v>
      </c>
      <c r="W178">
        <v>135.30000000000001</v>
      </c>
      <c r="X178">
        <v>134.4</v>
      </c>
      <c r="Y178">
        <v>132.6</v>
      </c>
      <c r="Z178">
        <v>118.3</v>
      </c>
      <c r="AA178">
        <v>128.9</v>
      </c>
      <c r="AB178">
        <v>138.6</v>
      </c>
      <c r="AC178">
        <v>126.8</v>
      </c>
      <c r="AD178">
        <v>128.4</v>
      </c>
      <c r="AE178">
        <v>137.6</v>
      </c>
    </row>
    <row r="179" spans="1:31" x14ac:dyDescent="0.3">
      <c r="A179" t="s">
        <v>30</v>
      </c>
      <c r="B179">
        <v>2017</v>
      </c>
      <c r="C179" t="s">
        <v>46</v>
      </c>
      <c r="D179" s="3">
        <v>43070</v>
      </c>
      <c r="E179">
        <v>136.4</v>
      </c>
      <c r="F179">
        <v>143.69999999999999</v>
      </c>
      <c r="G179">
        <v>144.80000000000001</v>
      </c>
      <c r="H179">
        <v>141.9</v>
      </c>
      <c r="I179">
        <v>123.1</v>
      </c>
      <c r="J179">
        <v>147.19999999999999</v>
      </c>
      <c r="K179">
        <v>161</v>
      </c>
      <c r="L179">
        <v>133.80000000000001</v>
      </c>
      <c r="M179">
        <v>121.9</v>
      </c>
      <c r="N179">
        <v>135.80000000000001</v>
      </c>
      <c r="O179">
        <v>131.1</v>
      </c>
      <c r="P179">
        <v>151.4</v>
      </c>
      <c r="Q179">
        <v>141.5</v>
      </c>
      <c r="R179">
        <v>153.19999999999999</v>
      </c>
      <c r="S179">
        <v>148</v>
      </c>
      <c r="T179">
        <v>141.9</v>
      </c>
      <c r="U179">
        <v>147.19999999999999</v>
      </c>
      <c r="W179">
        <v>142.6</v>
      </c>
      <c r="X179">
        <v>139.5</v>
      </c>
      <c r="Y179">
        <v>136.1</v>
      </c>
      <c r="Z179">
        <v>122</v>
      </c>
      <c r="AA179">
        <v>133.4</v>
      </c>
      <c r="AB179">
        <v>141.1</v>
      </c>
      <c r="AC179">
        <v>127.8</v>
      </c>
      <c r="AD179">
        <v>131.9</v>
      </c>
      <c r="AE179">
        <v>139.80000000000001</v>
      </c>
    </row>
    <row r="180" spans="1:31" x14ac:dyDescent="0.3">
      <c r="A180" t="s">
        <v>33</v>
      </c>
      <c r="B180">
        <v>2017</v>
      </c>
      <c r="C180" t="s">
        <v>46</v>
      </c>
      <c r="D180" s="3">
        <v>43070</v>
      </c>
      <c r="E180">
        <v>134.4</v>
      </c>
      <c r="F180">
        <v>142.6</v>
      </c>
      <c r="G180">
        <v>145.9</v>
      </c>
      <c r="H180">
        <v>139.5</v>
      </c>
      <c r="I180">
        <v>115.9</v>
      </c>
      <c r="J180">
        <v>135</v>
      </c>
      <c r="K180">
        <v>163.19999999999999</v>
      </c>
      <c r="L180">
        <v>119.8</v>
      </c>
      <c r="M180">
        <v>120.7</v>
      </c>
      <c r="N180">
        <v>139.69999999999999</v>
      </c>
      <c r="O180">
        <v>125.7</v>
      </c>
      <c r="P180">
        <v>146.30000000000001</v>
      </c>
      <c r="Q180">
        <v>138.80000000000001</v>
      </c>
      <c r="R180">
        <v>157</v>
      </c>
      <c r="S180">
        <v>135.6</v>
      </c>
      <c r="T180">
        <v>125.6</v>
      </c>
      <c r="U180">
        <v>134</v>
      </c>
      <c r="V180">
        <v>139.1</v>
      </c>
      <c r="W180">
        <v>126.8</v>
      </c>
      <c r="X180">
        <v>129.30000000000001</v>
      </c>
      <c r="Y180">
        <v>128.19999999999999</v>
      </c>
      <c r="Z180">
        <v>115.3</v>
      </c>
      <c r="AA180">
        <v>125.6</v>
      </c>
      <c r="AB180">
        <v>136.69999999999999</v>
      </c>
      <c r="AC180">
        <v>124.6</v>
      </c>
      <c r="AD180">
        <v>125.1</v>
      </c>
      <c r="AE180">
        <v>134.1</v>
      </c>
    </row>
    <row r="181" spans="1:31" x14ac:dyDescent="0.3">
      <c r="A181" t="s">
        <v>34</v>
      </c>
      <c r="B181">
        <v>2017</v>
      </c>
      <c r="C181" t="s">
        <v>46</v>
      </c>
      <c r="D181" s="3">
        <v>43070</v>
      </c>
      <c r="E181">
        <v>135.80000000000001</v>
      </c>
      <c r="F181">
        <v>143.30000000000001</v>
      </c>
      <c r="G181">
        <v>145.19999999999999</v>
      </c>
      <c r="H181">
        <v>141</v>
      </c>
      <c r="I181">
        <v>120.5</v>
      </c>
      <c r="J181">
        <v>141.5</v>
      </c>
      <c r="K181">
        <v>161.69999999999999</v>
      </c>
      <c r="L181">
        <v>129.1</v>
      </c>
      <c r="M181">
        <v>121.5</v>
      </c>
      <c r="N181">
        <v>137.1</v>
      </c>
      <c r="O181">
        <v>128.80000000000001</v>
      </c>
      <c r="P181">
        <v>149</v>
      </c>
      <c r="Q181">
        <v>140.5</v>
      </c>
      <c r="R181">
        <v>154.19999999999999</v>
      </c>
      <c r="S181">
        <v>143.1</v>
      </c>
      <c r="T181">
        <v>135.1</v>
      </c>
      <c r="U181">
        <v>142</v>
      </c>
      <c r="V181">
        <v>139.1</v>
      </c>
      <c r="W181">
        <v>136.6</v>
      </c>
      <c r="X181">
        <v>134.69999999999999</v>
      </c>
      <c r="Y181">
        <v>133.1</v>
      </c>
      <c r="Z181">
        <v>118.5</v>
      </c>
      <c r="AA181">
        <v>129</v>
      </c>
      <c r="AB181">
        <v>138.5</v>
      </c>
      <c r="AC181">
        <v>126.5</v>
      </c>
      <c r="AD181">
        <v>128.6</v>
      </c>
      <c r="AE181">
        <v>137.19999999999999</v>
      </c>
    </row>
    <row r="182" spans="1:31" x14ac:dyDescent="0.3">
      <c r="A182" t="s">
        <v>30</v>
      </c>
      <c r="B182">
        <v>2018</v>
      </c>
      <c r="C182" t="s">
        <v>31</v>
      </c>
      <c r="D182" s="3">
        <v>43101</v>
      </c>
      <c r="E182">
        <v>136.6</v>
      </c>
      <c r="F182">
        <v>144.4</v>
      </c>
      <c r="G182">
        <v>143.80000000000001</v>
      </c>
      <c r="H182">
        <v>142</v>
      </c>
      <c r="I182">
        <v>123.2</v>
      </c>
      <c r="J182">
        <v>147.9</v>
      </c>
      <c r="K182">
        <v>152.1</v>
      </c>
      <c r="L182">
        <v>131.80000000000001</v>
      </c>
      <c r="M182">
        <v>119.5</v>
      </c>
      <c r="N182">
        <v>136</v>
      </c>
      <c r="O182">
        <v>131.19999999999999</v>
      </c>
      <c r="P182">
        <v>151.80000000000001</v>
      </c>
      <c r="Q182">
        <v>140.4</v>
      </c>
      <c r="R182">
        <v>153.6</v>
      </c>
      <c r="S182">
        <v>148.30000000000001</v>
      </c>
      <c r="T182">
        <v>142.30000000000001</v>
      </c>
      <c r="U182">
        <v>147.5</v>
      </c>
      <c r="W182">
        <v>142.30000000000001</v>
      </c>
      <c r="X182">
        <v>139.80000000000001</v>
      </c>
      <c r="Y182">
        <v>136</v>
      </c>
      <c r="Z182">
        <v>122.7</v>
      </c>
      <c r="AA182">
        <v>134.30000000000001</v>
      </c>
      <c r="AB182">
        <v>141.6</v>
      </c>
      <c r="AC182">
        <v>128.6</v>
      </c>
      <c r="AD182">
        <v>132.30000000000001</v>
      </c>
      <c r="AE182">
        <v>139.30000000000001</v>
      </c>
    </row>
    <row r="183" spans="1:31" x14ac:dyDescent="0.3">
      <c r="A183" t="s">
        <v>33</v>
      </c>
      <c r="B183">
        <v>2018</v>
      </c>
      <c r="C183" t="s">
        <v>31</v>
      </c>
      <c r="D183" s="3">
        <v>43101</v>
      </c>
      <c r="E183">
        <v>134.6</v>
      </c>
      <c r="F183">
        <v>143.69999999999999</v>
      </c>
      <c r="G183">
        <v>143.6</v>
      </c>
      <c r="H183">
        <v>139.6</v>
      </c>
      <c r="I183">
        <v>116.4</v>
      </c>
      <c r="J183">
        <v>133.80000000000001</v>
      </c>
      <c r="K183">
        <v>150.5</v>
      </c>
      <c r="L183">
        <v>118.4</v>
      </c>
      <c r="M183">
        <v>117.3</v>
      </c>
      <c r="N183">
        <v>140.5</v>
      </c>
      <c r="O183">
        <v>125.9</v>
      </c>
      <c r="P183">
        <v>146.80000000000001</v>
      </c>
      <c r="Q183">
        <v>137.19999999999999</v>
      </c>
      <c r="R183">
        <v>157.69999999999999</v>
      </c>
      <c r="S183">
        <v>136</v>
      </c>
      <c r="T183">
        <v>125.9</v>
      </c>
      <c r="U183">
        <v>134.4</v>
      </c>
      <c r="V183">
        <v>140.4</v>
      </c>
      <c r="W183">
        <v>127.3</v>
      </c>
      <c r="X183">
        <v>129.5</v>
      </c>
      <c r="Y183">
        <v>129</v>
      </c>
      <c r="Z183">
        <v>116.3</v>
      </c>
      <c r="AA183">
        <v>126.2</v>
      </c>
      <c r="AB183">
        <v>137.1</v>
      </c>
      <c r="AC183">
        <v>125.5</v>
      </c>
      <c r="AD183">
        <v>125.8</v>
      </c>
      <c r="AE183">
        <v>134.1</v>
      </c>
    </row>
    <row r="184" spans="1:31" x14ac:dyDescent="0.3">
      <c r="A184" t="s">
        <v>34</v>
      </c>
      <c r="B184">
        <v>2018</v>
      </c>
      <c r="C184" t="s">
        <v>31</v>
      </c>
      <c r="D184" s="3">
        <v>43101</v>
      </c>
      <c r="E184">
        <v>136</v>
      </c>
      <c r="F184">
        <v>144.19999999999999</v>
      </c>
      <c r="G184">
        <v>143.69999999999999</v>
      </c>
      <c r="H184">
        <v>141.1</v>
      </c>
      <c r="I184">
        <v>120.7</v>
      </c>
      <c r="J184">
        <v>141.30000000000001</v>
      </c>
      <c r="K184">
        <v>151.6</v>
      </c>
      <c r="L184">
        <v>127.3</v>
      </c>
      <c r="M184">
        <v>118.8</v>
      </c>
      <c r="N184">
        <v>137.5</v>
      </c>
      <c r="O184">
        <v>129</v>
      </c>
      <c r="P184">
        <v>149.5</v>
      </c>
      <c r="Q184">
        <v>139.19999999999999</v>
      </c>
      <c r="R184">
        <v>154.69999999999999</v>
      </c>
      <c r="S184">
        <v>143.5</v>
      </c>
      <c r="T184">
        <v>135.5</v>
      </c>
      <c r="U184">
        <v>142.30000000000001</v>
      </c>
      <c r="V184">
        <v>140.4</v>
      </c>
      <c r="W184">
        <v>136.6</v>
      </c>
      <c r="X184">
        <v>134.9</v>
      </c>
      <c r="Y184">
        <v>133.30000000000001</v>
      </c>
      <c r="Z184">
        <v>119.3</v>
      </c>
      <c r="AA184">
        <v>129.69999999999999</v>
      </c>
      <c r="AB184">
        <v>139</v>
      </c>
      <c r="AC184">
        <v>127.3</v>
      </c>
      <c r="AD184">
        <v>129.1</v>
      </c>
      <c r="AE184">
        <v>136.9</v>
      </c>
    </row>
    <row r="185" spans="1:31" x14ac:dyDescent="0.3">
      <c r="A185" t="s">
        <v>30</v>
      </c>
      <c r="B185">
        <v>2018</v>
      </c>
      <c r="C185" t="s">
        <v>35</v>
      </c>
      <c r="D185" s="3">
        <v>43132</v>
      </c>
      <c r="E185">
        <v>136.4</v>
      </c>
      <c r="F185">
        <v>143.69999999999999</v>
      </c>
      <c r="G185">
        <v>140.6</v>
      </c>
      <c r="H185">
        <v>141.5</v>
      </c>
      <c r="I185">
        <v>122.9</v>
      </c>
      <c r="J185">
        <v>149.4</v>
      </c>
      <c r="K185">
        <v>142.4</v>
      </c>
      <c r="L185">
        <v>130.19999999999999</v>
      </c>
      <c r="M185">
        <v>117.9</v>
      </c>
      <c r="N185">
        <v>135.6</v>
      </c>
      <c r="O185">
        <v>130.5</v>
      </c>
      <c r="P185">
        <v>151.69999999999999</v>
      </c>
      <c r="Q185">
        <v>138.69999999999999</v>
      </c>
      <c r="R185">
        <v>153.30000000000001</v>
      </c>
      <c r="S185">
        <v>148.69999999999999</v>
      </c>
      <c r="T185">
        <v>142.4</v>
      </c>
      <c r="U185">
        <v>147.80000000000001</v>
      </c>
      <c r="W185">
        <v>142.4</v>
      </c>
      <c r="X185">
        <v>139.9</v>
      </c>
      <c r="Y185">
        <v>136.19999999999999</v>
      </c>
      <c r="Z185">
        <v>123.3</v>
      </c>
      <c r="AA185">
        <v>134.30000000000001</v>
      </c>
      <c r="AB185">
        <v>141.5</v>
      </c>
      <c r="AC185">
        <v>128.80000000000001</v>
      </c>
      <c r="AD185">
        <v>132.5</v>
      </c>
      <c r="AE185">
        <v>138.5</v>
      </c>
    </row>
    <row r="186" spans="1:31" x14ac:dyDescent="0.3">
      <c r="A186" t="s">
        <v>33</v>
      </c>
      <c r="B186">
        <v>2018</v>
      </c>
      <c r="C186" t="s">
        <v>35</v>
      </c>
      <c r="D186" s="3">
        <v>43132</v>
      </c>
      <c r="E186">
        <v>134.80000000000001</v>
      </c>
      <c r="F186">
        <v>143</v>
      </c>
      <c r="G186">
        <v>139.9</v>
      </c>
      <c r="H186">
        <v>139.9</v>
      </c>
      <c r="I186">
        <v>116.2</v>
      </c>
      <c r="J186">
        <v>135.5</v>
      </c>
      <c r="K186">
        <v>136.9</v>
      </c>
      <c r="L186">
        <v>117</v>
      </c>
      <c r="M186">
        <v>115.4</v>
      </c>
      <c r="N186">
        <v>140.69999999999999</v>
      </c>
      <c r="O186">
        <v>125.9</v>
      </c>
      <c r="P186">
        <v>147.1</v>
      </c>
      <c r="Q186">
        <v>135.6</v>
      </c>
      <c r="R186">
        <v>159.30000000000001</v>
      </c>
      <c r="S186">
        <v>136.30000000000001</v>
      </c>
      <c r="T186">
        <v>126.1</v>
      </c>
      <c r="U186">
        <v>134.69999999999999</v>
      </c>
      <c r="V186">
        <v>141.30000000000001</v>
      </c>
      <c r="W186">
        <v>127.3</v>
      </c>
      <c r="X186">
        <v>129.9</v>
      </c>
      <c r="Y186">
        <v>129.80000000000001</v>
      </c>
      <c r="Z186">
        <v>117.4</v>
      </c>
      <c r="AA186">
        <v>126.5</v>
      </c>
      <c r="AB186">
        <v>137.19999999999999</v>
      </c>
      <c r="AC186">
        <v>126.2</v>
      </c>
      <c r="AD186">
        <v>126.5</v>
      </c>
      <c r="AE186">
        <v>134</v>
      </c>
    </row>
    <row r="187" spans="1:31" x14ac:dyDescent="0.3">
      <c r="A187" t="s">
        <v>34</v>
      </c>
      <c r="B187">
        <v>2018</v>
      </c>
      <c r="C187" t="s">
        <v>35</v>
      </c>
      <c r="D187" s="3">
        <v>43132</v>
      </c>
      <c r="E187">
        <v>135.9</v>
      </c>
      <c r="F187">
        <v>143.5</v>
      </c>
      <c r="G187">
        <v>140.30000000000001</v>
      </c>
      <c r="H187">
        <v>140.9</v>
      </c>
      <c r="I187">
        <v>120.4</v>
      </c>
      <c r="J187">
        <v>142.9</v>
      </c>
      <c r="K187">
        <v>140.5</v>
      </c>
      <c r="L187">
        <v>125.8</v>
      </c>
      <c r="M187">
        <v>117.1</v>
      </c>
      <c r="N187">
        <v>137.30000000000001</v>
      </c>
      <c r="O187">
        <v>128.6</v>
      </c>
      <c r="P187">
        <v>149.6</v>
      </c>
      <c r="Q187">
        <v>137.6</v>
      </c>
      <c r="R187">
        <v>154.9</v>
      </c>
      <c r="S187">
        <v>143.80000000000001</v>
      </c>
      <c r="T187">
        <v>135.6</v>
      </c>
      <c r="U187">
        <v>142.6</v>
      </c>
      <c r="V187">
        <v>141.30000000000001</v>
      </c>
      <c r="W187">
        <v>136.69999999999999</v>
      </c>
      <c r="X187">
        <v>135.19999999999999</v>
      </c>
      <c r="Y187">
        <v>133.80000000000001</v>
      </c>
      <c r="Z187">
        <v>120.2</v>
      </c>
      <c r="AA187">
        <v>129.9</v>
      </c>
      <c r="AB187">
        <v>139</v>
      </c>
      <c r="AC187">
        <v>127.7</v>
      </c>
      <c r="AD187">
        <v>129.6</v>
      </c>
      <c r="AE187">
        <v>136.4</v>
      </c>
    </row>
    <row r="188" spans="1:31" x14ac:dyDescent="0.3">
      <c r="A188" t="s">
        <v>30</v>
      </c>
      <c r="B188">
        <v>2018</v>
      </c>
      <c r="C188" t="s">
        <v>36</v>
      </c>
      <c r="D188" s="3">
        <v>43160</v>
      </c>
      <c r="E188">
        <v>136.80000000000001</v>
      </c>
      <c r="F188">
        <v>143.80000000000001</v>
      </c>
      <c r="G188">
        <v>140</v>
      </c>
      <c r="H188">
        <v>142</v>
      </c>
      <c r="I188">
        <v>123.2</v>
      </c>
      <c r="J188">
        <v>152.9</v>
      </c>
      <c r="K188">
        <v>138</v>
      </c>
      <c r="L188">
        <v>129.30000000000001</v>
      </c>
      <c r="M188">
        <v>117.1</v>
      </c>
      <c r="N188">
        <v>136.30000000000001</v>
      </c>
      <c r="O188">
        <v>131.19999999999999</v>
      </c>
      <c r="P188">
        <v>152.80000000000001</v>
      </c>
      <c r="Q188">
        <v>138.6</v>
      </c>
      <c r="R188">
        <v>155.1</v>
      </c>
      <c r="S188">
        <v>149.19999999999999</v>
      </c>
      <c r="T188">
        <v>143</v>
      </c>
      <c r="U188">
        <v>148.30000000000001</v>
      </c>
      <c r="W188">
        <v>142.6</v>
      </c>
      <c r="X188">
        <v>139.9</v>
      </c>
      <c r="Y188">
        <v>136.69999999999999</v>
      </c>
      <c r="Z188">
        <v>124.6</v>
      </c>
      <c r="AA188">
        <v>135.1</v>
      </c>
      <c r="AB188">
        <v>142.69999999999999</v>
      </c>
      <c r="AC188">
        <v>129.30000000000001</v>
      </c>
      <c r="AD188">
        <v>133.30000000000001</v>
      </c>
      <c r="AE188">
        <v>138.69999999999999</v>
      </c>
    </row>
    <row r="189" spans="1:31" x14ac:dyDescent="0.3">
      <c r="A189" t="s">
        <v>33</v>
      </c>
      <c r="B189">
        <v>2018</v>
      </c>
      <c r="C189" t="s">
        <v>36</v>
      </c>
      <c r="D189" s="3">
        <v>43160</v>
      </c>
      <c r="E189">
        <v>135</v>
      </c>
      <c r="F189">
        <v>143.1</v>
      </c>
      <c r="G189">
        <v>135.5</v>
      </c>
      <c r="H189">
        <v>139.9</v>
      </c>
      <c r="I189">
        <v>116.5</v>
      </c>
      <c r="J189">
        <v>138.5</v>
      </c>
      <c r="K189">
        <v>128</v>
      </c>
      <c r="L189">
        <v>115.5</v>
      </c>
      <c r="M189">
        <v>114.2</v>
      </c>
      <c r="N189">
        <v>140.69999999999999</v>
      </c>
      <c r="O189">
        <v>126.2</v>
      </c>
      <c r="P189">
        <v>147.6</v>
      </c>
      <c r="Q189">
        <v>134.80000000000001</v>
      </c>
      <c r="R189">
        <v>159.69999999999999</v>
      </c>
      <c r="S189">
        <v>136.69999999999999</v>
      </c>
      <c r="T189">
        <v>126.7</v>
      </c>
      <c r="U189">
        <v>135.19999999999999</v>
      </c>
      <c r="V189">
        <v>142</v>
      </c>
      <c r="W189">
        <v>126.4</v>
      </c>
      <c r="X189">
        <v>130.80000000000001</v>
      </c>
      <c r="Y189">
        <v>130.5</v>
      </c>
      <c r="Z189">
        <v>117.8</v>
      </c>
      <c r="AA189">
        <v>126.8</v>
      </c>
      <c r="AB189">
        <v>137.80000000000001</v>
      </c>
      <c r="AC189">
        <v>126.7</v>
      </c>
      <c r="AD189">
        <v>127.1</v>
      </c>
      <c r="AE189">
        <v>134</v>
      </c>
    </row>
    <row r="190" spans="1:31" x14ac:dyDescent="0.3">
      <c r="A190" t="s">
        <v>34</v>
      </c>
      <c r="B190">
        <v>2018</v>
      </c>
      <c r="C190" t="s">
        <v>36</v>
      </c>
      <c r="D190" s="3">
        <v>43160</v>
      </c>
      <c r="E190">
        <v>136.19999999999999</v>
      </c>
      <c r="F190">
        <v>143.6</v>
      </c>
      <c r="G190">
        <v>138.30000000000001</v>
      </c>
      <c r="H190">
        <v>141.19999999999999</v>
      </c>
      <c r="I190">
        <v>120.7</v>
      </c>
      <c r="J190">
        <v>146.19999999999999</v>
      </c>
      <c r="K190">
        <v>134.6</v>
      </c>
      <c r="L190">
        <v>124.6</v>
      </c>
      <c r="M190">
        <v>116.1</v>
      </c>
      <c r="N190">
        <v>137.80000000000001</v>
      </c>
      <c r="O190">
        <v>129.1</v>
      </c>
      <c r="P190">
        <v>150.4</v>
      </c>
      <c r="Q190">
        <v>137.19999999999999</v>
      </c>
      <c r="R190">
        <v>156.30000000000001</v>
      </c>
      <c r="S190">
        <v>144.30000000000001</v>
      </c>
      <c r="T190">
        <v>136.19999999999999</v>
      </c>
      <c r="U190">
        <v>143.1</v>
      </c>
      <c r="V190">
        <v>142</v>
      </c>
      <c r="W190">
        <v>136.5</v>
      </c>
      <c r="X190">
        <v>135.6</v>
      </c>
      <c r="Y190">
        <v>134.30000000000001</v>
      </c>
      <c r="Z190">
        <v>121</v>
      </c>
      <c r="AA190">
        <v>130.4</v>
      </c>
      <c r="AB190">
        <v>139.80000000000001</v>
      </c>
      <c r="AC190">
        <v>128.19999999999999</v>
      </c>
      <c r="AD190">
        <v>130.30000000000001</v>
      </c>
      <c r="AE190">
        <v>136.5</v>
      </c>
    </row>
    <row r="191" spans="1:31" x14ac:dyDescent="0.3">
      <c r="A191" t="s">
        <v>30</v>
      </c>
      <c r="B191">
        <v>2018</v>
      </c>
      <c r="C191" t="s">
        <v>37</v>
      </c>
      <c r="D191" s="3">
        <v>43191</v>
      </c>
      <c r="E191">
        <v>137.1</v>
      </c>
      <c r="F191">
        <v>144.5</v>
      </c>
      <c r="G191">
        <v>135.9</v>
      </c>
      <c r="H191">
        <v>142.4</v>
      </c>
      <c r="I191">
        <v>123.5</v>
      </c>
      <c r="J191">
        <v>156.4</v>
      </c>
      <c r="K191">
        <v>135.1</v>
      </c>
      <c r="L191">
        <v>128.4</v>
      </c>
      <c r="M191">
        <v>115.2</v>
      </c>
      <c r="N191">
        <v>137.19999999999999</v>
      </c>
      <c r="O191">
        <v>131.9</v>
      </c>
      <c r="P191">
        <v>153.80000000000001</v>
      </c>
      <c r="Q191">
        <v>138.6</v>
      </c>
      <c r="R191">
        <v>156.1</v>
      </c>
      <c r="S191">
        <v>150.1</v>
      </c>
      <c r="T191">
        <v>143.30000000000001</v>
      </c>
      <c r="U191">
        <v>149.1</v>
      </c>
      <c r="W191">
        <v>143.80000000000001</v>
      </c>
      <c r="X191">
        <v>140.9</v>
      </c>
      <c r="Y191">
        <v>137.6</v>
      </c>
      <c r="Z191">
        <v>125.3</v>
      </c>
      <c r="AA191">
        <v>136</v>
      </c>
      <c r="AB191">
        <v>143.69999999999999</v>
      </c>
      <c r="AC191">
        <v>130.4</v>
      </c>
      <c r="AD191">
        <v>134.19999999999999</v>
      </c>
      <c r="AE191">
        <v>139.1</v>
      </c>
    </row>
    <row r="192" spans="1:31" x14ac:dyDescent="0.3">
      <c r="A192" t="s">
        <v>33</v>
      </c>
      <c r="B192">
        <v>2018</v>
      </c>
      <c r="C192" t="s">
        <v>37</v>
      </c>
      <c r="D192" s="3">
        <v>43191</v>
      </c>
      <c r="E192">
        <v>135</v>
      </c>
      <c r="F192">
        <v>144.30000000000001</v>
      </c>
      <c r="G192">
        <v>130.80000000000001</v>
      </c>
      <c r="H192">
        <v>140.30000000000001</v>
      </c>
      <c r="I192">
        <v>116.6</v>
      </c>
      <c r="J192">
        <v>150.1</v>
      </c>
      <c r="K192">
        <v>127.6</v>
      </c>
      <c r="L192">
        <v>114</v>
      </c>
      <c r="M192">
        <v>110.6</v>
      </c>
      <c r="N192">
        <v>140.19999999999999</v>
      </c>
      <c r="O192">
        <v>126.5</v>
      </c>
      <c r="P192">
        <v>148.30000000000001</v>
      </c>
      <c r="Q192">
        <v>135.69999999999999</v>
      </c>
      <c r="R192">
        <v>159.19999999999999</v>
      </c>
      <c r="S192">
        <v>137.80000000000001</v>
      </c>
      <c r="T192">
        <v>127.4</v>
      </c>
      <c r="U192">
        <v>136.19999999999999</v>
      </c>
      <c r="V192">
        <v>142.9</v>
      </c>
      <c r="W192">
        <v>124.6</v>
      </c>
      <c r="X192">
        <v>131.80000000000001</v>
      </c>
      <c r="Y192">
        <v>131.30000000000001</v>
      </c>
      <c r="Z192">
        <v>118.9</v>
      </c>
      <c r="AA192">
        <v>127.6</v>
      </c>
      <c r="AB192">
        <v>139.69999999999999</v>
      </c>
      <c r="AC192">
        <v>127.6</v>
      </c>
      <c r="AD192">
        <v>128.19999999999999</v>
      </c>
      <c r="AE192">
        <v>134.80000000000001</v>
      </c>
    </row>
    <row r="193" spans="1:31" x14ac:dyDescent="0.3">
      <c r="A193" t="s">
        <v>34</v>
      </c>
      <c r="B193">
        <v>2018</v>
      </c>
      <c r="C193" t="s">
        <v>37</v>
      </c>
      <c r="D193" s="3">
        <v>43191</v>
      </c>
      <c r="E193">
        <v>136.4</v>
      </c>
      <c r="F193">
        <v>144.4</v>
      </c>
      <c r="G193">
        <v>133.9</v>
      </c>
      <c r="H193">
        <v>141.6</v>
      </c>
      <c r="I193">
        <v>121</v>
      </c>
      <c r="J193">
        <v>153.5</v>
      </c>
      <c r="K193">
        <v>132.6</v>
      </c>
      <c r="L193">
        <v>123.5</v>
      </c>
      <c r="M193">
        <v>113.7</v>
      </c>
      <c r="N193">
        <v>138.19999999999999</v>
      </c>
      <c r="O193">
        <v>129.6</v>
      </c>
      <c r="P193">
        <v>151.19999999999999</v>
      </c>
      <c r="Q193">
        <v>137.5</v>
      </c>
      <c r="R193">
        <v>156.9</v>
      </c>
      <c r="S193">
        <v>145.30000000000001</v>
      </c>
      <c r="T193">
        <v>136.69999999999999</v>
      </c>
      <c r="U193">
        <v>144</v>
      </c>
      <c r="V193">
        <v>142.9</v>
      </c>
      <c r="W193">
        <v>136.5</v>
      </c>
      <c r="X193">
        <v>136.6</v>
      </c>
      <c r="Y193">
        <v>135.19999999999999</v>
      </c>
      <c r="Z193">
        <v>121.9</v>
      </c>
      <c r="AA193">
        <v>131.30000000000001</v>
      </c>
      <c r="AB193">
        <v>141.4</v>
      </c>
      <c r="AC193">
        <v>129.19999999999999</v>
      </c>
      <c r="AD193">
        <v>131.30000000000001</v>
      </c>
      <c r="AE193">
        <v>137.1</v>
      </c>
    </row>
    <row r="194" spans="1:31" x14ac:dyDescent="0.3">
      <c r="A194" t="s">
        <v>30</v>
      </c>
      <c r="B194">
        <v>2018</v>
      </c>
      <c r="C194" t="s">
        <v>38</v>
      </c>
      <c r="D194" s="3">
        <v>43221</v>
      </c>
      <c r="E194">
        <v>137.4</v>
      </c>
      <c r="F194">
        <v>145.69999999999999</v>
      </c>
      <c r="G194">
        <v>135.5</v>
      </c>
      <c r="H194">
        <v>142.9</v>
      </c>
      <c r="I194">
        <v>123.6</v>
      </c>
      <c r="J194">
        <v>157.5</v>
      </c>
      <c r="K194">
        <v>137.80000000000001</v>
      </c>
      <c r="L194">
        <v>127.2</v>
      </c>
      <c r="M194">
        <v>111.8</v>
      </c>
      <c r="N194">
        <v>137.4</v>
      </c>
      <c r="O194">
        <v>132.19999999999999</v>
      </c>
      <c r="P194">
        <v>154.30000000000001</v>
      </c>
      <c r="Q194">
        <v>139.1</v>
      </c>
      <c r="R194">
        <v>157</v>
      </c>
      <c r="S194">
        <v>150.80000000000001</v>
      </c>
      <c r="T194">
        <v>144.1</v>
      </c>
      <c r="U194">
        <v>149.80000000000001</v>
      </c>
      <c r="W194">
        <v>144.30000000000001</v>
      </c>
      <c r="X194">
        <v>141.80000000000001</v>
      </c>
      <c r="Y194">
        <v>138.4</v>
      </c>
      <c r="Z194">
        <v>126.4</v>
      </c>
      <c r="AA194">
        <v>136.80000000000001</v>
      </c>
      <c r="AB194">
        <v>144.4</v>
      </c>
      <c r="AC194">
        <v>131.19999999999999</v>
      </c>
      <c r="AD194">
        <v>135.1</v>
      </c>
      <c r="AE194">
        <v>139.80000000000001</v>
      </c>
    </row>
    <row r="195" spans="1:31" x14ac:dyDescent="0.3">
      <c r="A195" t="s">
        <v>33</v>
      </c>
      <c r="B195">
        <v>2018</v>
      </c>
      <c r="C195" t="s">
        <v>38</v>
      </c>
      <c r="D195" s="3">
        <v>43221</v>
      </c>
      <c r="E195">
        <v>135</v>
      </c>
      <c r="F195">
        <v>148.19999999999999</v>
      </c>
      <c r="G195">
        <v>130.5</v>
      </c>
      <c r="H195">
        <v>140.69999999999999</v>
      </c>
      <c r="I195">
        <v>116.4</v>
      </c>
      <c r="J195">
        <v>151.30000000000001</v>
      </c>
      <c r="K195">
        <v>131.4</v>
      </c>
      <c r="L195">
        <v>112.8</v>
      </c>
      <c r="M195">
        <v>105.3</v>
      </c>
      <c r="N195">
        <v>139.6</v>
      </c>
      <c r="O195">
        <v>126.6</v>
      </c>
      <c r="P195">
        <v>148.69999999999999</v>
      </c>
      <c r="Q195">
        <v>136.4</v>
      </c>
      <c r="R195">
        <v>160.30000000000001</v>
      </c>
      <c r="S195">
        <v>138.6</v>
      </c>
      <c r="T195">
        <v>127.9</v>
      </c>
      <c r="U195">
        <v>137</v>
      </c>
      <c r="V195">
        <v>143.19999999999999</v>
      </c>
      <c r="W195">
        <v>124.7</v>
      </c>
      <c r="X195">
        <v>132.5</v>
      </c>
      <c r="Y195">
        <v>132</v>
      </c>
      <c r="Z195">
        <v>119.8</v>
      </c>
      <c r="AA195">
        <v>128</v>
      </c>
      <c r="AB195">
        <v>140.4</v>
      </c>
      <c r="AC195">
        <v>128.1</v>
      </c>
      <c r="AD195">
        <v>128.9</v>
      </c>
      <c r="AE195">
        <v>135.4</v>
      </c>
    </row>
    <row r="196" spans="1:31" x14ac:dyDescent="0.3">
      <c r="A196" t="s">
        <v>34</v>
      </c>
      <c r="B196">
        <v>2018</v>
      </c>
      <c r="C196" t="s">
        <v>38</v>
      </c>
      <c r="D196" s="3">
        <v>43221</v>
      </c>
      <c r="E196">
        <v>136.6</v>
      </c>
      <c r="F196">
        <v>146.6</v>
      </c>
      <c r="G196">
        <v>133.6</v>
      </c>
      <c r="H196">
        <v>142.1</v>
      </c>
      <c r="I196">
        <v>121</v>
      </c>
      <c r="J196">
        <v>154.6</v>
      </c>
      <c r="K196">
        <v>135.6</v>
      </c>
      <c r="L196">
        <v>122.3</v>
      </c>
      <c r="M196">
        <v>109.6</v>
      </c>
      <c r="N196">
        <v>138.1</v>
      </c>
      <c r="O196">
        <v>129.9</v>
      </c>
      <c r="P196">
        <v>151.69999999999999</v>
      </c>
      <c r="Q196">
        <v>138.1</v>
      </c>
      <c r="R196">
        <v>157.9</v>
      </c>
      <c r="S196">
        <v>146</v>
      </c>
      <c r="T196">
        <v>137.4</v>
      </c>
      <c r="U196">
        <v>144.69999999999999</v>
      </c>
      <c r="V196">
        <v>143.19999999999999</v>
      </c>
      <c r="W196">
        <v>136.9</v>
      </c>
      <c r="X196">
        <v>137.4</v>
      </c>
      <c r="Y196">
        <v>136</v>
      </c>
      <c r="Z196">
        <v>122.9</v>
      </c>
      <c r="AA196">
        <v>131.80000000000001</v>
      </c>
      <c r="AB196">
        <v>142.1</v>
      </c>
      <c r="AC196">
        <v>129.9</v>
      </c>
      <c r="AD196">
        <v>132.1</v>
      </c>
      <c r="AE196">
        <v>137.80000000000001</v>
      </c>
    </row>
    <row r="197" spans="1:31" x14ac:dyDescent="0.3">
      <c r="A197" t="s">
        <v>30</v>
      </c>
      <c r="B197">
        <v>2018</v>
      </c>
      <c r="C197" t="s">
        <v>39</v>
      </c>
      <c r="D197" s="3">
        <v>43252</v>
      </c>
      <c r="E197">
        <v>137.6</v>
      </c>
      <c r="F197">
        <v>148.1</v>
      </c>
      <c r="G197">
        <v>136.69999999999999</v>
      </c>
      <c r="H197">
        <v>143.19999999999999</v>
      </c>
      <c r="I197">
        <v>124</v>
      </c>
      <c r="J197">
        <v>154.1</v>
      </c>
      <c r="K197">
        <v>143.5</v>
      </c>
      <c r="L197">
        <v>126</v>
      </c>
      <c r="M197">
        <v>112.4</v>
      </c>
      <c r="N197">
        <v>137.6</v>
      </c>
      <c r="O197">
        <v>132.80000000000001</v>
      </c>
      <c r="P197">
        <v>154.30000000000001</v>
      </c>
      <c r="Q197">
        <v>140</v>
      </c>
      <c r="R197">
        <v>157.30000000000001</v>
      </c>
      <c r="S197">
        <v>151.30000000000001</v>
      </c>
      <c r="T197">
        <v>144.69999999999999</v>
      </c>
      <c r="U197">
        <v>150.30000000000001</v>
      </c>
      <c r="W197">
        <v>145.1</v>
      </c>
      <c r="X197">
        <v>142.19999999999999</v>
      </c>
      <c r="Y197">
        <v>138.4</v>
      </c>
      <c r="Z197">
        <v>127.4</v>
      </c>
      <c r="AA197">
        <v>137.80000000000001</v>
      </c>
      <c r="AB197">
        <v>145.1</v>
      </c>
      <c r="AC197">
        <v>131.4</v>
      </c>
      <c r="AD197">
        <v>135.6</v>
      </c>
      <c r="AE197">
        <v>140.5</v>
      </c>
    </row>
    <row r="198" spans="1:31" x14ac:dyDescent="0.3">
      <c r="A198" t="s">
        <v>33</v>
      </c>
      <c r="B198">
        <v>2018</v>
      </c>
      <c r="C198" t="s">
        <v>39</v>
      </c>
      <c r="D198" s="3">
        <v>43252</v>
      </c>
      <c r="E198">
        <v>135.30000000000001</v>
      </c>
      <c r="F198">
        <v>149.69999999999999</v>
      </c>
      <c r="G198">
        <v>133.9</v>
      </c>
      <c r="H198">
        <v>140.80000000000001</v>
      </c>
      <c r="I198">
        <v>116.6</v>
      </c>
      <c r="J198">
        <v>152.19999999999999</v>
      </c>
      <c r="K198">
        <v>144</v>
      </c>
      <c r="L198">
        <v>112.3</v>
      </c>
      <c r="M198">
        <v>108.4</v>
      </c>
      <c r="N198">
        <v>140</v>
      </c>
      <c r="O198">
        <v>126.7</v>
      </c>
      <c r="P198">
        <v>149</v>
      </c>
      <c r="Q198">
        <v>138.4</v>
      </c>
      <c r="R198">
        <v>161</v>
      </c>
      <c r="S198">
        <v>138.9</v>
      </c>
      <c r="T198">
        <v>128.69999999999999</v>
      </c>
      <c r="U198">
        <v>137.4</v>
      </c>
      <c r="V198">
        <v>142.5</v>
      </c>
      <c r="W198">
        <v>126.5</v>
      </c>
      <c r="X198">
        <v>133.1</v>
      </c>
      <c r="Y198">
        <v>132.6</v>
      </c>
      <c r="Z198">
        <v>120.4</v>
      </c>
      <c r="AA198">
        <v>128.5</v>
      </c>
      <c r="AB198">
        <v>141.19999999999999</v>
      </c>
      <c r="AC198">
        <v>128.19999999999999</v>
      </c>
      <c r="AD198">
        <v>129.5</v>
      </c>
      <c r="AE198">
        <v>136.19999999999999</v>
      </c>
    </row>
    <row r="199" spans="1:31" x14ac:dyDescent="0.3">
      <c r="A199" t="s">
        <v>34</v>
      </c>
      <c r="B199">
        <v>2018</v>
      </c>
      <c r="C199" t="s">
        <v>39</v>
      </c>
      <c r="D199" s="3">
        <v>43252</v>
      </c>
      <c r="E199">
        <v>136.9</v>
      </c>
      <c r="F199">
        <v>148.69999999999999</v>
      </c>
      <c r="G199">
        <v>135.6</v>
      </c>
      <c r="H199">
        <v>142.30000000000001</v>
      </c>
      <c r="I199">
        <v>121.3</v>
      </c>
      <c r="J199">
        <v>153.19999999999999</v>
      </c>
      <c r="K199">
        <v>143.69999999999999</v>
      </c>
      <c r="L199">
        <v>121.4</v>
      </c>
      <c r="M199">
        <v>111.1</v>
      </c>
      <c r="N199">
        <v>138.4</v>
      </c>
      <c r="O199">
        <v>130.30000000000001</v>
      </c>
      <c r="P199">
        <v>151.80000000000001</v>
      </c>
      <c r="Q199">
        <v>139.4</v>
      </c>
      <c r="R199">
        <v>158.30000000000001</v>
      </c>
      <c r="S199">
        <v>146.4</v>
      </c>
      <c r="T199">
        <v>138.1</v>
      </c>
      <c r="U199">
        <v>145.19999999999999</v>
      </c>
      <c r="V199">
        <v>142.5</v>
      </c>
      <c r="W199">
        <v>138.1</v>
      </c>
      <c r="X199">
        <v>137.9</v>
      </c>
      <c r="Y199">
        <v>136.19999999999999</v>
      </c>
      <c r="Z199">
        <v>123.7</v>
      </c>
      <c r="AA199">
        <v>132.6</v>
      </c>
      <c r="AB199">
        <v>142.80000000000001</v>
      </c>
      <c r="AC199">
        <v>130.1</v>
      </c>
      <c r="AD199">
        <v>132.6</v>
      </c>
      <c r="AE199">
        <v>138.5</v>
      </c>
    </row>
    <row r="200" spans="1:31" x14ac:dyDescent="0.3">
      <c r="A200" t="s">
        <v>30</v>
      </c>
      <c r="B200">
        <v>2018</v>
      </c>
      <c r="C200" t="s">
        <v>40</v>
      </c>
      <c r="D200" s="3">
        <v>43282</v>
      </c>
      <c r="E200">
        <v>138.4</v>
      </c>
      <c r="F200">
        <v>149.30000000000001</v>
      </c>
      <c r="G200">
        <v>139.30000000000001</v>
      </c>
      <c r="H200">
        <v>143.4</v>
      </c>
      <c r="I200">
        <v>124.1</v>
      </c>
      <c r="J200">
        <v>153.30000000000001</v>
      </c>
      <c r="K200">
        <v>154.19999999999999</v>
      </c>
      <c r="L200">
        <v>126.4</v>
      </c>
      <c r="M200">
        <v>114.3</v>
      </c>
      <c r="N200">
        <v>138.19999999999999</v>
      </c>
      <c r="O200">
        <v>132.80000000000001</v>
      </c>
      <c r="P200">
        <v>154.80000000000001</v>
      </c>
      <c r="Q200">
        <v>142</v>
      </c>
      <c r="R200">
        <v>156.1</v>
      </c>
      <c r="S200">
        <v>151.5</v>
      </c>
      <c r="T200">
        <v>145.1</v>
      </c>
      <c r="U200">
        <v>150.6</v>
      </c>
      <c r="W200">
        <v>146.80000000000001</v>
      </c>
      <c r="X200">
        <v>143.1</v>
      </c>
      <c r="Y200">
        <v>139</v>
      </c>
      <c r="Z200">
        <v>127.5</v>
      </c>
      <c r="AA200">
        <v>138.4</v>
      </c>
      <c r="AB200">
        <v>145.80000000000001</v>
      </c>
      <c r="AC200">
        <v>131.4</v>
      </c>
      <c r="AD200">
        <v>136</v>
      </c>
      <c r="AE200">
        <v>141.80000000000001</v>
      </c>
    </row>
    <row r="201" spans="1:31" x14ac:dyDescent="0.3">
      <c r="A201" t="s">
        <v>33</v>
      </c>
      <c r="B201">
        <v>2018</v>
      </c>
      <c r="C201" t="s">
        <v>40</v>
      </c>
      <c r="D201" s="3">
        <v>43282</v>
      </c>
      <c r="E201">
        <v>135.6</v>
      </c>
      <c r="F201">
        <v>148.6</v>
      </c>
      <c r="G201">
        <v>139.1</v>
      </c>
      <c r="H201">
        <v>141</v>
      </c>
      <c r="I201">
        <v>116.7</v>
      </c>
      <c r="J201">
        <v>149.69999999999999</v>
      </c>
      <c r="K201">
        <v>159.19999999999999</v>
      </c>
      <c r="L201">
        <v>112.6</v>
      </c>
      <c r="M201">
        <v>111.8</v>
      </c>
      <c r="N201">
        <v>140.30000000000001</v>
      </c>
      <c r="O201">
        <v>126.8</v>
      </c>
      <c r="P201">
        <v>149.4</v>
      </c>
      <c r="Q201">
        <v>140.30000000000001</v>
      </c>
      <c r="R201">
        <v>161.4</v>
      </c>
      <c r="S201">
        <v>139.6</v>
      </c>
      <c r="T201">
        <v>128.9</v>
      </c>
      <c r="U201">
        <v>137.9</v>
      </c>
      <c r="V201">
        <v>143.6</v>
      </c>
      <c r="W201">
        <v>128.1</v>
      </c>
      <c r="X201">
        <v>133.6</v>
      </c>
      <c r="Y201">
        <v>133.6</v>
      </c>
      <c r="Z201">
        <v>120.1</v>
      </c>
      <c r="AA201">
        <v>129</v>
      </c>
      <c r="AB201">
        <v>144</v>
      </c>
      <c r="AC201">
        <v>128.19999999999999</v>
      </c>
      <c r="AD201">
        <v>130.19999999999999</v>
      </c>
      <c r="AE201">
        <v>137.5</v>
      </c>
    </row>
    <row r="202" spans="1:31" x14ac:dyDescent="0.3">
      <c r="A202" t="s">
        <v>34</v>
      </c>
      <c r="B202">
        <v>2018</v>
      </c>
      <c r="C202" t="s">
        <v>40</v>
      </c>
      <c r="D202" s="3">
        <v>43282</v>
      </c>
      <c r="E202">
        <v>137.5</v>
      </c>
      <c r="F202">
        <v>149.1</v>
      </c>
      <c r="G202">
        <v>139.19999999999999</v>
      </c>
      <c r="H202">
        <v>142.5</v>
      </c>
      <c r="I202">
        <v>121.4</v>
      </c>
      <c r="J202">
        <v>151.6</v>
      </c>
      <c r="K202">
        <v>155.9</v>
      </c>
      <c r="L202">
        <v>121.7</v>
      </c>
      <c r="M202">
        <v>113.5</v>
      </c>
      <c r="N202">
        <v>138.9</v>
      </c>
      <c r="O202">
        <v>130.30000000000001</v>
      </c>
      <c r="P202">
        <v>152.30000000000001</v>
      </c>
      <c r="Q202">
        <v>141.4</v>
      </c>
      <c r="R202">
        <v>157.5</v>
      </c>
      <c r="S202">
        <v>146.80000000000001</v>
      </c>
      <c r="T202">
        <v>138.4</v>
      </c>
      <c r="U202">
        <v>145.6</v>
      </c>
      <c r="V202">
        <v>143.6</v>
      </c>
      <c r="W202">
        <v>139.69999999999999</v>
      </c>
      <c r="X202">
        <v>138.6</v>
      </c>
      <c r="Y202">
        <v>137</v>
      </c>
      <c r="Z202">
        <v>123.6</v>
      </c>
      <c r="AA202">
        <v>133.1</v>
      </c>
      <c r="AB202">
        <v>144.69999999999999</v>
      </c>
      <c r="AC202">
        <v>130.1</v>
      </c>
      <c r="AD202">
        <v>133.19999999999999</v>
      </c>
      <c r="AE202">
        <v>139.80000000000001</v>
      </c>
    </row>
    <row r="203" spans="1:31" x14ac:dyDescent="0.3">
      <c r="A203" t="s">
        <v>30</v>
      </c>
      <c r="B203">
        <v>2018</v>
      </c>
      <c r="C203" t="s">
        <v>41</v>
      </c>
      <c r="D203" s="3">
        <v>43313</v>
      </c>
      <c r="E203">
        <v>139.19999999999999</v>
      </c>
      <c r="F203">
        <v>148.80000000000001</v>
      </c>
      <c r="G203">
        <v>139.1</v>
      </c>
      <c r="H203">
        <v>143.5</v>
      </c>
      <c r="I203">
        <v>125</v>
      </c>
      <c r="J203">
        <v>154.4</v>
      </c>
      <c r="K203">
        <v>156.30000000000001</v>
      </c>
      <c r="L203">
        <v>126.8</v>
      </c>
      <c r="M203">
        <v>115.4</v>
      </c>
      <c r="N203">
        <v>138.6</v>
      </c>
      <c r="O203">
        <v>133.80000000000001</v>
      </c>
      <c r="P203">
        <v>155.19999999999999</v>
      </c>
      <c r="Q203">
        <v>142.69999999999999</v>
      </c>
      <c r="R203">
        <v>156.4</v>
      </c>
      <c r="S203">
        <v>152.1</v>
      </c>
      <c r="T203">
        <v>145.80000000000001</v>
      </c>
      <c r="U203">
        <v>151.30000000000001</v>
      </c>
      <c r="W203">
        <v>147.69999999999999</v>
      </c>
      <c r="X203">
        <v>143.80000000000001</v>
      </c>
      <c r="Y203">
        <v>139.4</v>
      </c>
      <c r="Z203">
        <v>128.30000000000001</v>
      </c>
      <c r="AA203">
        <v>138.6</v>
      </c>
      <c r="AB203">
        <v>146.9</v>
      </c>
      <c r="AC203">
        <v>131.30000000000001</v>
      </c>
      <c r="AD203">
        <v>136.6</v>
      </c>
      <c r="AE203">
        <v>142.5</v>
      </c>
    </row>
    <row r="204" spans="1:31" x14ac:dyDescent="0.3">
      <c r="A204" t="s">
        <v>33</v>
      </c>
      <c r="B204">
        <v>2018</v>
      </c>
      <c r="C204" t="s">
        <v>41</v>
      </c>
      <c r="D204" s="3">
        <v>43313</v>
      </c>
      <c r="E204">
        <v>136.5</v>
      </c>
      <c r="F204">
        <v>146.4</v>
      </c>
      <c r="G204">
        <v>136.6</v>
      </c>
      <c r="H204">
        <v>141.19999999999999</v>
      </c>
      <c r="I204">
        <v>117.4</v>
      </c>
      <c r="J204">
        <v>146.30000000000001</v>
      </c>
      <c r="K204">
        <v>157.30000000000001</v>
      </c>
      <c r="L204">
        <v>113.6</v>
      </c>
      <c r="M204">
        <v>113.3</v>
      </c>
      <c r="N204">
        <v>141.1</v>
      </c>
      <c r="O204">
        <v>127.4</v>
      </c>
      <c r="P204">
        <v>150.4</v>
      </c>
      <c r="Q204">
        <v>140.1</v>
      </c>
      <c r="R204">
        <v>162.1</v>
      </c>
      <c r="S204">
        <v>140</v>
      </c>
      <c r="T204">
        <v>129</v>
      </c>
      <c r="U204">
        <v>138.30000000000001</v>
      </c>
      <c r="V204">
        <v>144.6</v>
      </c>
      <c r="W204">
        <v>129.80000000000001</v>
      </c>
      <c r="X204">
        <v>134.4</v>
      </c>
      <c r="Y204">
        <v>134.9</v>
      </c>
      <c r="Z204">
        <v>120.7</v>
      </c>
      <c r="AA204">
        <v>129.80000000000001</v>
      </c>
      <c r="AB204">
        <v>145.30000000000001</v>
      </c>
      <c r="AC204">
        <v>128.30000000000001</v>
      </c>
      <c r="AD204">
        <v>131</v>
      </c>
      <c r="AE204">
        <v>138</v>
      </c>
    </row>
    <row r="205" spans="1:31" x14ac:dyDescent="0.3">
      <c r="A205" t="s">
        <v>34</v>
      </c>
      <c r="B205">
        <v>2018</v>
      </c>
      <c r="C205" t="s">
        <v>41</v>
      </c>
      <c r="D205" s="3">
        <v>43313</v>
      </c>
      <c r="E205">
        <v>138.30000000000001</v>
      </c>
      <c r="F205">
        <v>148</v>
      </c>
      <c r="G205">
        <v>138.1</v>
      </c>
      <c r="H205">
        <v>142.6</v>
      </c>
      <c r="I205">
        <v>122.2</v>
      </c>
      <c r="J205">
        <v>150.6</v>
      </c>
      <c r="K205">
        <v>156.6</v>
      </c>
      <c r="L205">
        <v>122.4</v>
      </c>
      <c r="M205">
        <v>114.7</v>
      </c>
      <c r="N205">
        <v>139.4</v>
      </c>
      <c r="O205">
        <v>131.1</v>
      </c>
      <c r="P205">
        <v>153</v>
      </c>
      <c r="Q205">
        <v>141.69999999999999</v>
      </c>
      <c r="R205">
        <v>157.9</v>
      </c>
      <c r="S205">
        <v>147.30000000000001</v>
      </c>
      <c r="T205">
        <v>138.80000000000001</v>
      </c>
      <c r="U205">
        <v>146.1</v>
      </c>
      <c r="V205">
        <v>144.6</v>
      </c>
      <c r="W205">
        <v>140.9</v>
      </c>
      <c r="X205">
        <v>139.4</v>
      </c>
      <c r="Y205">
        <v>137.69999999999999</v>
      </c>
      <c r="Z205">
        <v>124.3</v>
      </c>
      <c r="AA205">
        <v>133.6</v>
      </c>
      <c r="AB205">
        <v>146</v>
      </c>
      <c r="AC205">
        <v>130.1</v>
      </c>
      <c r="AD205">
        <v>133.9</v>
      </c>
      <c r="AE205">
        <v>140.4</v>
      </c>
    </row>
    <row r="206" spans="1:31" x14ac:dyDescent="0.3">
      <c r="A206" t="s">
        <v>30</v>
      </c>
      <c r="B206">
        <v>2018</v>
      </c>
      <c r="C206" t="s">
        <v>42</v>
      </c>
      <c r="D206" s="3">
        <v>43344</v>
      </c>
      <c r="E206">
        <v>139.4</v>
      </c>
      <c r="F206">
        <v>147.19999999999999</v>
      </c>
      <c r="G206">
        <v>136.6</v>
      </c>
      <c r="H206">
        <v>143.69999999999999</v>
      </c>
      <c r="I206">
        <v>124.6</v>
      </c>
      <c r="J206">
        <v>150.1</v>
      </c>
      <c r="K206">
        <v>149.4</v>
      </c>
      <c r="L206">
        <v>125.4</v>
      </c>
      <c r="M206">
        <v>114.4</v>
      </c>
      <c r="N206">
        <v>138.69999999999999</v>
      </c>
      <c r="O206">
        <v>133.1</v>
      </c>
      <c r="P206">
        <v>155.9</v>
      </c>
      <c r="Q206">
        <v>141.30000000000001</v>
      </c>
      <c r="R206">
        <v>157.69999999999999</v>
      </c>
      <c r="S206">
        <v>152.1</v>
      </c>
      <c r="T206">
        <v>146.1</v>
      </c>
      <c r="U206">
        <v>151.30000000000001</v>
      </c>
      <c r="W206">
        <v>149</v>
      </c>
      <c r="X206">
        <v>144</v>
      </c>
      <c r="Y206">
        <v>140</v>
      </c>
      <c r="Z206">
        <v>129.9</v>
      </c>
      <c r="AA206">
        <v>140</v>
      </c>
      <c r="AB206">
        <v>147.6</v>
      </c>
      <c r="AC206">
        <v>132</v>
      </c>
      <c r="AD206">
        <v>137.4</v>
      </c>
      <c r="AE206">
        <v>142.1</v>
      </c>
    </row>
    <row r="207" spans="1:31" x14ac:dyDescent="0.3">
      <c r="A207" t="s">
        <v>33</v>
      </c>
      <c r="B207">
        <v>2018</v>
      </c>
      <c r="C207" t="s">
        <v>42</v>
      </c>
      <c r="D207" s="3">
        <v>43344</v>
      </c>
      <c r="E207">
        <v>137</v>
      </c>
      <c r="F207">
        <v>143.1</v>
      </c>
      <c r="G207">
        <v>132.80000000000001</v>
      </c>
      <c r="H207">
        <v>141.5</v>
      </c>
      <c r="I207">
        <v>117.8</v>
      </c>
      <c r="J207">
        <v>140</v>
      </c>
      <c r="K207">
        <v>151.30000000000001</v>
      </c>
      <c r="L207">
        <v>113.5</v>
      </c>
      <c r="M207">
        <v>112.3</v>
      </c>
      <c r="N207">
        <v>141.19999999999999</v>
      </c>
      <c r="O207">
        <v>127.7</v>
      </c>
      <c r="P207">
        <v>151.30000000000001</v>
      </c>
      <c r="Q207">
        <v>138.9</v>
      </c>
      <c r="R207">
        <v>163.30000000000001</v>
      </c>
      <c r="S207">
        <v>140.80000000000001</v>
      </c>
      <c r="T207">
        <v>129.30000000000001</v>
      </c>
      <c r="U207">
        <v>139.1</v>
      </c>
      <c r="V207">
        <v>145.30000000000001</v>
      </c>
      <c r="W207">
        <v>131.19999999999999</v>
      </c>
      <c r="X207">
        <v>134.9</v>
      </c>
      <c r="Y207">
        <v>135.69999999999999</v>
      </c>
      <c r="Z207">
        <v>122.5</v>
      </c>
      <c r="AA207">
        <v>130.19999999999999</v>
      </c>
      <c r="AB207">
        <v>145.19999999999999</v>
      </c>
      <c r="AC207">
        <v>129.30000000000001</v>
      </c>
      <c r="AD207">
        <v>131.9</v>
      </c>
      <c r="AE207">
        <v>138.1</v>
      </c>
    </row>
    <row r="208" spans="1:31" x14ac:dyDescent="0.3">
      <c r="A208" t="s">
        <v>34</v>
      </c>
      <c r="B208">
        <v>2018</v>
      </c>
      <c r="C208" t="s">
        <v>42</v>
      </c>
      <c r="D208" s="3">
        <v>43344</v>
      </c>
      <c r="E208">
        <v>138.6</v>
      </c>
      <c r="F208">
        <v>145.80000000000001</v>
      </c>
      <c r="G208">
        <v>135.1</v>
      </c>
      <c r="H208">
        <v>142.9</v>
      </c>
      <c r="I208">
        <v>122.1</v>
      </c>
      <c r="J208">
        <v>145.4</v>
      </c>
      <c r="K208">
        <v>150</v>
      </c>
      <c r="L208">
        <v>121.4</v>
      </c>
      <c r="M208">
        <v>113.7</v>
      </c>
      <c r="N208">
        <v>139.5</v>
      </c>
      <c r="O208">
        <v>130.80000000000001</v>
      </c>
      <c r="P208">
        <v>153.80000000000001</v>
      </c>
      <c r="Q208">
        <v>140.4</v>
      </c>
      <c r="R208">
        <v>159.19999999999999</v>
      </c>
      <c r="S208">
        <v>147.69999999999999</v>
      </c>
      <c r="T208">
        <v>139.1</v>
      </c>
      <c r="U208">
        <v>146.5</v>
      </c>
      <c r="V208">
        <v>145.30000000000001</v>
      </c>
      <c r="W208">
        <v>142.30000000000001</v>
      </c>
      <c r="X208">
        <v>139.69999999999999</v>
      </c>
      <c r="Y208">
        <v>138.4</v>
      </c>
      <c r="Z208">
        <v>126</v>
      </c>
      <c r="AA208">
        <v>134.5</v>
      </c>
      <c r="AB208">
        <v>146.19999999999999</v>
      </c>
      <c r="AC208">
        <v>130.9</v>
      </c>
      <c r="AD208">
        <v>134.69999999999999</v>
      </c>
      <c r="AE208">
        <v>140.19999999999999</v>
      </c>
    </row>
    <row r="209" spans="1:31" x14ac:dyDescent="0.3">
      <c r="A209" t="s">
        <v>30</v>
      </c>
      <c r="B209">
        <v>2018</v>
      </c>
      <c r="C209" t="s">
        <v>43</v>
      </c>
      <c r="D209" s="3">
        <v>43374</v>
      </c>
      <c r="E209">
        <v>139.30000000000001</v>
      </c>
      <c r="F209">
        <v>147.6</v>
      </c>
      <c r="G209">
        <v>134.6</v>
      </c>
      <c r="H209">
        <v>141.9</v>
      </c>
      <c r="I209">
        <v>123.5</v>
      </c>
      <c r="J209">
        <v>144.5</v>
      </c>
      <c r="K209">
        <v>147.6</v>
      </c>
      <c r="L209">
        <v>121.4</v>
      </c>
      <c r="M209">
        <v>112.3</v>
      </c>
      <c r="N209">
        <v>139.5</v>
      </c>
      <c r="O209">
        <v>134.6</v>
      </c>
      <c r="P209">
        <v>155.19999999999999</v>
      </c>
      <c r="Q209">
        <v>140.19999999999999</v>
      </c>
      <c r="R209">
        <v>159.6</v>
      </c>
      <c r="S209">
        <v>150.69999999999999</v>
      </c>
      <c r="T209">
        <v>144.5</v>
      </c>
      <c r="U209">
        <v>149.80000000000001</v>
      </c>
      <c r="W209">
        <v>149.69999999999999</v>
      </c>
      <c r="X209">
        <v>147.5</v>
      </c>
      <c r="Y209">
        <v>144.80000000000001</v>
      </c>
      <c r="Z209">
        <v>130.80000000000001</v>
      </c>
      <c r="AA209">
        <v>140.1</v>
      </c>
      <c r="AB209">
        <v>148</v>
      </c>
      <c r="AC209">
        <v>134.4</v>
      </c>
      <c r="AD209">
        <v>139.80000000000001</v>
      </c>
      <c r="AE209">
        <v>142.19999999999999</v>
      </c>
    </row>
    <row r="210" spans="1:31" x14ac:dyDescent="0.3">
      <c r="A210" t="s">
        <v>33</v>
      </c>
      <c r="B210">
        <v>2018</v>
      </c>
      <c r="C210" t="s">
        <v>43</v>
      </c>
      <c r="D210" s="3">
        <v>43374</v>
      </c>
      <c r="E210">
        <v>137.6</v>
      </c>
      <c r="F210">
        <v>144.9</v>
      </c>
      <c r="G210">
        <v>133.5</v>
      </c>
      <c r="H210">
        <v>141.5</v>
      </c>
      <c r="I210">
        <v>118</v>
      </c>
      <c r="J210">
        <v>139.5</v>
      </c>
      <c r="K210">
        <v>153</v>
      </c>
      <c r="L210">
        <v>113.2</v>
      </c>
      <c r="M210">
        <v>112.8</v>
      </c>
      <c r="N210">
        <v>141.1</v>
      </c>
      <c r="O210">
        <v>127.6</v>
      </c>
      <c r="P210">
        <v>152</v>
      </c>
      <c r="Q210">
        <v>139.4</v>
      </c>
      <c r="R210">
        <v>164</v>
      </c>
      <c r="S210">
        <v>141.5</v>
      </c>
      <c r="T210">
        <v>129.80000000000001</v>
      </c>
      <c r="U210">
        <v>139.69999999999999</v>
      </c>
      <c r="V210">
        <v>146.30000000000001</v>
      </c>
      <c r="W210">
        <v>133.4</v>
      </c>
      <c r="X210">
        <v>135.1</v>
      </c>
      <c r="Y210">
        <v>136.19999999999999</v>
      </c>
      <c r="Z210">
        <v>123.3</v>
      </c>
      <c r="AA210">
        <v>130.69999999999999</v>
      </c>
      <c r="AB210">
        <v>145.5</v>
      </c>
      <c r="AC210">
        <v>130.4</v>
      </c>
      <c r="AD210">
        <v>132.5</v>
      </c>
      <c r="AE210">
        <v>138.9</v>
      </c>
    </row>
    <row r="211" spans="1:31" x14ac:dyDescent="0.3">
      <c r="A211" t="s">
        <v>34</v>
      </c>
      <c r="B211">
        <v>2018</v>
      </c>
      <c r="C211" t="s">
        <v>43</v>
      </c>
      <c r="D211" s="3">
        <v>43374</v>
      </c>
      <c r="E211">
        <v>137.4</v>
      </c>
      <c r="F211">
        <v>149.5</v>
      </c>
      <c r="G211">
        <v>137.30000000000001</v>
      </c>
      <c r="H211">
        <v>141.9</v>
      </c>
      <c r="I211">
        <v>121.1</v>
      </c>
      <c r="J211">
        <v>142.5</v>
      </c>
      <c r="K211">
        <v>146.69999999999999</v>
      </c>
      <c r="L211">
        <v>119.1</v>
      </c>
      <c r="M211">
        <v>111.9</v>
      </c>
      <c r="N211">
        <v>141</v>
      </c>
      <c r="O211">
        <v>133.6</v>
      </c>
      <c r="P211">
        <v>154.5</v>
      </c>
      <c r="Q211">
        <v>139.69999999999999</v>
      </c>
      <c r="R211">
        <v>162.6</v>
      </c>
      <c r="S211">
        <v>148</v>
      </c>
      <c r="T211">
        <v>139.19999999999999</v>
      </c>
      <c r="U211">
        <v>146.80000000000001</v>
      </c>
      <c r="V211">
        <v>146.9</v>
      </c>
      <c r="W211">
        <v>145.30000000000001</v>
      </c>
      <c r="X211">
        <v>142.19999999999999</v>
      </c>
      <c r="Y211">
        <v>142.1</v>
      </c>
      <c r="Z211">
        <v>125.5</v>
      </c>
      <c r="AA211">
        <v>136.5</v>
      </c>
      <c r="AB211">
        <v>147.80000000000001</v>
      </c>
      <c r="AC211">
        <v>132</v>
      </c>
      <c r="AD211">
        <v>136.30000000000001</v>
      </c>
      <c r="AE211">
        <v>140.80000000000001</v>
      </c>
    </row>
    <row r="212" spans="1:31" x14ac:dyDescent="0.3">
      <c r="A212" t="s">
        <v>30</v>
      </c>
      <c r="B212">
        <v>2018</v>
      </c>
      <c r="C212" t="s">
        <v>45</v>
      </c>
      <c r="D212" s="3">
        <v>43405</v>
      </c>
      <c r="E212">
        <v>137.1</v>
      </c>
      <c r="F212">
        <v>150.80000000000001</v>
      </c>
      <c r="G212">
        <v>136.69999999999999</v>
      </c>
      <c r="H212">
        <v>141.9</v>
      </c>
      <c r="I212">
        <v>122.8</v>
      </c>
      <c r="J212">
        <v>143.9</v>
      </c>
      <c r="K212">
        <v>147.5</v>
      </c>
      <c r="L212">
        <v>121</v>
      </c>
      <c r="M212">
        <v>111.6</v>
      </c>
      <c r="N212">
        <v>140.6</v>
      </c>
      <c r="O212">
        <v>137.5</v>
      </c>
      <c r="P212">
        <v>156.1</v>
      </c>
      <c r="Q212">
        <v>140</v>
      </c>
      <c r="R212">
        <v>161.9</v>
      </c>
      <c r="S212">
        <v>151.69999999999999</v>
      </c>
      <c r="T212">
        <v>145.5</v>
      </c>
      <c r="U212">
        <v>150.80000000000001</v>
      </c>
      <c r="W212">
        <v>150.30000000000001</v>
      </c>
      <c r="X212">
        <v>148</v>
      </c>
      <c r="Y212">
        <v>145.4</v>
      </c>
      <c r="Z212">
        <v>130.30000000000001</v>
      </c>
      <c r="AA212">
        <v>143.1</v>
      </c>
      <c r="AB212">
        <v>150.19999999999999</v>
      </c>
      <c r="AC212">
        <v>133.1</v>
      </c>
      <c r="AD212">
        <v>140.1</v>
      </c>
      <c r="AE212">
        <v>142.4</v>
      </c>
    </row>
    <row r="213" spans="1:31" x14ac:dyDescent="0.3">
      <c r="A213" t="s">
        <v>33</v>
      </c>
      <c r="B213">
        <v>2018</v>
      </c>
      <c r="C213" t="s">
        <v>45</v>
      </c>
      <c r="D213" s="3">
        <v>43405</v>
      </c>
      <c r="E213">
        <v>138.1</v>
      </c>
      <c r="F213">
        <v>146.30000000000001</v>
      </c>
      <c r="G213">
        <v>137.80000000000001</v>
      </c>
      <c r="H213">
        <v>141.6</v>
      </c>
      <c r="I213">
        <v>118.1</v>
      </c>
      <c r="J213">
        <v>141.5</v>
      </c>
      <c r="K213">
        <v>145.19999999999999</v>
      </c>
      <c r="L213">
        <v>115.3</v>
      </c>
      <c r="M213">
        <v>112.5</v>
      </c>
      <c r="N213">
        <v>141.4</v>
      </c>
      <c r="O213">
        <v>128</v>
      </c>
      <c r="P213">
        <v>152.6</v>
      </c>
      <c r="Q213">
        <v>139.1</v>
      </c>
      <c r="R213">
        <v>164.4</v>
      </c>
      <c r="S213">
        <v>142.4</v>
      </c>
      <c r="T213">
        <v>130.19999999999999</v>
      </c>
      <c r="U213">
        <v>140.5</v>
      </c>
      <c r="V213">
        <v>146.9</v>
      </c>
      <c r="W213">
        <v>136.69999999999999</v>
      </c>
      <c r="X213">
        <v>135.80000000000001</v>
      </c>
      <c r="Y213">
        <v>136.80000000000001</v>
      </c>
      <c r="Z213">
        <v>121.2</v>
      </c>
      <c r="AA213">
        <v>131.30000000000001</v>
      </c>
      <c r="AB213">
        <v>146.1</v>
      </c>
      <c r="AC213">
        <v>130.5</v>
      </c>
      <c r="AD213">
        <v>132.19999999999999</v>
      </c>
      <c r="AE213">
        <v>139</v>
      </c>
    </row>
    <row r="214" spans="1:31" x14ac:dyDescent="0.3">
      <c r="A214" t="s">
        <v>34</v>
      </c>
      <c r="B214">
        <v>2018</v>
      </c>
      <c r="C214" t="s">
        <v>45</v>
      </c>
      <c r="D214" s="3">
        <v>43405</v>
      </c>
      <c r="E214">
        <v>137.4</v>
      </c>
      <c r="F214">
        <v>149.19999999999999</v>
      </c>
      <c r="G214">
        <v>137.1</v>
      </c>
      <c r="H214">
        <v>141.80000000000001</v>
      </c>
      <c r="I214">
        <v>121.1</v>
      </c>
      <c r="J214">
        <v>142.80000000000001</v>
      </c>
      <c r="K214">
        <v>146.69999999999999</v>
      </c>
      <c r="L214">
        <v>119.1</v>
      </c>
      <c r="M214">
        <v>111.9</v>
      </c>
      <c r="N214">
        <v>140.9</v>
      </c>
      <c r="O214">
        <v>133.5</v>
      </c>
      <c r="P214">
        <v>154.5</v>
      </c>
      <c r="Q214">
        <v>139.69999999999999</v>
      </c>
      <c r="R214">
        <v>162.6</v>
      </c>
      <c r="S214">
        <v>148</v>
      </c>
      <c r="T214">
        <v>139.1</v>
      </c>
      <c r="U214">
        <v>146.69999999999999</v>
      </c>
      <c r="V214">
        <v>146.9</v>
      </c>
      <c r="W214">
        <v>145.1</v>
      </c>
      <c r="X214">
        <v>142.19999999999999</v>
      </c>
      <c r="Y214">
        <v>142.1</v>
      </c>
      <c r="Z214">
        <v>125.5</v>
      </c>
      <c r="AA214">
        <v>136.5</v>
      </c>
      <c r="AB214">
        <v>147.80000000000001</v>
      </c>
      <c r="AC214">
        <v>132</v>
      </c>
      <c r="AD214">
        <v>136.30000000000001</v>
      </c>
      <c r="AE214">
        <v>140.80000000000001</v>
      </c>
    </row>
    <row r="215" spans="1:31" x14ac:dyDescent="0.3">
      <c r="A215" t="s">
        <v>30</v>
      </c>
      <c r="B215">
        <v>2018</v>
      </c>
      <c r="C215" t="s">
        <v>46</v>
      </c>
      <c r="D215" s="3">
        <v>43435</v>
      </c>
      <c r="E215">
        <v>137.1</v>
      </c>
      <c r="F215">
        <v>151.9</v>
      </c>
      <c r="G215">
        <v>137.4</v>
      </c>
      <c r="H215">
        <v>142.4</v>
      </c>
      <c r="I215">
        <v>124.2</v>
      </c>
      <c r="J215">
        <v>140.19999999999999</v>
      </c>
      <c r="K215">
        <v>136.6</v>
      </c>
      <c r="L215">
        <v>120.9</v>
      </c>
      <c r="M215">
        <v>109.9</v>
      </c>
      <c r="N215">
        <v>140.19999999999999</v>
      </c>
      <c r="O215">
        <v>137.80000000000001</v>
      </c>
      <c r="P215">
        <v>156</v>
      </c>
      <c r="Q215">
        <v>138.5</v>
      </c>
      <c r="R215">
        <v>162.4</v>
      </c>
      <c r="S215">
        <v>151.6</v>
      </c>
      <c r="T215">
        <v>145.9</v>
      </c>
      <c r="U215">
        <v>150.80000000000001</v>
      </c>
      <c r="W215">
        <v>149</v>
      </c>
      <c r="X215">
        <v>149.5</v>
      </c>
      <c r="Y215">
        <v>149.6</v>
      </c>
      <c r="Z215">
        <v>128.9</v>
      </c>
      <c r="AA215">
        <v>143.30000000000001</v>
      </c>
      <c r="AB215">
        <v>155.1</v>
      </c>
      <c r="AC215">
        <v>133.19999999999999</v>
      </c>
      <c r="AD215">
        <v>141.6</v>
      </c>
      <c r="AE215">
        <v>141.9</v>
      </c>
    </row>
    <row r="216" spans="1:31" x14ac:dyDescent="0.3">
      <c r="A216" t="s">
        <v>33</v>
      </c>
      <c r="B216">
        <v>2018</v>
      </c>
      <c r="C216" t="s">
        <v>46</v>
      </c>
      <c r="D216" s="3">
        <v>43435</v>
      </c>
      <c r="E216">
        <v>138.5</v>
      </c>
      <c r="F216">
        <v>147.80000000000001</v>
      </c>
      <c r="G216">
        <v>141.1</v>
      </c>
      <c r="H216">
        <v>141.6</v>
      </c>
      <c r="I216">
        <v>118.1</v>
      </c>
      <c r="J216">
        <v>138.5</v>
      </c>
      <c r="K216">
        <v>132.4</v>
      </c>
      <c r="L216">
        <v>117.5</v>
      </c>
      <c r="M216">
        <v>111</v>
      </c>
      <c r="N216">
        <v>141.5</v>
      </c>
      <c r="O216">
        <v>128.1</v>
      </c>
      <c r="P216">
        <v>152.9</v>
      </c>
      <c r="Q216">
        <v>137.6</v>
      </c>
      <c r="R216">
        <v>164.6</v>
      </c>
      <c r="S216">
        <v>142.69999999999999</v>
      </c>
      <c r="T216">
        <v>130.30000000000001</v>
      </c>
      <c r="U216">
        <v>140.80000000000001</v>
      </c>
      <c r="V216">
        <v>146.5</v>
      </c>
      <c r="W216">
        <v>132.4</v>
      </c>
      <c r="X216">
        <v>136.19999999999999</v>
      </c>
      <c r="Y216">
        <v>137.30000000000001</v>
      </c>
      <c r="Z216">
        <v>118.8</v>
      </c>
      <c r="AA216">
        <v>131.69999999999999</v>
      </c>
      <c r="AB216">
        <v>146.5</v>
      </c>
      <c r="AC216">
        <v>130.80000000000001</v>
      </c>
      <c r="AD216">
        <v>131.69999999999999</v>
      </c>
      <c r="AE216">
        <v>138</v>
      </c>
    </row>
    <row r="217" spans="1:31" x14ac:dyDescent="0.3">
      <c r="A217" t="s">
        <v>34</v>
      </c>
      <c r="B217">
        <v>2018</v>
      </c>
      <c r="C217" t="s">
        <v>46</v>
      </c>
      <c r="D217" s="3">
        <v>43435</v>
      </c>
      <c r="E217">
        <v>137.5</v>
      </c>
      <c r="F217">
        <v>150.5</v>
      </c>
      <c r="G217">
        <v>138.80000000000001</v>
      </c>
      <c r="H217">
        <v>142.1</v>
      </c>
      <c r="I217">
        <v>122</v>
      </c>
      <c r="J217">
        <v>139.4</v>
      </c>
      <c r="K217">
        <v>135.19999999999999</v>
      </c>
      <c r="L217">
        <v>119.8</v>
      </c>
      <c r="M217">
        <v>110.3</v>
      </c>
      <c r="N217">
        <v>140.6</v>
      </c>
      <c r="O217">
        <v>133.80000000000001</v>
      </c>
      <c r="P217">
        <v>154.6</v>
      </c>
      <c r="Q217">
        <v>138.19999999999999</v>
      </c>
      <c r="R217">
        <v>163</v>
      </c>
      <c r="S217">
        <v>148.1</v>
      </c>
      <c r="T217">
        <v>139.4</v>
      </c>
      <c r="U217">
        <v>146.80000000000001</v>
      </c>
      <c r="V217">
        <v>146.5</v>
      </c>
      <c r="W217">
        <v>142.69999999999999</v>
      </c>
      <c r="X217">
        <v>143.19999999999999</v>
      </c>
      <c r="Y217">
        <v>144.9</v>
      </c>
      <c r="Z217">
        <v>123.6</v>
      </c>
      <c r="AA217">
        <v>136.80000000000001</v>
      </c>
      <c r="AB217">
        <v>150.1</v>
      </c>
      <c r="AC217">
        <v>132.19999999999999</v>
      </c>
      <c r="AD217">
        <v>136.80000000000001</v>
      </c>
      <c r="AE217">
        <v>140.1</v>
      </c>
    </row>
    <row r="218" spans="1:31" x14ac:dyDescent="0.3">
      <c r="A218" t="s">
        <v>30</v>
      </c>
      <c r="B218">
        <v>2019</v>
      </c>
      <c r="C218" t="s">
        <v>31</v>
      </c>
      <c r="D218" s="3">
        <v>43466</v>
      </c>
      <c r="E218">
        <v>136.6</v>
      </c>
      <c r="F218">
        <v>152.5</v>
      </c>
      <c r="G218">
        <v>138.19999999999999</v>
      </c>
      <c r="H218">
        <v>142.4</v>
      </c>
      <c r="I218">
        <v>123.9</v>
      </c>
      <c r="J218">
        <v>135.5</v>
      </c>
      <c r="K218">
        <v>131.69999999999999</v>
      </c>
      <c r="L218">
        <v>121.3</v>
      </c>
      <c r="M218">
        <v>108.4</v>
      </c>
      <c r="N218">
        <v>138.9</v>
      </c>
      <c r="O218">
        <v>137</v>
      </c>
      <c r="P218">
        <v>155.80000000000001</v>
      </c>
      <c r="Q218">
        <v>137.4</v>
      </c>
      <c r="R218">
        <v>162.69999999999999</v>
      </c>
      <c r="S218">
        <v>150.6</v>
      </c>
      <c r="T218">
        <v>145.1</v>
      </c>
      <c r="U218">
        <v>149.9</v>
      </c>
      <c r="W218">
        <v>146.19999999999999</v>
      </c>
      <c r="X218">
        <v>150.1</v>
      </c>
      <c r="Y218">
        <v>149.6</v>
      </c>
      <c r="Z218">
        <v>128.6</v>
      </c>
      <c r="AA218">
        <v>142.9</v>
      </c>
      <c r="AB218">
        <v>155.19999999999999</v>
      </c>
      <c r="AC218">
        <v>133.5</v>
      </c>
      <c r="AD218">
        <v>141.69999999999999</v>
      </c>
      <c r="AE218">
        <v>141</v>
      </c>
    </row>
    <row r="219" spans="1:31" x14ac:dyDescent="0.3">
      <c r="A219" t="s">
        <v>33</v>
      </c>
      <c r="B219">
        <v>2019</v>
      </c>
      <c r="C219" t="s">
        <v>31</v>
      </c>
      <c r="D219" s="3">
        <v>43466</v>
      </c>
      <c r="E219">
        <v>138.30000000000001</v>
      </c>
      <c r="F219">
        <v>149.4</v>
      </c>
      <c r="G219">
        <v>143.5</v>
      </c>
      <c r="H219">
        <v>141.69999999999999</v>
      </c>
      <c r="I219">
        <v>118.1</v>
      </c>
      <c r="J219">
        <v>135.19999999999999</v>
      </c>
      <c r="K219">
        <v>130.5</v>
      </c>
      <c r="L219">
        <v>118.2</v>
      </c>
      <c r="M219">
        <v>110.4</v>
      </c>
      <c r="N219">
        <v>140.4</v>
      </c>
      <c r="O219">
        <v>128.1</v>
      </c>
      <c r="P219">
        <v>153.19999999999999</v>
      </c>
      <c r="Q219">
        <v>137.30000000000001</v>
      </c>
      <c r="R219">
        <v>164.7</v>
      </c>
      <c r="S219">
        <v>143</v>
      </c>
      <c r="T219">
        <v>130.4</v>
      </c>
      <c r="U219">
        <v>141.1</v>
      </c>
      <c r="V219">
        <v>147.69999999999999</v>
      </c>
      <c r="W219">
        <v>128.6</v>
      </c>
      <c r="X219">
        <v>136.30000000000001</v>
      </c>
      <c r="Y219">
        <v>137.80000000000001</v>
      </c>
      <c r="Z219">
        <v>118.6</v>
      </c>
      <c r="AA219">
        <v>131.9</v>
      </c>
      <c r="AB219">
        <v>146.6</v>
      </c>
      <c r="AC219">
        <v>131.69999999999999</v>
      </c>
      <c r="AD219">
        <v>131.80000000000001</v>
      </c>
      <c r="AE219">
        <v>138</v>
      </c>
    </row>
    <row r="220" spans="1:31" x14ac:dyDescent="0.3">
      <c r="A220" t="s">
        <v>34</v>
      </c>
      <c r="B220">
        <v>2019</v>
      </c>
      <c r="C220" t="s">
        <v>31</v>
      </c>
      <c r="D220" s="3">
        <v>43466</v>
      </c>
      <c r="E220">
        <v>137.1</v>
      </c>
      <c r="F220">
        <v>151.4</v>
      </c>
      <c r="G220">
        <v>140.19999999999999</v>
      </c>
      <c r="H220">
        <v>142.1</v>
      </c>
      <c r="I220">
        <v>121.8</v>
      </c>
      <c r="J220">
        <v>135.4</v>
      </c>
      <c r="K220">
        <v>131.30000000000001</v>
      </c>
      <c r="L220">
        <v>120.3</v>
      </c>
      <c r="M220">
        <v>109.1</v>
      </c>
      <c r="N220">
        <v>139.4</v>
      </c>
      <c r="O220">
        <v>133.30000000000001</v>
      </c>
      <c r="P220">
        <v>154.6</v>
      </c>
      <c r="Q220">
        <v>137.4</v>
      </c>
      <c r="R220">
        <v>163.19999999999999</v>
      </c>
      <c r="S220">
        <v>147.6</v>
      </c>
      <c r="T220">
        <v>139</v>
      </c>
      <c r="U220">
        <v>146.4</v>
      </c>
      <c r="V220">
        <v>147.69999999999999</v>
      </c>
      <c r="W220">
        <v>139.5</v>
      </c>
      <c r="X220">
        <v>143.6</v>
      </c>
      <c r="Y220">
        <v>145.1</v>
      </c>
      <c r="Z220">
        <v>123.3</v>
      </c>
      <c r="AA220">
        <v>136.69999999999999</v>
      </c>
      <c r="AB220">
        <v>150.19999999999999</v>
      </c>
      <c r="AC220">
        <v>132.80000000000001</v>
      </c>
      <c r="AD220">
        <v>136.9</v>
      </c>
      <c r="AE220">
        <v>139.6</v>
      </c>
    </row>
    <row r="221" spans="1:31" x14ac:dyDescent="0.3">
      <c r="A221" t="s">
        <v>30</v>
      </c>
      <c r="B221">
        <v>2019</v>
      </c>
      <c r="C221" t="s">
        <v>35</v>
      </c>
      <c r="D221" s="3">
        <v>43497</v>
      </c>
      <c r="E221">
        <v>136.80000000000001</v>
      </c>
      <c r="F221">
        <v>153</v>
      </c>
      <c r="G221">
        <v>139.1</v>
      </c>
      <c r="H221">
        <v>142.5</v>
      </c>
      <c r="I221">
        <v>124.1</v>
      </c>
      <c r="J221">
        <v>135.80000000000001</v>
      </c>
      <c r="K221">
        <v>128.69999999999999</v>
      </c>
      <c r="L221">
        <v>121.5</v>
      </c>
      <c r="M221">
        <v>108.3</v>
      </c>
      <c r="N221">
        <v>139.19999999999999</v>
      </c>
      <c r="O221">
        <v>137.4</v>
      </c>
      <c r="P221">
        <v>156.19999999999999</v>
      </c>
      <c r="Q221">
        <v>137.19999999999999</v>
      </c>
      <c r="R221">
        <v>162.80000000000001</v>
      </c>
      <c r="S221">
        <v>150.5</v>
      </c>
      <c r="T221">
        <v>146.1</v>
      </c>
      <c r="U221">
        <v>149.9</v>
      </c>
      <c r="W221">
        <v>145.30000000000001</v>
      </c>
      <c r="X221">
        <v>150.1</v>
      </c>
      <c r="Y221">
        <v>149.9</v>
      </c>
      <c r="Z221">
        <v>129.19999999999999</v>
      </c>
      <c r="AA221">
        <v>143.4</v>
      </c>
      <c r="AB221">
        <v>155.5</v>
      </c>
      <c r="AC221">
        <v>134.9</v>
      </c>
      <c r="AD221">
        <v>142.19999999999999</v>
      </c>
      <c r="AE221">
        <v>141</v>
      </c>
    </row>
    <row r="222" spans="1:31" x14ac:dyDescent="0.3">
      <c r="A222" t="s">
        <v>33</v>
      </c>
      <c r="B222">
        <v>2019</v>
      </c>
      <c r="C222" t="s">
        <v>35</v>
      </c>
      <c r="D222" s="3">
        <v>43497</v>
      </c>
      <c r="E222">
        <v>139.4</v>
      </c>
      <c r="F222">
        <v>150.1</v>
      </c>
      <c r="G222">
        <v>145.30000000000001</v>
      </c>
      <c r="H222">
        <v>141.69999999999999</v>
      </c>
      <c r="I222">
        <v>118.4</v>
      </c>
      <c r="J222">
        <v>137</v>
      </c>
      <c r="K222">
        <v>131.6</v>
      </c>
      <c r="L222">
        <v>119.9</v>
      </c>
      <c r="M222">
        <v>110.4</v>
      </c>
      <c r="N222">
        <v>140.80000000000001</v>
      </c>
      <c r="O222">
        <v>128.30000000000001</v>
      </c>
      <c r="P222">
        <v>153.5</v>
      </c>
      <c r="Q222">
        <v>138</v>
      </c>
      <c r="R222">
        <v>164.9</v>
      </c>
      <c r="S222">
        <v>143.30000000000001</v>
      </c>
      <c r="T222">
        <v>130.80000000000001</v>
      </c>
      <c r="U222">
        <v>141.4</v>
      </c>
      <c r="V222">
        <v>148.5</v>
      </c>
      <c r="W222">
        <v>127.1</v>
      </c>
      <c r="X222">
        <v>136.6</v>
      </c>
      <c r="Y222">
        <v>138.5</v>
      </c>
      <c r="Z222">
        <v>119.2</v>
      </c>
      <c r="AA222">
        <v>132.19999999999999</v>
      </c>
      <c r="AB222">
        <v>146.6</v>
      </c>
      <c r="AC222">
        <v>133</v>
      </c>
      <c r="AD222">
        <v>132.4</v>
      </c>
      <c r="AE222">
        <v>138.6</v>
      </c>
    </row>
    <row r="223" spans="1:31" x14ac:dyDescent="0.3">
      <c r="A223" t="s">
        <v>34</v>
      </c>
      <c r="B223">
        <v>2019</v>
      </c>
      <c r="C223" t="s">
        <v>35</v>
      </c>
      <c r="D223" s="3">
        <v>43497</v>
      </c>
      <c r="E223">
        <v>137.6</v>
      </c>
      <c r="F223">
        <v>152</v>
      </c>
      <c r="G223">
        <v>141.5</v>
      </c>
      <c r="H223">
        <v>142.19999999999999</v>
      </c>
      <c r="I223">
        <v>122</v>
      </c>
      <c r="J223">
        <v>136.4</v>
      </c>
      <c r="K223">
        <v>129.69999999999999</v>
      </c>
      <c r="L223">
        <v>121</v>
      </c>
      <c r="M223">
        <v>109</v>
      </c>
      <c r="N223">
        <v>139.69999999999999</v>
      </c>
      <c r="O223">
        <v>133.6</v>
      </c>
      <c r="P223">
        <v>154.9</v>
      </c>
      <c r="Q223">
        <v>137.5</v>
      </c>
      <c r="R223">
        <v>163.4</v>
      </c>
      <c r="S223">
        <v>147.69999999999999</v>
      </c>
      <c r="T223">
        <v>139.69999999999999</v>
      </c>
      <c r="U223">
        <v>146.5</v>
      </c>
      <c r="V223">
        <v>148.5</v>
      </c>
      <c r="W223">
        <v>138.4</v>
      </c>
      <c r="X223">
        <v>143.69999999999999</v>
      </c>
      <c r="Y223">
        <v>145.6</v>
      </c>
      <c r="Z223">
        <v>123.9</v>
      </c>
      <c r="AA223">
        <v>137.1</v>
      </c>
      <c r="AB223">
        <v>150.30000000000001</v>
      </c>
      <c r="AC223">
        <v>134.1</v>
      </c>
      <c r="AD223">
        <v>137.4</v>
      </c>
      <c r="AE223">
        <v>139.9</v>
      </c>
    </row>
    <row r="224" spans="1:31" x14ac:dyDescent="0.3">
      <c r="A224" t="s">
        <v>30</v>
      </c>
      <c r="B224">
        <v>2019</v>
      </c>
      <c r="C224" t="s">
        <v>36</v>
      </c>
      <c r="D224" s="3">
        <v>43525</v>
      </c>
      <c r="E224">
        <v>136.9</v>
      </c>
      <c r="F224">
        <v>154.1</v>
      </c>
      <c r="G224">
        <v>138.69999999999999</v>
      </c>
      <c r="H224">
        <v>142.5</v>
      </c>
      <c r="I224">
        <v>124.1</v>
      </c>
      <c r="J224">
        <v>136.1</v>
      </c>
      <c r="K224">
        <v>128.19999999999999</v>
      </c>
      <c r="L224">
        <v>122.3</v>
      </c>
      <c r="M224">
        <v>108.3</v>
      </c>
      <c r="N224">
        <v>138.9</v>
      </c>
      <c r="O224">
        <v>137.4</v>
      </c>
      <c r="P224">
        <v>156.4</v>
      </c>
      <c r="Q224">
        <v>137.30000000000001</v>
      </c>
      <c r="R224">
        <v>162.9</v>
      </c>
      <c r="S224">
        <v>150.80000000000001</v>
      </c>
      <c r="T224">
        <v>146.1</v>
      </c>
      <c r="U224">
        <v>150.1</v>
      </c>
      <c r="W224">
        <v>146.4</v>
      </c>
      <c r="X224">
        <v>150</v>
      </c>
      <c r="Y224">
        <v>150.4</v>
      </c>
      <c r="Z224">
        <v>129.9</v>
      </c>
      <c r="AA224">
        <v>143.80000000000001</v>
      </c>
      <c r="AB224">
        <v>155.5</v>
      </c>
      <c r="AC224">
        <v>134</v>
      </c>
      <c r="AD224">
        <v>142.4</v>
      </c>
      <c r="AE224">
        <v>141.19999999999999</v>
      </c>
    </row>
    <row r="225" spans="1:31" x14ac:dyDescent="0.3">
      <c r="A225" t="s">
        <v>33</v>
      </c>
      <c r="B225">
        <v>2019</v>
      </c>
      <c r="C225" t="s">
        <v>36</v>
      </c>
      <c r="D225" s="3">
        <v>43525</v>
      </c>
      <c r="E225">
        <v>139.69999999999999</v>
      </c>
      <c r="F225">
        <v>151.1</v>
      </c>
      <c r="G225">
        <v>142.9</v>
      </c>
      <c r="H225">
        <v>141.9</v>
      </c>
      <c r="I225">
        <v>118.4</v>
      </c>
      <c r="J225">
        <v>139.4</v>
      </c>
      <c r="K225">
        <v>141.19999999999999</v>
      </c>
      <c r="L225">
        <v>120.7</v>
      </c>
      <c r="M225">
        <v>110.4</v>
      </c>
      <c r="N225">
        <v>140.69999999999999</v>
      </c>
      <c r="O225">
        <v>128.5</v>
      </c>
      <c r="P225">
        <v>153.9</v>
      </c>
      <c r="Q225">
        <v>139.6</v>
      </c>
      <c r="R225">
        <v>165.3</v>
      </c>
      <c r="S225">
        <v>143.5</v>
      </c>
      <c r="T225">
        <v>131.19999999999999</v>
      </c>
      <c r="U225">
        <v>141.6</v>
      </c>
      <c r="V225">
        <v>149</v>
      </c>
      <c r="W225">
        <v>128.80000000000001</v>
      </c>
      <c r="X225">
        <v>136.80000000000001</v>
      </c>
      <c r="Y225">
        <v>139.19999999999999</v>
      </c>
      <c r="Z225">
        <v>119.9</v>
      </c>
      <c r="AA225">
        <v>133</v>
      </c>
      <c r="AB225">
        <v>146.69999999999999</v>
      </c>
      <c r="AC225">
        <v>132.5</v>
      </c>
      <c r="AD225">
        <v>132.80000000000001</v>
      </c>
      <c r="AE225">
        <v>139.5</v>
      </c>
    </row>
    <row r="226" spans="1:31" x14ac:dyDescent="0.3">
      <c r="A226" t="s">
        <v>34</v>
      </c>
      <c r="B226">
        <v>2019</v>
      </c>
      <c r="C226" t="s">
        <v>36</v>
      </c>
      <c r="D226" s="3">
        <v>43525</v>
      </c>
      <c r="E226">
        <v>137.80000000000001</v>
      </c>
      <c r="F226">
        <v>153</v>
      </c>
      <c r="G226">
        <v>140.30000000000001</v>
      </c>
      <c r="H226">
        <v>142.30000000000001</v>
      </c>
      <c r="I226">
        <v>122</v>
      </c>
      <c r="J226">
        <v>137.6</v>
      </c>
      <c r="K226">
        <v>132.6</v>
      </c>
      <c r="L226">
        <v>121.8</v>
      </c>
      <c r="M226">
        <v>109</v>
      </c>
      <c r="N226">
        <v>139.5</v>
      </c>
      <c r="O226">
        <v>133.69999999999999</v>
      </c>
      <c r="P226">
        <v>155.19999999999999</v>
      </c>
      <c r="Q226">
        <v>138.1</v>
      </c>
      <c r="R226">
        <v>163.5</v>
      </c>
      <c r="S226">
        <v>147.9</v>
      </c>
      <c r="T226">
        <v>139.9</v>
      </c>
      <c r="U226">
        <v>146.69999999999999</v>
      </c>
      <c r="V226">
        <v>149</v>
      </c>
      <c r="W226">
        <v>139.69999999999999</v>
      </c>
      <c r="X226">
        <v>143.80000000000001</v>
      </c>
      <c r="Y226">
        <v>146.19999999999999</v>
      </c>
      <c r="Z226">
        <v>124.6</v>
      </c>
      <c r="AA226">
        <v>137.69999999999999</v>
      </c>
      <c r="AB226">
        <v>150.30000000000001</v>
      </c>
      <c r="AC226">
        <v>133.4</v>
      </c>
      <c r="AD226">
        <v>137.69999999999999</v>
      </c>
      <c r="AE226">
        <v>140.4</v>
      </c>
    </row>
    <row r="227" spans="1:31" x14ac:dyDescent="0.3">
      <c r="A227" t="s">
        <v>30</v>
      </c>
      <c r="B227">
        <v>2019</v>
      </c>
      <c r="C227" t="s">
        <v>37</v>
      </c>
      <c r="D227" s="3">
        <v>43556</v>
      </c>
      <c r="E227" s="7">
        <v>137.1</v>
      </c>
      <c r="F227" s="7">
        <v>156.19999999999999</v>
      </c>
      <c r="G227" s="7">
        <v>134.69999999999999</v>
      </c>
      <c r="H227" s="7">
        <v>142.4</v>
      </c>
      <c r="I227" s="7">
        <v>124</v>
      </c>
      <c r="J227" s="7">
        <v>143.69999999999999</v>
      </c>
      <c r="K227" s="7">
        <v>129.30000000000001</v>
      </c>
      <c r="L227" s="7">
        <v>122.8</v>
      </c>
      <c r="M227" s="7">
        <v>108.4</v>
      </c>
      <c r="N227" s="7">
        <v>138.69999999999999</v>
      </c>
      <c r="O227" s="7">
        <v>137.5</v>
      </c>
      <c r="P227" s="7">
        <v>156.30000000000001</v>
      </c>
      <c r="Q227" s="7">
        <v>138</v>
      </c>
      <c r="R227" s="7">
        <v>162.9</v>
      </c>
      <c r="S227" s="7">
        <v>150.80000000000001</v>
      </c>
      <c r="T227" s="7">
        <v>146.19999999999999</v>
      </c>
      <c r="U227" s="7">
        <v>150.19999999999999</v>
      </c>
      <c r="V227" s="7"/>
      <c r="W227" s="7">
        <v>146.6</v>
      </c>
      <c r="X227" s="7">
        <v>149.4</v>
      </c>
      <c r="Y227" s="7">
        <v>151</v>
      </c>
      <c r="Z227" s="7">
        <v>130.19999999999999</v>
      </c>
      <c r="AA227" s="7">
        <v>144.9</v>
      </c>
      <c r="AB227" s="7">
        <v>156.30000000000001</v>
      </c>
      <c r="AC227" s="7">
        <v>133.69999999999999</v>
      </c>
      <c r="AD227" s="7">
        <v>142.6</v>
      </c>
      <c r="AE227" s="7">
        <v>141.69999999999999</v>
      </c>
    </row>
    <row r="228" spans="1:31" x14ac:dyDescent="0.3">
      <c r="A228" t="s">
        <v>33</v>
      </c>
      <c r="B228">
        <v>2019</v>
      </c>
      <c r="C228" t="s">
        <v>37</v>
      </c>
      <c r="D228" s="3">
        <v>43556</v>
      </c>
      <c r="E228" s="7">
        <v>140.1</v>
      </c>
      <c r="F228" s="7">
        <v>153.6</v>
      </c>
      <c r="G228" s="7">
        <v>139.4</v>
      </c>
      <c r="H228" s="7">
        <v>141.9</v>
      </c>
      <c r="I228" s="7">
        <v>118.4</v>
      </c>
      <c r="J228" s="7">
        <v>148.6</v>
      </c>
      <c r="K228" s="7">
        <v>150.1</v>
      </c>
      <c r="L228" s="7">
        <v>121.7</v>
      </c>
      <c r="M228" s="7">
        <v>110.4</v>
      </c>
      <c r="N228" s="7">
        <v>140.4</v>
      </c>
      <c r="O228" s="7">
        <v>128.69999999999999</v>
      </c>
      <c r="P228" s="7">
        <v>154.19999999999999</v>
      </c>
      <c r="Q228" s="7">
        <v>141.69999999999999</v>
      </c>
      <c r="R228" s="7">
        <v>165.7</v>
      </c>
      <c r="S228" s="7">
        <v>143.9</v>
      </c>
      <c r="T228" s="7">
        <v>131.30000000000001</v>
      </c>
      <c r="U228" s="7">
        <v>142</v>
      </c>
      <c r="V228" s="7">
        <v>149.69999999999999</v>
      </c>
      <c r="W228" s="7">
        <v>129.1</v>
      </c>
      <c r="X228" s="7">
        <v>136.9</v>
      </c>
      <c r="Y228" s="7">
        <v>139.5</v>
      </c>
      <c r="Z228" s="7">
        <v>120.2</v>
      </c>
      <c r="AA228" s="7">
        <v>133.80000000000001</v>
      </c>
      <c r="AB228" s="7">
        <v>147.6</v>
      </c>
      <c r="AC228" s="7">
        <v>132.4</v>
      </c>
      <c r="AD228" s="7">
        <v>133.1</v>
      </c>
      <c r="AE228" s="7">
        <v>140.5</v>
      </c>
    </row>
    <row r="229" spans="1:31" x14ac:dyDescent="0.3">
      <c r="A229" t="s">
        <v>34</v>
      </c>
      <c r="B229">
        <v>2019</v>
      </c>
      <c r="C229" t="s">
        <v>37</v>
      </c>
      <c r="D229" s="3">
        <v>43556</v>
      </c>
      <c r="E229" s="7">
        <v>138</v>
      </c>
      <c r="F229" s="7">
        <v>155.30000000000001</v>
      </c>
      <c r="G229" s="7">
        <v>136.5</v>
      </c>
      <c r="H229" s="7">
        <v>142.19999999999999</v>
      </c>
      <c r="I229" s="7">
        <v>121.9</v>
      </c>
      <c r="J229" s="7">
        <v>146</v>
      </c>
      <c r="K229" s="7">
        <v>136.4</v>
      </c>
      <c r="L229" s="7">
        <v>122.4</v>
      </c>
      <c r="M229" s="7">
        <v>109.1</v>
      </c>
      <c r="N229" s="7">
        <v>139.30000000000001</v>
      </c>
      <c r="O229" s="7">
        <v>133.80000000000001</v>
      </c>
      <c r="P229" s="7">
        <v>155.30000000000001</v>
      </c>
      <c r="Q229" s="7">
        <v>139.4</v>
      </c>
      <c r="R229" s="7">
        <v>163.6</v>
      </c>
      <c r="S229" s="7">
        <v>148.1</v>
      </c>
      <c r="T229" s="7">
        <v>140</v>
      </c>
      <c r="U229" s="7">
        <v>146.9</v>
      </c>
      <c r="V229" s="7">
        <v>149.69999999999999</v>
      </c>
      <c r="W229" s="7">
        <v>140</v>
      </c>
      <c r="X229" s="7">
        <v>143.5</v>
      </c>
      <c r="Y229" s="7">
        <v>146.6</v>
      </c>
      <c r="Z229" s="7">
        <v>124.9</v>
      </c>
      <c r="AA229" s="7">
        <v>138.6</v>
      </c>
      <c r="AB229" s="7">
        <v>151.19999999999999</v>
      </c>
      <c r="AC229" s="7">
        <v>133.19999999999999</v>
      </c>
      <c r="AD229" s="7">
        <v>138</v>
      </c>
      <c r="AE229" s="7">
        <v>141.1</v>
      </c>
    </row>
    <row r="230" spans="1:31" x14ac:dyDescent="0.3">
      <c r="A230" t="s">
        <v>30</v>
      </c>
      <c r="B230">
        <v>2019</v>
      </c>
      <c r="C230" t="s">
        <v>38</v>
      </c>
      <c r="D230" s="3">
        <v>43586</v>
      </c>
      <c r="E230">
        <v>137.4</v>
      </c>
      <c r="F230">
        <v>159.5</v>
      </c>
      <c r="G230">
        <v>134.5</v>
      </c>
      <c r="H230">
        <v>142.6</v>
      </c>
      <c r="I230">
        <v>124</v>
      </c>
      <c r="J230">
        <v>143.69999999999999</v>
      </c>
      <c r="K230">
        <v>133.4</v>
      </c>
      <c r="L230">
        <v>125.1</v>
      </c>
      <c r="M230">
        <v>109.3</v>
      </c>
      <c r="N230">
        <v>139.30000000000001</v>
      </c>
      <c r="O230">
        <v>137.69999999999999</v>
      </c>
      <c r="P230">
        <v>156.4</v>
      </c>
      <c r="Q230">
        <v>139.19999999999999</v>
      </c>
      <c r="R230">
        <v>163.30000000000001</v>
      </c>
      <c r="S230">
        <v>151.30000000000001</v>
      </c>
      <c r="T230">
        <v>146.6</v>
      </c>
      <c r="U230">
        <v>150.69999999999999</v>
      </c>
      <c r="W230">
        <v>146.9</v>
      </c>
      <c r="X230">
        <v>149.5</v>
      </c>
      <c r="Y230">
        <v>151.30000000000001</v>
      </c>
      <c r="Z230">
        <v>130.19999999999999</v>
      </c>
      <c r="AA230">
        <v>145.9</v>
      </c>
      <c r="AB230">
        <v>156.69999999999999</v>
      </c>
      <c r="AC230">
        <v>133.9</v>
      </c>
      <c r="AD230">
        <v>142.9</v>
      </c>
      <c r="AE230">
        <v>142.4</v>
      </c>
    </row>
    <row r="231" spans="1:31" x14ac:dyDescent="0.3">
      <c r="A231" t="s">
        <v>33</v>
      </c>
      <c r="B231">
        <v>2019</v>
      </c>
      <c r="C231" t="s">
        <v>38</v>
      </c>
      <c r="D231" s="3">
        <v>43586</v>
      </c>
      <c r="E231">
        <v>140.4</v>
      </c>
      <c r="F231">
        <v>156.69999999999999</v>
      </c>
      <c r="G231">
        <v>138.30000000000001</v>
      </c>
      <c r="H231">
        <v>142.4</v>
      </c>
      <c r="I231">
        <v>118.6</v>
      </c>
      <c r="J231">
        <v>149.69999999999999</v>
      </c>
      <c r="K231">
        <v>161.6</v>
      </c>
      <c r="L231">
        <v>124.4</v>
      </c>
      <c r="M231">
        <v>111.2</v>
      </c>
      <c r="N231">
        <v>141</v>
      </c>
      <c r="O231">
        <v>128.9</v>
      </c>
      <c r="P231">
        <v>154.5</v>
      </c>
      <c r="Q231">
        <v>143.80000000000001</v>
      </c>
      <c r="R231">
        <v>166.2</v>
      </c>
      <c r="S231">
        <v>144</v>
      </c>
      <c r="T231">
        <v>131.69999999999999</v>
      </c>
      <c r="U231">
        <v>142.19999999999999</v>
      </c>
      <c r="V231">
        <v>150.1</v>
      </c>
      <c r="W231">
        <v>129.4</v>
      </c>
      <c r="X231">
        <v>137.19999999999999</v>
      </c>
      <c r="Y231">
        <v>139.80000000000001</v>
      </c>
      <c r="Z231">
        <v>120.1</v>
      </c>
      <c r="AA231">
        <v>134</v>
      </c>
      <c r="AB231">
        <v>148</v>
      </c>
      <c r="AC231">
        <v>132.6</v>
      </c>
      <c r="AD231">
        <v>133.30000000000001</v>
      </c>
      <c r="AE231">
        <v>141.5</v>
      </c>
    </row>
    <row r="232" spans="1:31" x14ac:dyDescent="0.3">
      <c r="A232" t="s">
        <v>34</v>
      </c>
      <c r="B232">
        <v>2019</v>
      </c>
      <c r="C232" t="s">
        <v>38</v>
      </c>
      <c r="D232" s="3">
        <v>43586</v>
      </c>
      <c r="E232">
        <v>138.30000000000001</v>
      </c>
      <c r="F232">
        <v>158.5</v>
      </c>
      <c r="G232">
        <v>136</v>
      </c>
      <c r="H232">
        <v>142.5</v>
      </c>
      <c r="I232">
        <v>122</v>
      </c>
      <c r="J232">
        <v>146.5</v>
      </c>
      <c r="K232">
        <v>143</v>
      </c>
      <c r="L232">
        <v>124.9</v>
      </c>
      <c r="M232">
        <v>109.9</v>
      </c>
      <c r="N232">
        <v>139.9</v>
      </c>
      <c r="O232">
        <v>134</v>
      </c>
      <c r="P232">
        <v>155.5</v>
      </c>
      <c r="Q232">
        <v>140.9</v>
      </c>
      <c r="R232">
        <v>164.1</v>
      </c>
      <c r="S232">
        <v>148.4</v>
      </c>
      <c r="T232">
        <v>140.4</v>
      </c>
      <c r="U232">
        <v>147.30000000000001</v>
      </c>
      <c r="V232">
        <v>150.1</v>
      </c>
      <c r="W232">
        <v>140.30000000000001</v>
      </c>
      <c r="X232">
        <v>143.69999999999999</v>
      </c>
      <c r="Y232">
        <v>146.9</v>
      </c>
      <c r="Z232">
        <v>124.9</v>
      </c>
      <c r="AA232">
        <v>139.19999999999999</v>
      </c>
      <c r="AB232">
        <v>151.6</v>
      </c>
      <c r="AC232">
        <v>133.4</v>
      </c>
      <c r="AD232">
        <v>138.19999999999999</v>
      </c>
      <c r="AE232">
        <v>142</v>
      </c>
    </row>
    <row r="233" spans="1:31" x14ac:dyDescent="0.3">
      <c r="A233" t="s">
        <v>30</v>
      </c>
      <c r="B233">
        <v>2019</v>
      </c>
      <c r="C233" t="s">
        <v>39</v>
      </c>
      <c r="D233" s="3">
        <v>43617</v>
      </c>
      <c r="E233">
        <v>137.80000000000001</v>
      </c>
      <c r="F233">
        <v>163.5</v>
      </c>
      <c r="G233">
        <v>136.19999999999999</v>
      </c>
      <c r="H233">
        <v>143.19999999999999</v>
      </c>
      <c r="I233">
        <v>124.3</v>
      </c>
      <c r="J233">
        <v>143.30000000000001</v>
      </c>
      <c r="K233">
        <v>140.6</v>
      </c>
      <c r="L233">
        <v>128.69999999999999</v>
      </c>
      <c r="M233">
        <v>110.6</v>
      </c>
      <c r="N233">
        <v>140.4</v>
      </c>
      <c r="O233">
        <v>138</v>
      </c>
      <c r="P233">
        <v>156.6</v>
      </c>
      <c r="Q233">
        <v>141</v>
      </c>
      <c r="R233">
        <v>164.2</v>
      </c>
      <c r="S233">
        <v>151.4</v>
      </c>
      <c r="T233">
        <v>146.5</v>
      </c>
      <c r="U233">
        <v>150.69999999999999</v>
      </c>
      <c r="W233">
        <v>147.80000000000001</v>
      </c>
      <c r="X233">
        <v>149.6</v>
      </c>
      <c r="Y233">
        <v>151.69999999999999</v>
      </c>
      <c r="Z233">
        <v>130.19999999999999</v>
      </c>
      <c r="AA233">
        <v>146.4</v>
      </c>
      <c r="AB233">
        <v>157.69999999999999</v>
      </c>
      <c r="AC233">
        <v>134.80000000000001</v>
      </c>
      <c r="AD233">
        <v>143.30000000000001</v>
      </c>
      <c r="AE233">
        <v>143.6</v>
      </c>
    </row>
    <row r="234" spans="1:31" x14ac:dyDescent="0.3">
      <c r="A234" t="s">
        <v>33</v>
      </c>
      <c r="B234">
        <v>2019</v>
      </c>
      <c r="C234" t="s">
        <v>39</v>
      </c>
      <c r="D234" s="3">
        <v>43617</v>
      </c>
      <c r="E234">
        <v>140.69999999999999</v>
      </c>
      <c r="F234">
        <v>159.6</v>
      </c>
      <c r="G234">
        <v>140.4</v>
      </c>
      <c r="H234">
        <v>143.4</v>
      </c>
      <c r="I234">
        <v>118.6</v>
      </c>
      <c r="J234">
        <v>150.9</v>
      </c>
      <c r="K234">
        <v>169.8</v>
      </c>
      <c r="L234">
        <v>127.4</v>
      </c>
      <c r="M234">
        <v>111.8</v>
      </c>
      <c r="N234">
        <v>141</v>
      </c>
      <c r="O234">
        <v>129</v>
      </c>
      <c r="P234">
        <v>155.1</v>
      </c>
      <c r="Q234">
        <v>145.6</v>
      </c>
      <c r="R234">
        <v>166.7</v>
      </c>
      <c r="S234">
        <v>144.30000000000001</v>
      </c>
      <c r="T234">
        <v>131.69999999999999</v>
      </c>
      <c r="U234">
        <v>142.4</v>
      </c>
      <c r="V234">
        <v>149.4</v>
      </c>
      <c r="W234">
        <v>130.5</v>
      </c>
      <c r="X234">
        <v>137.4</v>
      </c>
      <c r="Y234">
        <v>140.30000000000001</v>
      </c>
      <c r="Z234">
        <v>119.6</v>
      </c>
      <c r="AA234">
        <v>134.30000000000001</v>
      </c>
      <c r="AB234">
        <v>148.9</v>
      </c>
      <c r="AC234">
        <v>133.69999999999999</v>
      </c>
      <c r="AD234">
        <v>133.6</v>
      </c>
      <c r="AE234">
        <v>142.1</v>
      </c>
    </row>
    <row r="235" spans="1:31" x14ac:dyDescent="0.3">
      <c r="A235" t="s">
        <v>34</v>
      </c>
      <c r="B235">
        <v>2019</v>
      </c>
      <c r="C235" t="s">
        <v>39</v>
      </c>
      <c r="D235" s="3">
        <v>43617</v>
      </c>
      <c r="E235">
        <v>138.69999999999999</v>
      </c>
      <c r="F235">
        <v>162.1</v>
      </c>
      <c r="G235">
        <v>137.80000000000001</v>
      </c>
      <c r="H235">
        <v>143.30000000000001</v>
      </c>
      <c r="I235">
        <v>122.2</v>
      </c>
      <c r="J235">
        <v>146.80000000000001</v>
      </c>
      <c r="K235">
        <v>150.5</v>
      </c>
      <c r="L235">
        <v>128.30000000000001</v>
      </c>
      <c r="M235">
        <v>111</v>
      </c>
      <c r="N235">
        <v>140.6</v>
      </c>
      <c r="O235">
        <v>134.19999999999999</v>
      </c>
      <c r="P235">
        <v>155.9</v>
      </c>
      <c r="Q235">
        <v>142.69999999999999</v>
      </c>
      <c r="R235">
        <v>164.9</v>
      </c>
      <c r="S235">
        <v>148.6</v>
      </c>
      <c r="T235">
        <v>140.4</v>
      </c>
      <c r="U235">
        <v>147.4</v>
      </c>
      <c r="V235">
        <v>149.4</v>
      </c>
      <c r="W235">
        <v>141.19999999999999</v>
      </c>
      <c r="X235">
        <v>143.80000000000001</v>
      </c>
      <c r="Y235">
        <v>147.4</v>
      </c>
      <c r="Z235">
        <v>124.6</v>
      </c>
      <c r="AA235">
        <v>139.6</v>
      </c>
      <c r="AB235">
        <v>152.5</v>
      </c>
      <c r="AC235">
        <v>134.30000000000001</v>
      </c>
      <c r="AD235">
        <v>138.6</v>
      </c>
      <c r="AE235">
        <v>142.9</v>
      </c>
    </row>
    <row r="236" spans="1:31" x14ac:dyDescent="0.3">
      <c r="A236" t="s">
        <v>30</v>
      </c>
      <c r="B236">
        <v>2019</v>
      </c>
      <c r="C236" t="s">
        <v>40</v>
      </c>
      <c r="D236" s="3">
        <v>43647</v>
      </c>
      <c r="E236">
        <v>138.4</v>
      </c>
      <c r="F236">
        <v>164</v>
      </c>
      <c r="G236">
        <v>138.4</v>
      </c>
      <c r="H236">
        <v>143.9</v>
      </c>
      <c r="I236">
        <v>124.4</v>
      </c>
      <c r="J236">
        <v>146.4</v>
      </c>
      <c r="K236">
        <v>150.1</v>
      </c>
      <c r="L236">
        <v>130.6</v>
      </c>
      <c r="M236">
        <v>110.8</v>
      </c>
      <c r="N236">
        <v>141.69999999999999</v>
      </c>
      <c r="O236">
        <v>138.5</v>
      </c>
      <c r="P236">
        <v>156.69999999999999</v>
      </c>
      <c r="Q236">
        <v>143</v>
      </c>
      <c r="R236">
        <v>164.5</v>
      </c>
      <c r="S236">
        <v>151.6</v>
      </c>
      <c r="T236">
        <v>146.6</v>
      </c>
      <c r="U236">
        <v>150.9</v>
      </c>
      <c r="W236">
        <v>146.80000000000001</v>
      </c>
      <c r="X236">
        <v>150</v>
      </c>
      <c r="Y236">
        <v>152.19999999999999</v>
      </c>
      <c r="Z236">
        <v>131.19999999999999</v>
      </c>
      <c r="AA236">
        <v>147.5</v>
      </c>
      <c r="AB236">
        <v>159.1</v>
      </c>
      <c r="AC236">
        <v>136.1</v>
      </c>
      <c r="AD236">
        <v>144.19999999999999</v>
      </c>
      <c r="AE236">
        <v>144.9</v>
      </c>
    </row>
    <row r="237" spans="1:31" x14ac:dyDescent="0.3">
      <c r="A237" t="s">
        <v>33</v>
      </c>
      <c r="B237">
        <v>2019</v>
      </c>
      <c r="C237" t="s">
        <v>40</v>
      </c>
      <c r="D237" s="3">
        <v>43647</v>
      </c>
      <c r="E237">
        <v>141.4</v>
      </c>
      <c r="F237">
        <v>160.19999999999999</v>
      </c>
      <c r="G237">
        <v>142.5</v>
      </c>
      <c r="H237">
        <v>144.1</v>
      </c>
      <c r="I237">
        <v>119.3</v>
      </c>
      <c r="J237">
        <v>154.69999999999999</v>
      </c>
      <c r="K237">
        <v>180.1</v>
      </c>
      <c r="L237">
        <v>128.9</v>
      </c>
      <c r="M237">
        <v>111.8</v>
      </c>
      <c r="N237">
        <v>141.6</v>
      </c>
      <c r="O237">
        <v>129.5</v>
      </c>
      <c r="P237">
        <v>155.6</v>
      </c>
      <c r="Q237">
        <v>147.69999999999999</v>
      </c>
      <c r="R237">
        <v>167.2</v>
      </c>
      <c r="S237">
        <v>144.69999999999999</v>
      </c>
      <c r="T237">
        <v>131.9</v>
      </c>
      <c r="U237">
        <v>142.69999999999999</v>
      </c>
      <c r="V237">
        <v>150.6</v>
      </c>
      <c r="W237">
        <v>127</v>
      </c>
      <c r="X237">
        <v>137.69999999999999</v>
      </c>
      <c r="Y237">
        <v>140.80000000000001</v>
      </c>
      <c r="Z237">
        <v>120.6</v>
      </c>
      <c r="AA237">
        <v>135</v>
      </c>
      <c r="AB237">
        <v>150.4</v>
      </c>
      <c r="AC237">
        <v>135.1</v>
      </c>
      <c r="AD237">
        <v>134.5</v>
      </c>
      <c r="AE237">
        <v>143.30000000000001</v>
      </c>
    </row>
    <row r="238" spans="1:31" x14ac:dyDescent="0.3">
      <c r="A238" t="s">
        <v>34</v>
      </c>
      <c r="B238">
        <v>2019</v>
      </c>
      <c r="C238" t="s">
        <v>40</v>
      </c>
      <c r="D238" s="3">
        <v>43647</v>
      </c>
      <c r="E238">
        <v>139.30000000000001</v>
      </c>
      <c r="F238">
        <v>162.69999999999999</v>
      </c>
      <c r="G238">
        <v>140</v>
      </c>
      <c r="H238">
        <v>144</v>
      </c>
      <c r="I238">
        <v>122.5</v>
      </c>
      <c r="J238">
        <v>150.30000000000001</v>
      </c>
      <c r="K238">
        <v>160.30000000000001</v>
      </c>
      <c r="L238">
        <v>130</v>
      </c>
      <c r="M238">
        <v>111.1</v>
      </c>
      <c r="N238">
        <v>141.69999999999999</v>
      </c>
      <c r="O238">
        <v>134.69999999999999</v>
      </c>
      <c r="P238">
        <v>156.19999999999999</v>
      </c>
      <c r="Q238">
        <v>144.69999999999999</v>
      </c>
      <c r="R238">
        <v>165.2</v>
      </c>
      <c r="S238">
        <v>148.9</v>
      </c>
      <c r="T238">
        <v>140.5</v>
      </c>
      <c r="U238">
        <v>147.6</v>
      </c>
      <c r="V238">
        <v>150.6</v>
      </c>
      <c r="W238">
        <v>139.30000000000001</v>
      </c>
      <c r="X238">
        <v>144.19999999999999</v>
      </c>
      <c r="Y238">
        <v>147.9</v>
      </c>
      <c r="Z238">
        <v>125.6</v>
      </c>
      <c r="AA238">
        <v>140.5</v>
      </c>
      <c r="AB238">
        <v>154</v>
      </c>
      <c r="AC238">
        <v>135.69999999999999</v>
      </c>
      <c r="AD238">
        <v>139.5</v>
      </c>
      <c r="AE238">
        <v>144.19999999999999</v>
      </c>
    </row>
    <row r="239" spans="1:31" x14ac:dyDescent="0.3">
      <c r="A239" t="s">
        <v>30</v>
      </c>
      <c r="B239">
        <v>2019</v>
      </c>
      <c r="C239" t="s">
        <v>41</v>
      </c>
      <c r="D239" s="3">
        <v>43678</v>
      </c>
      <c r="E239">
        <v>139.19999999999999</v>
      </c>
      <c r="F239">
        <v>161.9</v>
      </c>
      <c r="G239">
        <v>137.1</v>
      </c>
      <c r="H239">
        <v>144.6</v>
      </c>
      <c r="I239">
        <v>124.7</v>
      </c>
      <c r="J239">
        <v>145.5</v>
      </c>
      <c r="K239">
        <v>156.19999999999999</v>
      </c>
      <c r="L239">
        <v>131.5</v>
      </c>
      <c r="M239">
        <v>111.7</v>
      </c>
      <c r="N239">
        <v>142.69999999999999</v>
      </c>
      <c r="O239">
        <v>138.5</v>
      </c>
      <c r="P239">
        <v>156.9</v>
      </c>
      <c r="Q239">
        <v>144</v>
      </c>
      <c r="R239">
        <v>165.1</v>
      </c>
      <c r="S239">
        <v>151.80000000000001</v>
      </c>
      <c r="T239">
        <v>146.6</v>
      </c>
      <c r="U239">
        <v>151.1</v>
      </c>
      <c r="W239">
        <v>146.4</v>
      </c>
      <c r="X239">
        <v>150.19999999999999</v>
      </c>
      <c r="Y239">
        <v>152.69999999999999</v>
      </c>
      <c r="Z239">
        <v>131.4</v>
      </c>
      <c r="AA239">
        <v>148</v>
      </c>
      <c r="AB239">
        <v>159.69999999999999</v>
      </c>
      <c r="AC239">
        <v>138.80000000000001</v>
      </c>
      <c r="AD239">
        <v>144.9</v>
      </c>
      <c r="AE239">
        <v>145.69999999999999</v>
      </c>
    </row>
    <row r="240" spans="1:31" x14ac:dyDescent="0.3">
      <c r="A240" t="s">
        <v>33</v>
      </c>
      <c r="B240">
        <v>2019</v>
      </c>
      <c r="C240" t="s">
        <v>41</v>
      </c>
      <c r="D240" s="3">
        <v>43678</v>
      </c>
      <c r="E240">
        <v>142.1</v>
      </c>
      <c r="F240">
        <v>158.30000000000001</v>
      </c>
      <c r="G240">
        <v>140.80000000000001</v>
      </c>
      <c r="H240">
        <v>144.9</v>
      </c>
      <c r="I240">
        <v>119.9</v>
      </c>
      <c r="J240">
        <v>153.9</v>
      </c>
      <c r="K240">
        <v>189.1</v>
      </c>
      <c r="L240">
        <v>129.80000000000001</v>
      </c>
      <c r="M240">
        <v>112.7</v>
      </c>
      <c r="N240">
        <v>142.5</v>
      </c>
      <c r="O240">
        <v>129.80000000000001</v>
      </c>
      <c r="P240">
        <v>156.19999999999999</v>
      </c>
      <c r="Q240">
        <v>149.1</v>
      </c>
      <c r="R240">
        <v>167.9</v>
      </c>
      <c r="S240">
        <v>145</v>
      </c>
      <c r="T240">
        <v>132.19999999999999</v>
      </c>
      <c r="U240">
        <v>143</v>
      </c>
      <c r="V240">
        <v>151.6</v>
      </c>
      <c r="W240">
        <v>125.5</v>
      </c>
      <c r="X240">
        <v>138.1</v>
      </c>
      <c r="Y240">
        <v>141.5</v>
      </c>
      <c r="Z240">
        <v>120.8</v>
      </c>
      <c r="AA240">
        <v>135.4</v>
      </c>
      <c r="AB240">
        <v>151.5</v>
      </c>
      <c r="AC240">
        <v>137.80000000000001</v>
      </c>
      <c r="AD240">
        <v>135.30000000000001</v>
      </c>
      <c r="AE240">
        <v>144.19999999999999</v>
      </c>
    </row>
    <row r="241" spans="1:31" x14ac:dyDescent="0.3">
      <c r="A241" t="s">
        <v>34</v>
      </c>
      <c r="B241">
        <v>2019</v>
      </c>
      <c r="C241" t="s">
        <v>41</v>
      </c>
      <c r="D241" s="3">
        <v>43678</v>
      </c>
      <c r="E241">
        <v>140.1</v>
      </c>
      <c r="F241">
        <v>160.6</v>
      </c>
      <c r="G241">
        <v>138.5</v>
      </c>
      <c r="H241">
        <v>144.69999999999999</v>
      </c>
      <c r="I241">
        <v>122.9</v>
      </c>
      <c r="J241">
        <v>149.4</v>
      </c>
      <c r="K241">
        <v>167.4</v>
      </c>
      <c r="L241">
        <v>130.9</v>
      </c>
      <c r="M241">
        <v>112</v>
      </c>
      <c r="N241">
        <v>142.6</v>
      </c>
      <c r="O241">
        <v>134.9</v>
      </c>
      <c r="P241">
        <v>156.6</v>
      </c>
      <c r="Q241">
        <v>145.9</v>
      </c>
      <c r="R241">
        <v>165.8</v>
      </c>
      <c r="S241">
        <v>149.1</v>
      </c>
      <c r="T241">
        <v>140.6</v>
      </c>
      <c r="U241">
        <v>147.9</v>
      </c>
      <c r="V241">
        <v>151.6</v>
      </c>
      <c r="W241">
        <v>138.5</v>
      </c>
      <c r="X241">
        <v>144.5</v>
      </c>
      <c r="Y241">
        <v>148.5</v>
      </c>
      <c r="Z241">
        <v>125.8</v>
      </c>
      <c r="AA241">
        <v>140.9</v>
      </c>
      <c r="AB241">
        <v>154.9</v>
      </c>
      <c r="AC241">
        <v>138.4</v>
      </c>
      <c r="AD241">
        <v>140.19999999999999</v>
      </c>
      <c r="AE241">
        <v>145</v>
      </c>
    </row>
    <row r="242" spans="1:31" x14ac:dyDescent="0.3">
      <c r="A242" t="s">
        <v>30</v>
      </c>
      <c r="B242">
        <v>2019</v>
      </c>
      <c r="C242" t="s">
        <v>42</v>
      </c>
      <c r="D242" s="3">
        <v>43709</v>
      </c>
      <c r="E242">
        <v>140.1</v>
      </c>
      <c r="F242">
        <v>161.9</v>
      </c>
      <c r="G242">
        <v>138.30000000000001</v>
      </c>
      <c r="H242">
        <v>145.69999999999999</v>
      </c>
      <c r="I242">
        <v>125.1</v>
      </c>
      <c r="J242">
        <v>143.80000000000001</v>
      </c>
      <c r="K242">
        <v>163.4</v>
      </c>
      <c r="L242">
        <v>132.19999999999999</v>
      </c>
      <c r="M242">
        <v>112.8</v>
      </c>
      <c r="N242">
        <v>144.19999999999999</v>
      </c>
      <c r="O242">
        <v>138.5</v>
      </c>
      <c r="P242">
        <v>157.19999999999999</v>
      </c>
      <c r="Q242">
        <v>145.5</v>
      </c>
      <c r="R242">
        <v>165.7</v>
      </c>
      <c r="S242">
        <v>151.69999999999999</v>
      </c>
      <c r="T242">
        <v>146.6</v>
      </c>
      <c r="U242">
        <v>151</v>
      </c>
      <c r="W242">
        <v>146.9</v>
      </c>
      <c r="X242">
        <v>150.30000000000001</v>
      </c>
      <c r="Y242">
        <v>153.4</v>
      </c>
      <c r="Z242">
        <v>131.6</v>
      </c>
      <c r="AA242">
        <v>148.30000000000001</v>
      </c>
      <c r="AB242">
        <v>160.19999999999999</v>
      </c>
      <c r="AC242">
        <v>140.19999999999999</v>
      </c>
      <c r="AD242">
        <v>145.4</v>
      </c>
      <c r="AE242">
        <v>146.69999999999999</v>
      </c>
    </row>
    <row r="243" spans="1:31" x14ac:dyDescent="0.3">
      <c r="A243" t="s">
        <v>33</v>
      </c>
      <c r="B243">
        <v>2019</v>
      </c>
      <c r="C243" t="s">
        <v>42</v>
      </c>
      <c r="D243" s="3">
        <v>43709</v>
      </c>
      <c r="E243">
        <v>142.69999999999999</v>
      </c>
      <c r="F243">
        <v>158.69999999999999</v>
      </c>
      <c r="G243">
        <v>141.6</v>
      </c>
      <c r="H243">
        <v>144.9</v>
      </c>
      <c r="I243">
        <v>120.8</v>
      </c>
      <c r="J243">
        <v>149.80000000000001</v>
      </c>
      <c r="K243">
        <v>192.4</v>
      </c>
      <c r="L243">
        <v>130.30000000000001</v>
      </c>
      <c r="M243">
        <v>114</v>
      </c>
      <c r="N243">
        <v>143.80000000000001</v>
      </c>
      <c r="O243">
        <v>130</v>
      </c>
      <c r="P243">
        <v>156.4</v>
      </c>
      <c r="Q243">
        <v>149.5</v>
      </c>
      <c r="R243">
        <v>168.6</v>
      </c>
      <c r="S243">
        <v>145.30000000000001</v>
      </c>
      <c r="T243">
        <v>132.19999999999999</v>
      </c>
      <c r="U243">
        <v>143.30000000000001</v>
      </c>
      <c r="V243">
        <v>152.19999999999999</v>
      </c>
      <c r="W243">
        <v>126.6</v>
      </c>
      <c r="X243">
        <v>138.30000000000001</v>
      </c>
      <c r="Y243">
        <v>141.9</v>
      </c>
      <c r="Z243">
        <v>121.2</v>
      </c>
      <c r="AA243">
        <v>135.9</v>
      </c>
      <c r="AB243">
        <v>151.6</v>
      </c>
      <c r="AC243">
        <v>139</v>
      </c>
      <c r="AD243">
        <v>135.69999999999999</v>
      </c>
      <c r="AE243">
        <v>144.69999999999999</v>
      </c>
    </row>
    <row r="244" spans="1:31" x14ac:dyDescent="0.3">
      <c r="A244" t="s">
        <v>34</v>
      </c>
      <c r="B244">
        <v>2019</v>
      </c>
      <c r="C244" t="s">
        <v>42</v>
      </c>
      <c r="D244" s="3">
        <v>43709</v>
      </c>
      <c r="E244">
        <v>140.9</v>
      </c>
      <c r="F244">
        <v>160.80000000000001</v>
      </c>
      <c r="G244">
        <v>139.6</v>
      </c>
      <c r="H244">
        <v>145.4</v>
      </c>
      <c r="I244">
        <v>123.5</v>
      </c>
      <c r="J244">
        <v>146.6</v>
      </c>
      <c r="K244">
        <v>173.2</v>
      </c>
      <c r="L244">
        <v>131.6</v>
      </c>
      <c r="M244">
        <v>113.2</v>
      </c>
      <c r="N244">
        <v>144.1</v>
      </c>
      <c r="O244">
        <v>135</v>
      </c>
      <c r="P244">
        <v>156.80000000000001</v>
      </c>
      <c r="Q244">
        <v>147</v>
      </c>
      <c r="R244">
        <v>166.5</v>
      </c>
      <c r="S244">
        <v>149.19999999999999</v>
      </c>
      <c r="T244">
        <v>140.6</v>
      </c>
      <c r="U244">
        <v>147.9</v>
      </c>
      <c r="V244">
        <v>152.19999999999999</v>
      </c>
      <c r="W244">
        <v>139.19999999999999</v>
      </c>
      <c r="X244">
        <v>144.6</v>
      </c>
      <c r="Y244">
        <v>149</v>
      </c>
      <c r="Z244">
        <v>126.1</v>
      </c>
      <c r="AA244">
        <v>141.30000000000001</v>
      </c>
      <c r="AB244">
        <v>155.19999999999999</v>
      </c>
      <c r="AC244">
        <v>139.69999999999999</v>
      </c>
      <c r="AD244">
        <v>140.69999999999999</v>
      </c>
      <c r="AE244">
        <v>145.80000000000001</v>
      </c>
    </row>
    <row r="245" spans="1:31" x14ac:dyDescent="0.3">
      <c r="A245" t="s">
        <v>30</v>
      </c>
      <c r="B245">
        <v>2019</v>
      </c>
      <c r="C245" t="s">
        <v>43</v>
      </c>
      <c r="D245" s="3">
        <v>43739</v>
      </c>
      <c r="E245">
        <v>141</v>
      </c>
      <c r="F245">
        <v>161.6</v>
      </c>
      <c r="G245">
        <v>141.19999999999999</v>
      </c>
      <c r="H245">
        <v>146.5</v>
      </c>
      <c r="I245">
        <v>125.6</v>
      </c>
      <c r="J245">
        <v>145.69999999999999</v>
      </c>
      <c r="K245">
        <v>178.8</v>
      </c>
      <c r="L245">
        <v>133.1</v>
      </c>
      <c r="M245">
        <v>113.6</v>
      </c>
      <c r="N245">
        <v>145.5</v>
      </c>
      <c r="O245">
        <v>138.6</v>
      </c>
      <c r="P245">
        <v>157.4</v>
      </c>
      <c r="Q245">
        <v>148.30000000000001</v>
      </c>
      <c r="R245">
        <v>166.3</v>
      </c>
      <c r="S245">
        <v>151.69999999999999</v>
      </c>
      <c r="T245">
        <v>146.69999999999999</v>
      </c>
      <c r="U245">
        <v>151</v>
      </c>
      <c r="W245">
        <v>147.69999999999999</v>
      </c>
      <c r="X245">
        <v>150.6</v>
      </c>
      <c r="Y245">
        <v>153.69999999999999</v>
      </c>
      <c r="Z245">
        <v>131.69999999999999</v>
      </c>
      <c r="AA245">
        <v>148.69999999999999</v>
      </c>
      <c r="AB245">
        <v>160.69999999999999</v>
      </c>
      <c r="AC245">
        <v>140.30000000000001</v>
      </c>
      <c r="AD245">
        <v>145.69999999999999</v>
      </c>
      <c r="AE245">
        <v>148.30000000000001</v>
      </c>
    </row>
    <row r="246" spans="1:31" x14ac:dyDescent="0.3">
      <c r="A246" t="s">
        <v>33</v>
      </c>
      <c r="B246">
        <v>2019</v>
      </c>
      <c r="C246" t="s">
        <v>43</v>
      </c>
      <c r="D246" s="3">
        <v>43739</v>
      </c>
      <c r="E246">
        <v>143.5</v>
      </c>
      <c r="F246">
        <v>159.80000000000001</v>
      </c>
      <c r="G246">
        <v>144.69999999999999</v>
      </c>
      <c r="H246">
        <v>145.6</v>
      </c>
      <c r="I246">
        <v>121.1</v>
      </c>
      <c r="J246">
        <v>150.6</v>
      </c>
      <c r="K246">
        <v>207.2</v>
      </c>
      <c r="L246">
        <v>131.19999999999999</v>
      </c>
      <c r="M246">
        <v>114.8</v>
      </c>
      <c r="N246">
        <v>145.19999999999999</v>
      </c>
      <c r="O246">
        <v>130.19999999999999</v>
      </c>
      <c r="P246">
        <v>156.80000000000001</v>
      </c>
      <c r="Q246">
        <v>151.9</v>
      </c>
      <c r="R246">
        <v>169.3</v>
      </c>
      <c r="S246">
        <v>145.9</v>
      </c>
      <c r="T246">
        <v>132.4</v>
      </c>
      <c r="U246">
        <v>143.9</v>
      </c>
      <c r="V246">
        <v>153</v>
      </c>
      <c r="W246">
        <v>128.9</v>
      </c>
      <c r="X246">
        <v>138.69999999999999</v>
      </c>
      <c r="Y246">
        <v>142.4</v>
      </c>
      <c r="Z246">
        <v>121.5</v>
      </c>
      <c r="AA246">
        <v>136.19999999999999</v>
      </c>
      <c r="AB246">
        <v>151.69999999999999</v>
      </c>
      <c r="AC246">
        <v>139.5</v>
      </c>
      <c r="AD246">
        <v>136</v>
      </c>
      <c r="AE246">
        <v>146</v>
      </c>
    </row>
    <row r="247" spans="1:31" x14ac:dyDescent="0.3">
      <c r="A247" t="s">
        <v>34</v>
      </c>
      <c r="B247">
        <v>2019</v>
      </c>
      <c r="C247" t="s">
        <v>43</v>
      </c>
      <c r="D247" s="3">
        <v>43739</v>
      </c>
      <c r="E247">
        <v>141.80000000000001</v>
      </c>
      <c r="F247">
        <v>161</v>
      </c>
      <c r="G247">
        <v>142.6</v>
      </c>
      <c r="H247">
        <v>146.19999999999999</v>
      </c>
      <c r="I247">
        <v>123.9</v>
      </c>
      <c r="J247">
        <v>148</v>
      </c>
      <c r="K247">
        <v>188.4</v>
      </c>
      <c r="L247">
        <v>132.5</v>
      </c>
      <c r="M247">
        <v>114</v>
      </c>
      <c r="N247">
        <v>145.4</v>
      </c>
      <c r="O247">
        <v>135.1</v>
      </c>
      <c r="P247">
        <v>157.1</v>
      </c>
      <c r="Q247">
        <v>149.6</v>
      </c>
      <c r="R247">
        <v>167.1</v>
      </c>
      <c r="S247">
        <v>149.4</v>
      </c>
      <c r="T247">
        <v>140.80000000000001</v>
      </c>
      <c r="U247">
        <v>148.19999999999999</v>
      </c>
      <c r="V247">
        <v>153</v>
      </c>
      <c r="W247">
        <v>140.6</v>
      </c>
      <c r="X247">
        <v>145</v>
      </c>
      <c r="Y247">
        <v>149.4</v>
      </c>
      <c r="Z247">
        <v>126.3</v>
      </c>
      <c r="AA247">
        <v>141.69999999999999</v>
      </c>
      <c r="AB247">
        <v>155.4</v>
      </c>
      <c r="AC247">
        <v>140</v>
      </c>
      <c r="AD247">
        <v>141</v>
      </c>
      <c r="AE247">
        <v>147.19999999999999</v>
      </c>
    </row>
    <row r="248" spans="1:31" x14ac:dyDescent="0.3">
      <c r="A248" t="s">
        <v>30</v>
      </c>
      <c r="B248">
        <v>2019</v>
      </c>
      <c r="C248" t="s">
        <v>45</v>
      </c>
      <c r="D248" s="3">
        <v>43770</v>
      </c>
      <c r="E248">
        <v>141.80000000000001</v>
      </c>
      <c r="F248">
        <v>163.69999999999999</v>
      </c>
      <c r="G248">
        <v>143.80000000000001</v>
      </c>
      <c r="H248">
        <v>147.1</v>
      </c>
      <c r="I248">
        <v>126</v>
      </c>
      <c r="J248">
        <v>146.19999999999999</v>
      </c>
      <c r="K248">
        <v>191.4</v>
      </c>
      <c r="L248">
        <v>136.19999999999999</v>
      </c>
      <c r="M248">
        <v>113.8</v>
      </c>
      <c r="N248">
        <v>147.30000000000001</v>
      </c>
      <c r="O248">
        <v>138.69999999999999</v>
      </c>
      <c r="P248">
        <v>157.69999999999999</v>
      </c>
      <c r="Q248">
        <v>150.9</v>
      </c>
      <c r="R248">
        <v>167.2</v>
      </c>
      <c r="S248">
        <v>152.30000000000001</v>
      </c>
      <c r="T248">
        <v>147</v>
      </c>
      <c r="U248">
        <v>151.5</v>
      </c>
      <c r="W248">
        <v>148.4</v>
      </c>
      <c r="X248">
        <v>150.9</v>
      </c>
      <c r="Y248">
        <v>154.30000000000001</v>
      </c>
      <c r="Z248">
        <v>132.1</v>
      </c>
      <c r="AA248">
        <v>149.1</v>
      </c>
      <c r="AB248">
        <v>160.80000000000001</v>
      </c>
      <c r="AC248">
        <v>140.6</v>
      </c>
      <c r="AD248">
        <v>146.1</v>
      </c>
      <c r="AE248">
        <v>149.9</v>
      </c>
    </row>
    <row r="249" spans="1:31" x14ac:dyDescent="0.3">
      <c r="A249" t="s">
        <v>33</v>
      </c>
      <c r="B249">
        <v>2019</v>
      </c>
      <c r="C249" t="s">
        <v>45</v>
      </c>
      <c r="D249" s="3">
        <v>43770</v>
      </c>
      <c r="E249">
        <v>144.1</v>
      </c>
      <c r="F249">
        <v>162.4</v>
      </c>
      <c r="G249">
        <v>148.4</v>
      </c>
      <c r="H249">
        <v>145.9</v>
      </c>
      <c r="I249">
        <v>121.5</v>
      </c>
      <c r="J249">
        <v>148.80000000000001</v>
      </c>
      <c r="K249">
        <v>215.7</v>
      </c>
      <c r="L249">
        <v>134.6</v>
      </c>
      <c r="M249">
        <v>115</v>
      </c>
      <c r="N249">
        <v>146.30000000000001</v>
      </c>
      <c r="O249">
        <v>130.5</v>
      </c>
      <c r="P249">
        <v>157.19999999999999</v>
      </c>
      <c r="Q249">
        <v>153.6</v>
      </c>
      <c r="R249">
        <v>169.9</v>
      </c>
      <c r="S249">
        <v>146.30000000000001</v>
      </c>
      <c r="T249">
        <v>132.6</v>
      </c>
      <c r="U249">
        <v>144.19999999999999</v>
      </c>
      <c r="V249">
        <v>153.5</v>
      </c>
      <c r="W249">
        <v>132.19999999999999</v>
      </c>
      <c r="X249">
        <v>139.1</v>
      </c>
      <c r="Y249">
        <v>142.80000000000001</v>
      </c>
      <c r="Z249">
        <v>121.7</v>
      </c>
      <c r="AA249">
        <v>136.69999999999999</v>
      </c>
      <c r="AB249">
        <v>151.80000000000001</v>
      </c>
      <c r="AC249">
        <v>139.80000000000001</v>
      </c>
      <c r="AD249">
        <v>136.30000000000001</v>
      </c>
      <c r="AE249">
        <v>147</v>
      </c>
    </row>
    <row r="250" spans="1:31" x14ac:dyDescent="0.3">
      <c r="A250" t="s">
        <v>34</v>
      </c>
      <c r="B250">
        <v>2019</v>
      </c>
      <c r="C250" t="s">
        <v>45</v>
      </c>
      <c r="D250" s="3">
        <v>43770</v>
      </c>
      <c r="E250">
        <v>142.5</v>
      </c>
      <c r="F250">
        <v>163.19999999999999</v>
      </c>
      <c r="G250">
        <v>145.6</v>
      </c>
      <c r="H250">
        <v>146.69999999999999</v>
      </c>
      <c r="I250">
        <v>124.3</v>
      </c>
      <c r="J250">
        <v>147.4</v>
      </c>
      <c r="K250">
        <v>199.6</v>
      </c>
      <c r="L250">
        <v>135.69999999999999</v>
      </c>
      <c r="M250">
        <v>114.2</v>
      </c>
      <c r="N250">
        <v>147</v>
      </c>
      <c r="O250">
        <v>135.30000000000001</v>
      </c>
      <c r="P250">
        <v>157.5</v>
      </c>
      <c r="Q250">
        <v>151.9</v>
      </c>
      <c r="R250">
        <v>167.9</v>
      </c>
      <c r="S250">
        <v>149.9</v>
      </c>
      <c r="T250">
        <v>141</v>
      </c>
      <c r="U250">
        <v>148.6</v>
      </c>
      <c r="V250">
        <v>153.5</v>
      </c>
      <c r="W250">
        <v>142.30000000000001</v>
      </c>
      <c r="X250">
        <v>145.30000000000001</v>
      </c>
      <c r="Y250">
        <v>149.9</v>
      </c>
      <c r="Z250">
        <v>126.6</v>
      </c>
      <c r="AA250">
        <v>142.1</v>
      </c>
      <c r="AB250">
        <v>155.5</v>
      </c>
      <c r="AC250">
        <v>140.30000000000001</v>
      </c>
      <c r="AD250">
        <v>141.30000000000001</v>
      </c>
      <c r="AE250">
        <v>148.6</v>
      </c>
    </row>
    <row r="251" spans="1:31" x14ac:dyDescent="0.3">
      <c r="A251" t="s">
        <v>30</v>
      </c>
      <c r="B251">
        <v>2019</v>
      </c>
      <c r="C251" t="s">
        <v>46</v>
      </c>
      <c r="D251" s="3">
        <v>43800</v>
      </c>
      <c r="E251">
        <v>142.80000000000001</v>
      </c>
      <c r="F251">
        <v>165.3</v>
      </c>
      <c r="G251">
        <v>149.5</v>
      </c>
      <c r="H251">
        <v>148.69999999999999</v>
      </c>
      <c r="I251">
        <v>127.5</v>
      </c>
      <c r="J251">
        <v>144.30000000000001</v>
      </c>
      <c r="K251">
        <v>209.5</v>
      </c>
      <c r="L251">
        <v>138.80000000000001</v>
      </c>
      <c r="M251">
        <v>113.6</v>
      </c>
      <c r="N251">
        <v>149.1</v>
      </c>
      <c r="O251">
        <v>139.30000000000001</v>
      </c>
      <c r="P251">
        <v>158.30000000000001</v>
      </c>
      <c r="Q251">
        <v>154.30000000000001</v>
      </c>
      <c r="R251">
        <v>167.8</v>
      </c>
      <c r="S251">
        <v>152.6</v>
      </c>
      <c r="T251">
        <v>147.30000000000001</v>
      </c>
      <c r="U251">
        <v>151.9</v>
      </c>
      <c r="W251">
        <v>149.9</v>
      </c>
      <c r="X251">
        <v>151.19999999999999</v>
      </c>
      <c r="Y251">
        <v>154.80000000000001</v>
      </c>
      <c r="Z251">
        <v>135</v>
      </c>
      <c r="AA251">
        <v>149.5</v>
      </c>
      <c r="AB251">
        <v>161.1</v>
      </c>
      <c r="AC251">
        <v>140.6</v>
      </c>
      <c r="AD251">
        <v>147.1</v>
      </c>
      <c r="AE251">
        <v>152.30000000000001</v>
      </c>
    </row>
    <row r="252" spans="1:31" x14ac:dyDescent="0.3">
      <c r="A252" t="s">
        <v>33</v>
      </c>
      <c r="B252">
        <v>2019</v>
      </c>
      <c r="C252" t="s">
        <v>46</v>
      </c>
      <c r="D252" s="3">
        <v>43800</v>
      </c>
      <c r="E252">
        <v>144.9</v>
      </c>
      <c r="F252">
        <v>164.5</v>
      </c>
      <c r="G252">
        <v>153.69999999999999</v>
      </c>
      <c r="H252">
        <v>147.5</v>
      </c>
      <c r="I252">
        <v>122.7</v>
      </c>
      <c r="J252">
        <v>147.19999999999999</v>
      </c>
      <c r="K252">
        <v>231.5</v>
      </c>
      <c r="L252">
        <v>137.19999999999999</v>
      </c>
      <c r="M252">
        <v>114.7</v>
      </c>
      <c r="N252">
        <v>148</v>
      </c>
      <c r="O252">
        <v>130.80000000000001</v>
      </c>
      <c r="P252">
        <v>157.69999999999999</v>
      </c>
      <c r="Q252">
        <v>156.30000000000001</v>
      </c>
      <c r="R252">
        <v>170.4</v>
      </c>
      <c r="S252">
        <v>146.80000000000001</v>
      </c>
      <c r="T252">
        <v>132.80000000000001</v>
      </c>
      <c r="U252">
        <v>144.6</v>
      </c>
      <c r="V252">
        <v>152.80000000000001</v>
      </c>
      <c r="W252">
        <v>133.6</v>
      </c>
      <c r="X252">
        <v>139.80000000000001</v>
      </c>
      <c r="Y252">
        <v>143.19999999999999</v>
      </c>
      <c r="Z252">
        <v>125.2</v>
      </c>
      <c r="AA252">
        <v>136.80000000000001</v>
      </c>
      <c r="AB252">
        <v>151.9</v>
      </c>
      <c r="AC252">
        <v>140.19999999999999</v>
      </c>
      <c r="AD252">
        <v>137.69999999999999</v>
      </c>
      <c r="AE252">
        <v>148.30000000000001</v>
      </c>
    </row>
    <row r="253" spans="1:31" x14ac:dyDescent="0.3">
      <c r="A253" t="s">
        <v>34</v>
      </c>
      <c r="B253">
        <v>2019</v>
      </c>
      <c r="C253" t="s">
        <v>46</v>
      </c>
      <c r="D253" s="3">
        <v>43800</v>
      </c>
      <c r="E253">
        <v>143.5</v>
      </c>
      <c r="F253">
        <v>165</v>
      </c>
      <c r="G253">
        <v>151.1</v>
      </c>
      <c r="H253">
        <v>148.30000000000001</v>
      </c>
      <c r="I253">
        <v>125.7</v>
      </c>
      <c r="J253">
        <v>145.69999999999999</v>
      </c>
      <c r="K253">
        <v>217</v>
      </c>
      <c r="L253">
        <v>138.30000000000001</v>
      </c>
      <c r="M253">
        <v>114</v>
      </c>
      <c r="N253">
        <v>148.69999999999999</v>
      </c>
      <c r="O253">
        <v>135.80000000000001</v>
      </c>
      <c r="P253">
        <v>158</v>
      </c>
      <c r="Q253">
        <v>155</v>
      </c>
      <c r="R253">
        <v>168.5</v>
      </c>
      <c r="S253">
        <v>150.30000000000001</v>
      </c>
      <c r="T253">
        <v>141.30000000000001</v>
      </c>
      <c r="U253">
        <v>149</v>
      </c>
      <c r="V253">
        <v>152.80000000000001</v>
      </c>
      <c r="W253">
        <v>143.69999999999999</v>
      </c>
      <c r="X253">
        <v>145.80000000000001</v>
      </c>
      <c r="Y253">
        <v>150.4</v>
      </c>
      <c r="Z253">
        <v>129.80000000000001</v>
      </c>
      <c r="AA253">
        <v>142.30000000000001</v>
      </c>
      <c r="AB253">
        <v>155.69999999999999</v>
      </c>
      <c r="AC253">
        <v>140.4</v>
      </c>
      <c r="AD253">
        <v>142.5</v>
      </c>
      <c r="AE253">
        <v>150.4</v>
      </c>
    </row>
    <row r="254" spans="1:31" x14ac:dyDescent="0.3">
      <c r="A254" t="s">
        <v>30</v>
      </c>
      <c r="B254">
        <v>2020</v>
      </c>
      <c r="C254" t="s">
        <v>31</v>
      </c>
      <c r="D254" s="3">
        <v>43831</v>
      </c>
      <c r="E254">
        <v>143.69999999999999</v>
      </c>
      <c r="F254">
        <v>167.3</v>
      </c>
      <c r="G254">
        <v>153.5</v>
      </c>
      <c r="H254">
        <v>150.5</v>
      </c>
      <c r="I254">
        <v>132</v>
      </c>
      <c r="J254">
        <v>142.19999999999999</v>
      </c>
      <c r="K254">
        <v>191.5</v>
      </c>
      <c r="L254">
        <v>141.1</v>
      </c>
      <c r="M254">
        <v>113.8</v>
      </c>
      <c r="N254">
        <v>151.6</v>
      </c>
      <c r="O254">
        <v>139.69999999999999</v>
      </c>
      <c r="P254">
        <v>158.69999999999999</v>
      </c>
      <c r="Q254">
        <v>153</v>
      </c>
      <c r="R254">
        <v>168.6</v>
      </c>
      <c r="S254">
        <v>152.80000000000001</v>
      </c>
      <c r="T254">
        <v>147.4</v>
      </c>
      <c r="U254">
        <v>152.1</v>
      </c>
      <c r="W254">
        <v>150.4</v>
      </c>
      <c r="X254">
        <v>151.69999999999999</v>
      </c>
      <c r="Y254">
        <v>155.69999999999999</v>
      </c>
      <c r="Z254">
        <v>136.30000000000001</v>
      </c>
      <c r="AA254">
        <v>150.1</v>
      </c>
      <c r="AB254">
        <v>161.69999999999999</v>
      </c>
      <c r="AC254">
        <v>142.5</v>
      </c>
      <c r="AD254">
        <v>148.1</v>
      </c>
      <c r="AE254">
        <v>151.9</v>
      </c>
    </row>
    <row r="255" spans="1:31" x14ac:dyDescent="0.3">
      <c r="A255" t="s">
        <v>33</v>
      </c>
      <c r="B255">
        <v>2020</v>
      </c>
      <c r="C255" t="s">
        <v>31</v>
      </c>
      <c r="D255" s="3">
        <v>43831</v>
      </c>
      <c r="E255">
        <v>145.6</v>
      </c>
      <c r="F255">
        <v>167.6</v>
      </c>
      <c r="G255">
        <v>157</v>
      </c>
      <c r="H255">
        <v>149.30000000000001</v>
      </c>
      <c r="I255">
        <v>126.3</v>
      </c>
      <c r="J255">
        <v>144.4</v>
      </c>
      <c r="K255">
        <v>207.8</v>
      </c>
      <c r="L255">
        <v>139.1</v>
      </c>
      <c r="M255">
        <v>114.8</v>
      </c>
      <c r="N255">
        <v>149.5</v>
      </c>
      <c r="O255">
        <v>131.1</v>
      </c>
      <c r="P255">
        <v>158.5</v>
      </c>
      <c r="Q255">
        <v>154.4</v>
      </c>
      <c r="R255">
        <v>170.8</v>
      </c>
      <c r="S255">
        <v>147</v>
      </c>
      <c r="T255">
        <v>133.19999999999999</v>
      </c>
      <c r="U255">
        <v>144.9</v>
      </c>
      <c r="V255">
        <v>153.9</v>
      </c>
      <c r="W255">
        <v>135.1</v>
      </c>
      <c r="X255">
        <v>140.1</v>
      </c>
      <c r="Y255">
        <v>143.80000000000001</v>
      </c>
      <c r="Z255">
        <v>126.1</v>
      </c>
      <c r="AA255">
        <v>137.19999999999999</v>
      </c>
      <c r="AB255">
        <v>152.1</v>
      </c>
      <c r="AC255">
        <v>142.1</v>
      </c>
      <c r="AD255">
        <v>138.4</v>
      </c>
      <c r="AE255">
        <v>148.19999999999999</v>
      </c>
    </row>
    <row r="256" spans="1:31" x14ac:dyDescent="0.3">
      <c r="A256" t="s">
        <v>34</v>
      </c>
      <c r="B256">
        <v>2020</v>
      </c>
      <c r="C256" t="s">
        <v>31</v>
      </c>
      <c r="D256" s="3">
        <v>43831</v>
      </c>
      <c r="E256">
        <v>144.30000000000001</v>
      </c>
      <c r="F256">
        <v>167.4</v>
      </c>
      <c r="G256">
        <v>154.9</v>
      </c>
      <c r="H256">
        <v>150.1</v>
      </c>
      <c r="I256">
        <v>129.9</v>
      </c>
      <c r="J256">
        <v>143.19999999999999</v>
      </c>
      <c r="K256">
        <v>197</v>
      </c>
      <c r="L256">
        <v>140.4</v>
      </c>
      <c r="M256">
        <v>114.1</v>
      </c>
      <c r="N256">
        <v>150.9</v>
      </c>
      <c r="O256">
        <v>136.1</v>
      </c>
      <c r="P256">
        <v>158.6</v>
      </c>
      <c r="Q256">
        <v>153.5</v>
      </c>
      <c r="R256">
        <v>169.2</v>
      </c>
      <c r="S256">
        <v>150.5</v>
      </c>
      <c r="T256">
        <v>141.5</v>
      </c>
      <c r="U256">
        <v>149.19999999999999</v>
      </c>
      <c r="V256">
        <v>153.9</v>
      </c>
      <c r="W256">
        <v>144.6</v>
      </c>
      <c r="X256">
        <v>146.19999999999999</v>
      </c>
      <c r="Y256">
        <v>151.19999999999999</v>
      </c>
      <c r="Z256">
        <v>130.9</v>
      </c>
      <c r="AA256">
        <v>142.80000000000001</v>
      </c>
      <c r="AB256">
        <v>156.1</v>
      </c>
      <c r="AC256">
        <v>142.30000000000001</v>
      </c>
      <c r="AD256">
        <v>143.4</v>
      </c>
      <c r="AE256">
        <v>150.19999999999999</v>
      </c>
    </row>
    <row r="257" spans="1:31" x14ac:dyDescent="0.3">
      <c r="A257" t="s">
        <v>30</v>
      </c>
      <c r="B257">
        <v>2020</v>
      </c>
      <c r="C257" t="s">
        <v>35</v>
      </c>
      <c r="D257" s="3">
        <v>43862</v>
      </c>
      <c r="E257">
        <v>144.19999999999999</v>
      </c>
      <c r="F257">
        <v>167.5</v>
      </c>
      <c r="G257">
        <v>150.9</v>
      </c>
      <c r="H257">
        <v>150.9</v>
      </c>
      <c r="I257">
        <v>133.69999999999999</v>
      </c>
      <c r="J257">
        <v>140.69999999999999</v>
      </c>
      <c r="K257">
        <v>165.1</v>
      </c>
      <c r="L257">
        <v>141.80000000000001</v>
      </c>
      <c r="M257">
        <v>113.1</v>
      </c>
      <c r="N257">
        <v>152.80000000000001</v>
      </c>
      <c r="O257">
        <v>140.1</v>
      </c>
      <c r="P257">
        <v>159.19999999999999</v>
      </c>
      <c r="Q257">
        <v>149.80000000000001</v>
      </c>
      <c r="R257">
        <v>169.4</v>
      </c>
      <c r="S257">
        <v>153</v>
      </c>
      <c r="T257">
        <v>147.5</v>
      </c>
      <c r="U257">
        <v>152.30000000000001</v>
      </c>
      <c r="W257">
        <v>152.30000000000001</v>
      </c>
      <c r="X257">
        <v>151.80000000000001</v>
      </c>
      <c r="Y257">
        <v>156.19999999999999</v>
      </c>
      <c r="Z257">
        <v>136</v>
      </c>
      <c r="AA257">
        <v>150.4</v>
      </c>
      <c r="AB257">
        <v>161.9</v>
      </c>
      <c r="AC257">
        <v>143.4</v>
      </c>
      <c r="AD257">
        <v>148.4</v>
      </c>
      <c r="AE257">
        <v>150.4</v>
      </c>
    </row>
    <row r="258" spans="1:31" x14ac:dyDescent="0.3">
      <c r="A258" t="s">
        <v>33</v>
      </c>
      <c r="B258">
        <v>2020</v>
      </c>
      <c r="C258" t="s">
        <v>35</v>
      </c>
      <c r="D258" s="3">
        <v>43862</v>
      </c>
      <c r="E258">
        <v>146.19999999999999</v>
      </c>
      <c r="F258">
        <v>167.6</v>
      </c>
      <c r="G258">
        <v>153.1</v>
      </c>
      <c r="H258">
        <v>150.69999999999999</v>
      </c>
      <c r="I258">
        <v>127.4</v>
      </c>
      <c r="J258">
        <v>143.1</v>
      </c>
      <c r="K258">
        <v>181.7</v>
      </c>
      <c r="L258">
        <v>139.6</v>
      </c>
      <c r="M258">
        <v>114.6</v>
      </c>
      <c r="N258">
        <v>150.4</v>
      </c>
      <c r="O258">
        <v>131.5</v>
      </c>
      <c r="P258">
        <v>159</v>
      </c>
      <c r="Q258">
        <v>151.69999999999999</v>
      </c>
      <c r="R258">
        <v>172</v>
      </c>
      <c r="S258">
        <v>147.30000000000001</v>
      </c>
      <c r="T258">
        <v>133.5</v>
      </c>
      <c r="U258">
        <v>145.19999999999999</v>
      </c>
      <c r="V258">
        <v>154.80000000000001</v>
      </c>
      <c r="W258">
        <v>138.9</v>
      </c>
      <c r="X258">
        <v>140.4</v>
      </c>
      <c r="Y258">
        <v>144.4</v>
      </c>
      <c r="Z258">
        <v>125.2</v>
      </c>
      <c r="AA258">
        <v>137.69999999999999</v>
      </c>
      <c r="AB258">
        <v>152.19999999999999</v>
      </c>
      <c r="AC258">
        <v>143.5</v>
      </c>
      <c r="AD258">
        <v>138.4</v>
      </c>
      <c r="AE258">
        <v>147.69999999999999</v>
      </c>
    </row>
    <row r="259" spans="1:31" x14ac:dyDescent="0.3">
      <c r="A259" t="s">
        <v>34</v>
      </c>
      <c r="B259">
        <v>2020</v>
      </c>
      <c r="C259" t="s">
        <v>35</v>
      </c>
      <c r="D259" s="3">
        <v>43862</v>
      </c>
      <c r="E259">
        <v>144.80000000000001</v>
      </c>
      <c r="F259">
        <v>167.5</v>
      </c>
      <c r="G259">
        <v>151.80000000000001</v>
      </c>
      <c r="H259">
        <v>150.80000000000001</v>
      </c>
      <c r="I259">
        <v>131.4</v>
      </c>
      <c r="J259">
        <v>141.80000000000001</v>
      </c>
      <c r="K259">
        <v>170.7</v>
      </c>
      <c r="L259">
        <v>141.1</v>
      </c>
      <c r="M259">
        <v>113.6</v>
      </c>
      <c r="N259">
        <v>152</v>
      </c>
      <c r="O259">
        <v>136.5</v>
      </c>
      <c r="P259">
        <v>159.1</v>
      </c>
      <c r="Q259">
        <v>150.5</v>
      </c>
      <c r="R259">
        <v>170.1</v>
      </c>
      <c r="S259">
        <v>150.80000000000001</v>
      </c>
      <c r="T259">
        <v>141.69999999999999</v>
      </c>
      <c r="U259">
        <v>149.5</v>
      </c>
      <c r="V259">
        <v>154.80000000000001</v>
      </c>
      <c r="W259">
        <v>147.19999999999999</v>
      </c>
      <c r="X259">
        <v>146.4</v>
      </c>
      <c r="Y259">
        <v>151.69999999999999</v>
      </c>
      <c r="Z259">
        <v>130.30000000000001</v>
      </c>
      <c r="AA259">
        <v>143.19999999999999</v>
      </c>
      <c r="AB259">
        <v>156.19999999999999</v>
      </c>
      <c r="AC259">
        <v>143.4</v>
      </c>
      <c r="AD259">
        <v>143.6</v>
      </c>
      <c r="AE259">
        <v>149.1</v>
      </c>
    </row>
    <row r="260" spans="1:31" x14ac:dyDescent="0.3">
      <c r="A260" t="s">
        <v>30</v>
      </c>
      <c r="B260">
        <v>2020</v>
      </c>
      <c r="C260" t="s">
        <v>36</v>
      </c>
      <c r="D260" s="3">
        <v>43891</v>
      </c>
      <c r="E260">
        <v>144.4</v>
      </c>
      <c r="F260">
        <v>166.8</v>
      </c>
      <c r="G260">
        <v>147.6</v>
      </c>
      <c r="H260">
        <v>151.69999999999999</v>
      </c>
      <c r="I260">
        <v>133.30000000000001</v>
      </c>
      <c r="J260">
        <v>141.80000000000001</v>
      </c>
      <c r="K260">
        <v>152.30000000000001</v>
      </c>
      <c r="L260">
        <v>141.80000000000001</v>
      </c>
      <c r="M260">
        <v>112.6</v>
      </c>
      <c r="N260">
        <v>154</v>
      </c>
      <c r="O260">
        <v>140.1</v>
      </c>
      <c r="P260">
        <v>160</v>
      </c>
      <c r="Q260">
        <v>148.19999999999999</v>
      </c>
      <c r="R260">
        <v>170.5</v>
      </c>
      <c r="S260">
        <v>153.4</v>
      </c>
      <c r="T260">
        <v>147.6</v>
      </c>
      <c r="U260">
        <v>152.5</v>
      </c>
      <c r="W260">
        <v>153.4</v>
      </c>
      <c r="X260">
        <v>151.5</v>
      </c>
      <c r="Y260">
        <v>156.69999999999999</v>
      </c>
      <c r="Z260">
        <v>135.80000000000001</v>
      </c>
      <c r="AA260">
        <v>151.19999999999999</v>
      </c>
      <c r="AB260">
        <v>161.19999999999999</v>
      </c>
      <c r="AC260">
        <v>145.1</v>
      </c>
      <c r="AD260">
        <v>148.6</v>
      </c>
      <c r="AE260">
        <v>149.80000000000001</v>
      </c>
    </row>
    <row r="261" spans="1:31" x14ac:dyDescent="0.3">
      <c r="A261" t="s">
        <v>33</v>
      </c>
      <c r="B261">
        <v>2020</v>
      </c>
      <c r="C261" t="s">
        <v>36</v>
      </c>
      <c r="D261" s="3">
        <v>43891</v>
      </c>
      <c r="E261">
        <v>146.5</v>
      </c>
      <c r="F261">
        <v>167.5</v>
      </c>
      <c r="G261">
        <v>148.9</v>
      </c>
      <c r="H261">
        <v>151.1</v>
      </c>
      <c r="I261">
        <v>127.5</v>
      </c>
      <c r="J261">
        <v>143.30000000000001</v>
      </c>
      <c r="K261">
        <v>167</v>
      </c>
      <c r="L261">
        <v>139.69999999999999</v>
      </c>
      <c r="M261">
        <v>114.4</v>
      </c>
      <c r="N261">
        <v>151.5</v>
      </c>
      <c r="O261">
        <v>131.9</v>
      </c>
      <c r="P261">
        <v>159.1</v>
      </c>
      <c r="Q261">
        <v>150.1</v>
      </c>
      <c r="R261">
        <v>173.3</v>
      </c>
      <c r="S261">
        <v>147.69999999999999</v>
      </c>
      <c r="T261">
        <v>133.80000000000001</v>
      </c>
      <c r="U261">
        <v>145.6</v>
      </c>
      <c r="V261">
        <v>154.5</v>
      </c>
      <c r="W261">
        <v>141.4</v>
      </c>
      <c r="X261">
        <v>140.80000000000001</v>
      </c>
      <c r="Y261">
        <v>145</v>
      </c>
      <c r="Z261">
        <v>124.6</v>
      </c>
      <c r="AA261">
        <v>137.9</v>
      </c>
      <c r="AB261">
        <v>152.5</v>
      </c>
      <c r="AC261">
        <v>145.30000000000001</v>
      </c>
      <c r="AD261">
        <v>138.69999999999999</v>
      </c>
      <c r="AE261">
        <v>147.30000000000001</v>
      </c>
    </row>
    <row r="262" spans="1:31" x14ac:dyDescent="0.3">
      <c r="A262" t="s">
        <v>34</v>
      </c>
      <c r="B262">
        <v>2020</v>
      </c>
      <c r="C262" t="s">
        <v>36</v>
      </c>
      <c r="D262" s="3">
        <v>43891</v>
      </c>
      <c r="E262">
        <v>145.1</v>
      </c>
      <c r="F262">
        <v>167</v>
      </c>
      <c r="G262">
        <v>148.1</v>
      </c>
      <c r="H262">
        <v>151.5</v>
      </c>
      <c r="I262">
        <v>131.19999999999999</v>
      </c>
      <c r="J262">
        <v>142.5</v>
      </c>
      <c r="K262">
        <v>157.30000000000001</v>
      </c>
      <c r="L262">
        <v>141.1</v>
      </c>
      <c r="M262">
        <v>113.2</v>
      </c>
      <c r="N262">
        <v>153.19999999999999</v>
      </c>
      <c r="O262">
        <v>136.69999999999999</v>
      </c>
      <c r="P262">
        <v>159.6</v>
      </c>
      <c r="Q262">
        <v>148.9</v>
      </c>
      <c r="R262">
        <v>171.2</v>
      </c>
      <c r="S262">
        <v>151.19999999999999</v>
      </c>
      <c r="T262">
        <v>141.9</v>
      </c>
      <c r="U262">
        <v>149.80000000000001</v>
      </c>
      <c r="V262">
        <v>154.5</v>
      </c>
      <c r="W262">
        <v>148.9</v>
      </c>
      <c r="X262">
        <v>146.4</v>
      </c>
      <c r="Y262">
        <v>152.30000000000001</v>
      </c>
      <c r="Z262">
        <v>129.9</v>
      </c>
      <c r="AA262">
        <v>143.69999999999999</v>
      </c>
      <c r="AB262">
        <v>156.1</v>
      </c>
      <c r="AC262">
        <v>145.19999999999999</v>
      </c>
      <c r="AD262">
        <v>143.80000000000001</v>
      </c>
      <c r="AE262">
        <v>148.6</v>
      </c>
    </row>
    <row r="263" spans="1:31" x14ac:dyDescent="0.3">
      <c r="A263" t="s">
        <v>30</v>
      </c>
      <c r="B263">
        <v>2020</v>
      </c>
      <c r="C263" t="s">
        <v>37</v>
      </c>
      <c r="D263" s="3">
        <v>43922</v>
      </c>
      <c r="E263">
        <v>147.19999999999999</v>
      </c>
      <c r="F263">
        <v>168.9</v>
      </c>
      <c r="G263">
        <v>146.9</v>
      </c>
      <c r="H263">
        <v>155.6</v>
      </c>
      <c r="I263">
        <v>137.1</v>
      </c>
      <c r="J263">
        <v>147.30000000000001</v>
      </c>
      <c r="K263">
        <v>162.69999999999999</v>
      </c>
      <c r="L263">
        <v>150.19999999999999</v>
      </c>
      <c r="M263">
        <v>119.8</v>
      </c>
      <c r="N263">
        <v>158.69999999999999</v>
      </c>
      <c r="O263">
        <v>139.19999999999999</v>
      </c>
      <c r="P263">
        <v>162.1</v>
      </c>
      <c r="Q263">
        <v>152.80000000000001</v>
      </c>
      <c r="R263">
        <v>171.1</v>
      </c>
      <c r="S263">
        <v>153.9</v>
      </c>
      <c r="T263">
        <v>148.1</v>
      </c>
      <c r="U263">
        <v>153.1</v>
      </c>
      <c r="W263">
        <v>148.4</v>
      </c>
      <c r="X263">
        <v>152</v>
      </c>
      <c r="Y263">
        <v>154.30000000000001</v>
      </c>
      <c r="Z263">
        <v>136.30000000000001</v>
      </c>
      <c r="AA263">
        <v>151.69999999999999</v>
      </c>
      <c r="AB263">
        <v>161.69999999999999</v>
      </c>
      <c r="AC263">
        <v>145.6</v>
      </c>
      <c r="AD263">
        <v>148.4</v>
      </c>
      <c r="AE263" s="8">
        <v>151.9</v>
      </c>
    </row>
    <row r="264" spans="1:31" x14ac:dyDescent="0.3">
      <c r="A264" t="s">
        <v>33</v>
      </c>
      <c r="B264">
        <v>2020</v>
      </c>
      <c r="C264" t="s">
        <v>37</v>
      </c>
      <c r="D264" s="3">
        <v>43922</v>
      </c>
      <c r="E264">
        <v>151.80000000000001</v>
      </c>
      <c r="F264">
        <v>171.3</v>
      </c>
      <c r="G264">
        <v>151.9</v>
      </c>
      <c r="H264">
        <v>155.5</v>
      </c>
      <c r="I264">
        <v>131.6</v>
      </c>
      <c r="J264">
        <v>152.9</v>
      </c>
      <c r="K264">
        <v>180</v>
      </c>
      <c r="L264">
        <v>150.80000000000001</v>
      </c>
      <c r="M264">
        <v>121.2</v>
      </c>
      <c r="N264">
        <v>154</v>
      </c>
      <c r="O264">
        <v>133.5</v>
      </c>
      <c r="P264">
        <v>162.69999999999999</v>
      </c>
      <c r="Q264">
        <v>156.1</v>
      </c>
      <c r="R264">
        <v>179.1</v>
      </c>
      <c r="S264">
        <v>152.6</v>
      </c>
      <c r="T264">
        <v>138.30000000000001</v>
      </c>
      <c r="U264">
        <v>150.4</v>
      </c>
      <c r="V264">
        <v>155.6</v>
      </c>
      <c r="W264">
        <v>137.1</v>
      </c>
      <c r="X264">
        <v>145.5</v>
      </c>
      <c r="Y264">
        <v>144.80000000000001</v>
      </c>
      <c r="Z264">
        <v>128.69999999999999</v>
      </c>
      <c r="AA264">
        <v>142.5</v>
      </c>
      <c r="AB264">
        <v>157.6</v>
      </c>
      <c r="AC264">
        <v>150.1</v>
      </c>
      <c r="AD264">
        <v>142.5</v>
      </c>
      <c r="AE264">
        <v>150.9</v>
      </c>
    </row>
    <row r="265" spans="1:31" x14ac:dyDescent="0.3">
      <c r="A265" t="s">
        <v>34</v>
      </c>
      <c r="B265">
        <v>2020</v>
      </c>
      <c r="C265" t="s">
        <v>37</v>
      </c>
      <c r="D265" s="3">
        <v>43922</v>
      </c>
      <c r="E265">
        <v>148.69999999999999</v>
      </c>
      <c r="F265">
        <v>169.7</v>
      </c>
      <c r="G265">
        <v>148.80000000000001</v>
      </c>
      <c r="H265">
        <v>155.6</v>
      </c>
      <c r="I265">
        <v>135.1</v>
      </c>
      <c r="J265">
        <v>149.9</v>
      </c>
      <c r="K265">
        <v>168.6</v>
      </c>
      <c r="L265">
        <v>150.4</v>
      </c>
      <c r="M265">
        <v>120.3</v>
      </c>
      <c r="N265">
        <v>157.1</v>
      </c>
      <c r="O265">
        <v>136.80000000000001</v>
      </c>
      <c r="P265">
        <v>162.4</v>
      </c>
      <c r="Q265">
        <v>154</v>
      </c>
      <c r="R265">
        <v>173.2</v>
      </c>
      <c r="S265">
        <v>153.4</v>
      </c>
      <c r="T265">
        <v>144</v>
      </c>
      <c r="U265">
        <v>152</v>
      </c>
      <c r="V265">
        <v>155.6</v>
      </c>
      <c r="W265">
        <v>144.1</v>
      </c>
      <c r="X265">
        <v>148.9</v>
      </c>
      <c r="Y265">
        <v>150.69999999999999</v>
      </c>
      <c r="Z265">
        <v>132.30000000000001</v>
      </c>
      <c r="AA265">
        <v>146.5</v>
      </c>
      <c r="AB265">
        <v>159.30000000000001</v>
      </c>
      <c r="AC265">
        <v>147.5</v>
      </c>
      <c r="AD265">
        <v>145.5</v>
      </c>
      <c r="AE265">
        <v>151.4</v>
      </c>
    </row>
    <row r="266" spans="1:31" x14ac:dyDescent="0.3">
      <c r="A266" t="s">
        <v>30</v>
      </c>
      <c r="B266">
        <v>2020</v>
      </c>
      <c r="C266" t="s">
        <v>38</v>
      </c>
      <c r="D266" s="3">
        <v>43952</v>
      </c>
      <c r="E266">
        <v>147.5</v>
      </c>
      <c r="F266">
        <v>181.5</v>
      </c>
      <c r="G266">
        <v>146.4</v>
      </c>
      <c r="H266">
        <v>154.9</v>
      </c>
      <c r="I266">
        <v>139.19999999999999</v>
      </c>
      <c r="J266">
        <v>146.19999999999999</v>
      </c>
      <c r="K266">
        <v>145.1</v>
      </c>
      <c r="L266">
        <v>151.1</v>
      </c>
      <c r="M266">
        <v>116.2</v>
      </c>
      <c r="N266">
        <v>158.69999999999999</v>
      </c>
      <c r="O266">
        <v>141.4</v>
      </c>
      <c r="P266">
        <v>161.9</v>
      </c>
      <c r="Q266">
        <v>151.4</v>
      </c>
      <c r="R266">
        <v>171.2</v>
      </c>
      <c r="S266">
        <v>154</v>
      </c>
      <c r="T266">
        <v>148.19999999999999</v>
      </c>
      <c r="U266">
        <v>153.19999999999999</v>
      </c>
      <c r="W266">
        <v>146.4</v>
      </c>
      <c r="X266">
        <v>152.1</v>
      </c>
      <c r="Y266">
        <v>157</v>
      </c>
      <c r="Z266">
        <v>136.30000000000001</v>
      </c>
      <c r="AA266">
        <v>151.80000000000001</v>
      </c>
      <c r="AB266">
        <v>161.80000000000001</v>
      </c>
      <c r="AC266">
        <v>145.69999999999999</v>
      </c>
      <c r="AD266">
        <v>149.19999999999999</v>
      </c>
      <c r="AE266">
        <v>151.19999999999999</v>
      </c>
    </row>
    <row r="267" spans="1:31" x14ac:dyDescent="0.3">
      <c r="A267" t="s">
        <v>33</v>
      </c>
      <c r="B267">
        <v>2020</v>
      </c>
      <c r="C267" t="s">
        <v>38</v>
      </c>
      <c r="D267" s="3">
        <v>43952</v>
      </c>
      <c r="E267">
        <v>150.4</v>
      </c>
      <c r="F267">
        <v>188.1</v>
      </c>
      <c r="G267">
        <v>150</v>
      </c>
      <c r="H267">
        <v>155.4</v>
      </c>
      <c r="I267">
        <v>131.9</v>
      </c>
      <c r="J267">
        <v>153</v>
      </c>
      <c r="K267">
        <v>161.80000000000001</v>
      </c>
      <c r="L267">
        <v>151.4</v>
      </c>
      <c r="M267">
        <v>117.2</v>
      </c>
      <c r="N267">
        <v>154.69999999999999</v>
      </c>
      <c r="O267">
        <v>134.1</v>
      </c>
      <c r="P267">
        <v>162.4</v>
      </c>
      <c r="Q267">
        <v>154.80000000000001</v>
      </c>
      <c r="R267">
        <v>183.4</v>
      </c>
      <c r="S267">
        <v>153</v>
      </c>
      <c r="T267">
        <v>138.6</v>
      </c>
      <c r="U267">
        <v>150.80000000000001</v>
      </c>
      <c r="V267">
        <v>155.6</v>
      </c>
      <c r="W267">
        <v>136.19999999999999</v>
      </c>
      <c r="X267">
        <v>145.9</v>
      </c>
      <c r="Y267">
        <v>146.1</v>
      </c>
      <c r="Z267">
        <v>129.1</v>
      </c>
      <c r="AA267">
        <v>142.9</v>
      </c>
      <c r="AB267">
        <v>158</v>
      </c>
      <c r="AC267">
        <v>150.5</v>
      </c>
      <c r="AD267">
        <v>143</v>
      </c>
      <c r="AE267">
        <v>150.6</v>
      </c>
    </row>
    <row r="268" spans="1:31" x14ac:dyDescent="0.3">
      <c r="A268" t="s">
        <v>34</v>
      </c>
      <c r="B268">
        <v>2020</v>
      </c>
      <c r="C268" t="s">
        <v>38</v>
      </c>
      <c r="D268" s="3">
        <v>43952</v>
      </c>
      <c r="E268">
        <v>148.4</v>
      </c>
      <c r="F268">
        <v>183.8</v>
      </c>
      <c r="G268">
        <v>147.80000000000001</v>
      </c>
      <c r="H268">
        <v>155.1</v>
      </c>
      <c r="I268">
        <v>136.5</v>
      </c>
      <c r="J268">
        <v>149.4</v>
      </c>
      <c r="K268">
        <v>150.80000000000001</v>
      </c>
      <c r="L268">
        <v>151.19999999999999</v>
      </c>
      <c r="M268">
        <v>116.5</v>
      </c>
      <c r="N268">
        <v>157.4</v>
      </c>
      <c r="O268">
        <v>138.4</v>
      </c>
      <c r="P268">
        <v>162.1</v>
      </c>
      <c r="Q268">
        <v>152.69999999999999</v>
      </c>
      <c r="R268">
        <v>174.4</v>
      </c>
      <c r="S268">
        <v>153.6</v>
      </c>
      <c r="T268">
        <v>144.19999999999999</v>
      </c>
      <c r="U268">
        <v>152.30000000000001</v>
      </c>
      <c r="V268">
        <v>155.6</v>
      </c>
      <c r="W268">
        <v>142.5</v>
      </c>
      <c r="X268">
        <v>149.19999999999999</v>
      </c>
      <c r="Y268">
        <v>152.9</v>
      </c>
      <c r="Z268">
        <v>132.5</v>
      </c>
      <c r="AA268">
        <v>146.80000000000001</v>
      </c>
      <c r="AB268">
        <v>159.6</v>
      </c>
      <c r="AC268">
        <v>147.69999999999999</v>
      </c>
      <c r="AD268">
        <v>146.19999999999999</v>
      </c>
      <c r="AE268">
        <v>150.9</v>
      </c>
    </row>
    <row r="269" spans="1:31" x14ac:dyDescent="0.3">
      <c r="A269" t="s">
        <v>30</v>
      </c>
      <c r="B269">
        <v>2020</v>
      </c>
      <c r="C269" t="s">
        <v>39</v>
      </c>
      <c r="D269" s="3">
        <v>43983</v>
      </c>
      <c r="E269">
        <v>148.19999999999999</v>
      </c>
      <c r="F269">
        <v>190.3</v>
      </c>
      <c r="G269">
        <v>149.4</v>
      </c>
      <c r="H269">
        <v>153.30000000000001</v>
      </c>
      <c r="I269">
        <v>138.19999999999999</v>
      </c>
      <c r="J269">
        <v>143.19999999999999</v>
      </c>
      <c r="K269">
        <v>148.9</v>
      </c>
      <c r="L269">
        <v>150.30000000000001</v>
      </c>
      <c r="M269">
        <v>113.2</v>
      </c>
      <c r="N269">
        <v>159.80000000000001</v>
      </c>
      <c r="O269">
        <v>142.1</v>
      </c>
      <c r="P269">
        <v>161.80000000000001</v>
      </c>
      <c r="Q269">
        <v>152.30000000000001</v>
      </c>
      <c r="R269">
        <v>182.4</v>
      </c>
      <c r="S269">
        <v>154.69999999999999</v>
      </c>
      <c r="T269">
        <v>150</v>
      </c>
      <c r="U269">
        <v>154.1</v>
      </c>
      <c r="W269">
        <v>144.9</v>
      </c>
      <c r="X269">
        <v>151.69999999999999</v>
      </c>
      <c r="Y269">
        <v>158.19999999999999</v>
      </c>
      <c r="Z269">
        <v>141.4</v>
      </c>
      <c r="AA269">
        <v>153.19999999999999</v>
      </c>
      <c r="AB269">
        <v>161.80000000000001</v>
      </c>
      <c r="AC269">
        <v>151.19999999999999</v>
      </c>
      <c r="AD269">
        <v>151.69999999999999</v>
      </c>
      <c r="AE269">
        <v>152.69999999999999</v>
      </c>
    </row>
    <row r="270" spans="1:31" x14ac:dyDescent="0.3">
      <c r="A270" t="s">
        <v>33</v>
      </c>
      <c r="B270">
        <v>2020</v>
      </c>
      <c r="C270" t="s">
        <v>39</v>
      </c>
      <c r="D270" s="3">
        <v>43983</v>
      </c>
      <c r="E270">
        <v>152.69999999999999</v>
      </c>
      <c r="F270">
        <v>197</v>
      </c>
      <c r="G270">
        <v>154.6</v>
      </c>
      <c r="H270">
        <v>153.4</v>
      </c>
      <c r="I270">
        <v>132.9</v>
      </c>
      <c r="J270">
        <v>151.80000000000001</v>
      </c>
      <c r="K270">
        <v>171.2</v>
      </c>
      <c r="L270">
        <v>152</v>
      </c>
      <c r="M270">
        <v>116.3</v>
      </c>
      <c r="N270">
        <v>158.80000000000001</v>
      </c>
      <c r="O270">
        <v>135.6</v>
      </c>
      <c r="P270">
        <v>161.69999999999999</v>
      </c>
      <c r="Q270">
        <v>157</v>
      </c>
      <c r="R270">
        <v>186.7</v>
      </c>
      <c r="S270">
        <v>149.1</v>
      </c>
      <c r="T270">
        <v>136.6</v>
      </c>
      <c r="U270">
        <v>147.19999999999999</v>
      </c>
      <c r="V270">
        <v>154.69999999999999</v>
      </c>
      <c r="W270">
        <v>137.1</v>
      </c>
      <c r="X270">
        <v>140.4</v>
      </c>
      <c r="Y270">
        <v>148.1</v>
      </c>
      <c r="Z270">
        <v>129.30000000000001</v>
      </c>
      <c r="AA270">
        <v>144.5</v>
      </c>
      <c r="AB270">
        <v>152.5</v>
      </c>
      <c r="AC270">
        <v>152.19999999999999</v>
      </c>
      <c r="AD270">
        <v>142</v>
      </c>
      <c r="AE270">
        <v>150.80000000000001</v>
      </c>
    </row>
    <row r="271" spans="1:31" x14ac:dyDescent="0.3">
      <c r="A271" t="s">
        <v>34</v>
      </c>
      <c r="B271">
        <v>2020</v>
      </c>
      <c r="C271" t="s">
        <v>39</v>
      </c>
      <c r="D271" s="3">
        <v>43983</v>
      </c>
      <c r="E271">
        <v>149.6</v>
      </c>
      <c r="F271">
        <v>192.7</v>
      </c>
      <c r="G271">
        <v>151.4</v>
      </c>
      <c r="H271">
        <v>153.30000000000001</v>
      </c>
      <c r="I271">
        <v>136.30000000000001</v>
      </c>
      <c r="J271">
        <v>147.19999999999999</v>
      </c>
      <c r="K271">
        <v>156.5</v>
      </c>
      <c r="L271">
        <v>150.9</v>
      </c>
      <c r="M271">
        <v>114.2</v>
      </c>
      <c r="N271">
        <v>159.5</v>
      </c>
      <c r="O271">
        <v>139.4</v>
      </c>
      <c r="P271">
        <v>161.80000000000001</v>
      </c>
      <c r="Q271">
        <v>154</v>
      </c>
      <c r="R271">
        <v>183.5</v>
      </c>
      <c r="S271">
        <v>152.5</v>
      </c>
      <c r="T271">
        <v>144.4</v>
      </c>
      <c r="U271">
        <v>151.4</v>
      </c>
      <c r="V271">
        <v>154.69999999999999</v>
      </c>
      <c r="W271">
        <v>141.9</v>
      </c>
      <c r="X271">
        <v>146.4</v>
      </c>
      <c r="Y271">
        <v>154.4</v>
      </c>
      <c r="Z271">
        <v>135</v>
      </c>
      <c r="AA271">
        <v>148.30000000000001</v>
      </c>
      <c r="AB271">
        <v>156.4</v>
      </c>
      <c r="AC271">
        <v>151.6</v>
      </c>
      <c r="AD271">
        <v>147</v>
      </c>
      <c r="AE271">
        <v>151.80000000000001</v>
      </c>
    </row>
    <row r="272" spans="1:31" x14ac:dyDescent="0.3">
      <c r="A272" t="s">
        <v>30</v>
      </c>
      <c r="B272">
        <v>2020</v>
      </c>
      <c r="C272" t="s">
        <v>40</v>
      </c>
      <c r="D272" s="3">
        <v>44013</v>
      </c>
      <c r="E272">
        <v>148.19999999999999</v>
      </c>
      <c r="F272">
        <v>190.3</v>
      </c>
      <c r="G272">
        <v>149.4</v>
      </c>
      <c r="H272">
        <v>153.30000000000001</v>
      </c>
      <c r="I272">
        <v>138.19999999999999</v>
      </c>
      <c r="J272">
        <v>143.19999999999999</v>
      </c>
      <c r="K272">
        <v>148.9</v>
      </c>
      <c r="L272">
        <v>150.30000000000001</v>
      </c>
      <c r="M272">
        <v>113.2</v>
      </c>
      <c r="N272">
        <v>159.80000000000001</v>
      </c>
      <c r="O272">
        <v>142.1</v>
      </c>
      <c r="P272">
        <v>161.80000000000001</v>
      </c>
      <c r="Q272">
        <v>152.30000000000001</v>
      </c>
      <c r="R272">
        <v>182.4</v>
      </c>
      <c r="S272">
        <v>154.69999999999999</v>
      </c>
      <c r="T272">
        <v>150</v>
      </c>
      <c r="U272">
        <v>154.1</v>
      </c>
      <c r="W272">
        <v>144.9</v>
      </c>
      <c r="X272">
        <v>151.69999999999999</v>
      </c>
      <c r="Y272">
        <v>158.19999999999999</v>
      </c>
      <c r="Z272">
        <v>141.4</v>
      </c>
      <c r="AA272">
        <v>153.19999999999999</v>
      </c>
      <c r="AB272">
        <v>161.80000000000001</v>
      </c>
      <c r="AC272">
        <v>151.19999999999999</v>
      </c>
      <c r="AD272">
        <v>151.69999999999999</v>
      </c>
      <c r="AE272">
        <v>152.69999999999999</v>
      </c>
    </row>
    <row r="273" spans="1:31" x14ac:dyDescent="0.3">
      <c r="A273" t="s">
        <v>33</v>
      </c>
      <c r="B273">
        <v>2020</v>
      </c>
      <c r="C273" t="s">
        <v>40</v>
      </c>
      <c r="D273" s="3">
        <v>44013</v>
      </c>
      <c r="E273">
        <v>152.69999999999999</v>
      </c>
      <c r="F273">
        <v>197</v>
      </c>
      <c r="G273">
        <v>154.6</v>
      </c>
      <c r="H273">
        <v>153.4</v>
      </c>
      <c r="I273">
        <v>132.9</v>
      </c>
      <c r="J273">
        <v>151.80000000000001</v>
      </c>
      <c r="K273">
        <v>171.2</v>
      </c>
      <c r="L273">
        <v>152</v>
      </c>
      <c r="M273">
        <v>116.3</v>
      </c>
      <c r="N273">
        <v>158.80000000000001</v>
      </c>
      <c r="O273">
        <v>135.6</v>
      </c>
      <c r="P273">
        <v>161.69999999999999</v>
      </c>
      <c r="Q273">
        <v>157</v>
      </c>
      <c r="R273">
        <v>186.7</v>
      </c>
      <c r="S273">
        <v>149.1</v>
      </c>
      <c r="T273">
        <v>136.6</v>
      </c>
      <c r="U273">
        <v>147.19999999999999</v>
      </c>
      <c r="V273">
        <v>154.69999999999999</v>
      </c>
      <c r="W273">
        <v>137.1</v>
      </c>
      <c r="X273">
        <v>140.4</v>
      </c>
      <c r="Y273">
        <v>148.1</v>
      </c>
      <c r="Z273">
        <v>129.30000000000001</v>
      </c>
      <c r="AA273">
        <v>144.5</v>
      </c>
      <c r="AB273">
        <v>152.5</v>
      </c>
      <c r="AC273">
        <v>152.19999999999999</v>
      </c>
      <c r="AD273">
        <v>142</v>
      </c>
      <c r="AE273">
        <v>150.80000000000001</v>
      </c>
    </row>
    <row r="274" spans="1:31" x14ac:dyDescent="0.3">
      <c r="A274" t="s">
        <v>34</v>
      </c>
      <c r="B274">
        <v>2020</v>
      </c>
      <c r="C274" t="s">
        <v>40</v>
      </c>
      <c r="D274" s="3">
        <v>44013</v>
      </c>
      <c r="E274">
        <v>149.6</v>
      </c>
      <c r="F274">
        <v>192.7</v>
      </c>
      <c r="G274">
        <v>151.4</v>
      </c>
      <c r="H274">
        <v>153.30000000000001</v>
      </c>
      <c r="I274">
        <v>136.30000000000001</v>
      </c>
      <c r="J274">
        <v>147.19999999999999</v>
      </c>
      <c r="K274">
        <v>156.5</v>
      </c>
      <c r="L274">
        <v>150.9</v>
      </c>
      <c r="M274">
        <v>114.2</v>
      </c>
      <c r="N274">
        <v>159.5</v>
      </c>
      <c r="O274">
        <v>139.4</v>
      </c>
      <c r="P274">
        <v>161.80000000000001</v>
      </c>
      <c r="Q274">
        <v>154</v>
      </c>
      <c r="R274">
        <v>183.5</v>
      </c>
      <c r="S274">
        <v>152.5</v>
      </c>
      <c r="T274">
        <v>144.4</v>
      </c>
      <c r="U274">
        <v>151.4</v>
      </c>
      <c r="V274">
        <v>154.69999999999999</v>
      </c>
      <c r="W274">
        <v>141.9</v>
      </c>
      <c r="X274">
        <v>146.4</v>
      </c>
      <c r="Y274">
        <v>154.4</v>
      </c>
      <c r="Z274">
        <v>135</v>
      </c>
      <c r="AA274">
        <v>148.30000000000001</v>
      </c>
      <c r="AB274">
        <v>156.4</v>
      </c>
      <c r="AC274">
        <v>151.6</v>
      </c>
      <c r="AD274">
        <v>147</v>
      </c>
      <c r="AE274">
        <v>151.80000000000001</v>
      </c>
    </row>
    <row r="275" spans="1:31" x14ac:dyDescent="0.3">
      <c r="A275" t="s">
        <v>30</v>
      </c>
      <c r="B275">
        <v>2020</v>
      </c>
      <c r="C275" t="s">
        <v>41</v>
      </c>
      <c r="D275" s="3">
        <v>44044</v>
      </c>
      <c r="E275">
        <v>147.6</v>
      </c>
      <c r="F275">
        <v>187.2</v>
      </c>
      <c r="G275">
        <v>148.4</v>
      </c>
      <c r="H275">
        <v>153.30000000000001</v>
      </c>
      <c r="I275">
        <v>139.80000000000001</v>
      </c>
      <c r="J275">
        <v>146.9</v>
      </c>
      <c r="K275">
        <v>171</v>
      </c>
      <c r="L275">
        <v>149.9</v>
      </c>
      <c r="M275">
        <v>114.2</v>
      </c>
      <c r="N275">
        <v>160</v>
      </c>
      <c r="O275">
        <v>143.5</v>
      </c>
      <c r="P275">
        <v>161.5</v>
      </c>
      <c r="Q275">
        <v>155.30000000000001</v>
      </c>
      <c r="R275">
        <v>180.9</v>
      </c>
      <c r="S275">
        <v>155.1</v>
      </c>
      <c r="T275">
        <v>149.30000000000001</v>
      </c>
      <c r="U275">
        <v>154.30000000000001</v>
      </c>
      <c r="W275">
        <v>145.80000000000001</v>
      </c>
      <c r="X275">
        <v>151.9</v>
      </c>
      <c r="Y275">
        <v>158.80000000000001</v>
      </c>
      <c r="Z275">
        <v>143.6</v>
      </c>
      <c r="AA275">
        <v>152.19999999999999</v>
      </c>
      <c r="AB275">
        <v>162.69999999999999</v>
      </c>
      <c r="AC275">
        <v>153.6</v>
      </c>
      <c r="AD275">
        <v>153</v>
      </c>
      <c r="AE275">
        <v>154.69999999999999</v>
      </c>
    </row>
    <row r="276" spans="1:31" x14ac:dyDescent="0.3">
      <c r="A276" t="s">
        <v>33</v>
      </c>
      <c r="B276">
        <v>2020</v>
      </c>
      <c r="C276" t="s">
        <v>41</v>
      </c>
      <c r="D276" s="3">
        <v>44044</v>
      </c>
      <c r="E276">
        <v>151.6</v>
      </c>
      <c r="F276">
        <v>197.8</v>
      </c>
      <c r="G276">
        <v>154.5</v>
      </c>
      <c r="H276">
        <v>153.4</v>
      </c>
      <c r="I276">
        <v>133.4</v>
      </c>
      <c r="J276">
        <v>154.5</v>
      </c>
      <c r="K276">
        <v>191.9</v>
      </c>
      <c r="L276">
        <v>151.30000000000001</v>
      </c>
      <c r="M276">
        <v>116.8</v>
      </c>
      <c r="N276">
        <v>160</v>
      </c>
      <c r="O276">
        <v>136.5</v>
      </c>
      <c r="P276">
        <v>163.30000000000001</v>
      </c>
      <c r="Q276">
        <v>159.9</v>
      </c>
      <c r="R276">
        <v>187.2</v>
      </c>
      <c r="S276">
        <v>150</v>
      </c>
      <c r="T276">
        <v>135.19999999999999</v>
      </c>
      <c r="U276">
        <v>147.80000000000001</v>
      </c>
      <c r="V276">
        <v>155.5</v>
      </c>
      <c r="W276">
        <v>138.30000000000001</v>
      </c>
      <c r="X276">
        <v>144.5</v>
      </c>
      <c r="Y276">
        <v>148.69999999999999</v>
      </c>
      <c r="Z276">
        <v>133.9</v>
      </c>
      <c r="AA276">
        <v>141.19999999999999</v>
      </c>
      <c r="AB276">
        <v>155.5</v>
      </c>
      <c r="AC276">
        <v>155.19999999999999</v>
      </c>
      <c r="AD276">
        <v>144.80000000000001</v>
      </c>
      <c r="AE276">
        <v>152.9</v>
      </c>
    </row>
    <row r="277" spans="1:31" x14ac:dyDescent="0.3">
      <c r="A277" t="s">
        <v>34</v>
      </c>
      <c r="B277">
        <v>2020</v>
      </c>
      <c r="C277" t="s">
        <v>41</v>
      </c>
      <c r="D277" s="3">
        <v>44044</v>
      </c>
      <c r="E277">
        <v>148.9</v>
      </c>
      <c r="F277">
        <v>190.9</v>
      </c>
      <c r="G277">
        <v>150.80000000000001</v>
      </c>
      <c r="H277">
        <v>153.30000000000001</v>
      </c>
      <c r="I277">
        <v>137.4</v>
      </c>
      <c r="J277">
        <v>150.4</v>
      </c>
      <c r="K277">
        <v>178.1</v>
      </c>
      <c r="L277">
        <v>150.4</v>
      </c>
      <c r="M277">
        <v>115.1</v>
      </c>
      <c r="N277">
        <v>160</v>
      </c>
      <c r="O277">
        <v>140.6</v>
      </c>
      <c r="P277">
        <v>162.30000000000001</v>
      </c>
      <c r="Q277">
        <v>157</v>
      </c>
      <c r="R277">
        <v>182.6</v>
      </c>
      <c r="S277">
        <v>153.1</v>
      </c>
      <c r="T277">
        <v>143.4</v>
      </c>
      <c r="U277">
        <v>151.69999999999999</v>
      </c>
      <c r="V277">
        <v>155.5</v>
      </c>
      <c r="W277">
        <v>143</v>
      </c>
      <c r="X277">
        <v>148.4</v>
      </c>
      <c r="Y277">
        <v>155</v>
      </c>
      <c r="Z277">
        <v>138.5</v>
      </c>
      <c r="AA277">
        <v>146</v>
      </c>
      <c r="AB277">
        <v>158.5</v>
      </c>
      <c r="AC277">
        <v>154.30000000000001</v>
      </c>
      <c r="AD277">
        <v>149</v>
      </c>
      <c r="AE277">
        <v>153.9</v>
      </c>
    </row>
    <row r="278" spans="1:31" x14ac:dyDescent="0.3">
      <c r="A278" t="s">
        <v>30</v>
      </c>
      <c r="B278">
        <v>2020</v>
      </c>
      <c r="C278" t="s">
        <v>42</v>
      </c>
      <c r="D278" s="3">
        <v>44075</v>
      </c>
      <c r="E278">
        <v>146.9</v>
      </c>
      <c r="F278">
        <v>183.9</v>
      </c>
      <c r="G278">
        <v>149.5</v>
      </c>
      <c r="H278">
        <v>153.4</v>
      </c>
      <c r="I278">
        <v>140.4</v>
      </c>
      <c r="J278">
        <v>147</v>
      </c>
      <c r="K278">
        <v>178.8</v>
      </c>
      <c r="L278">
        <v>149.30000000000001</v>
      </c>
      <c r="M278">
        <v>115.1</v>
      </c>
      <c r="N278">
        <v>160</v>
      </c>
      <c r="O278">
        <v>145.4</v>
      </c>
      <c r="P278">
        <v>161.6</v>
      </c>
      <c r="Q278">
        <v>156.1</v>
      </c>
      <c r="R278">
        <v>182.9</v>
      </c>
      <c r="S278">
        <v>155.4</v>
      </c>
      <c r="T278">
        <v>149.9</v>
      </c>
      <c r="U278">
        <v>154.6</v>
      </c>
      <c r="W278">
        <v>146.4</v>
      </c>
      <c r="X278">
        <v>151.6</v>
      </c>
      <c r="Y278">
        <v>159.1</v>
      </c>
      <c r="Z278">
        <v>144.6</v>
      </c>
      <c r="AA278">
        <v>152.80000000000001</v>
      </c>
      <c r="AB278">
        <v>161.1</v>
      </c>
      <c r="AC278">
        <v>157.4</v>
      </c>
      <c r="AD278">
        <v>153.69999999999999</v>
      </c>
      <c r="AE278">
        <v>155.4</v>
      </c>
    </row>
    <row r="279" spans="1:31" x14ac:dyDescent="0.3">
      <c r="A279" t="s">
        <v>33</v>
      </c>
      <c r="B279">
        <v>2020</v>
      </c>
      <c r="C279" t="s">
        <v>42</v>
      </c>
      <c r="D279" s="3">
        <v>44075</v>
      </c>
      <c r="E279">
        <v>151.5</v>
      </c>
      <c r="F279">
        <v>193.1</v>
      </c>
      <c r="G279">
        <v>157.30000000000001</v>
      </c>
      <c r="H279">
        <v>153.9</v>
      </c>
      <c r="I279">
        <v>134.4</v>
      </c>
      <c r="J279">
        <v>155.4</v>
      </c>
      <c r="K279">
        <v>202</v>
      </c>
      <c r="L279">
        <v>150.80000000000001</v>
      </c>
      <c r="M279">
        <v>118.9</v>
      </c>
      <c r="N279">
        <v>160.9</v>
      </c>
      <c r="O279">
        <v>137.69999999999999</v>
      </c>
      <c r="P279">
        <v>164.4</v>
      </c>
      <c r="Q279">
        <v>161.30000000000001</v>
      </c>
      <c r="R279">
        <v>188.7</v>
      </c>
      <c r="S279">
        <v>150.19999999999999</v>
      </c>
      <c r="T279">
        <v>136.30000000000001</v>
      </c>
      <c r="U279">
        <v>148.1</v>
      </c>
      <c r="V279">
        <v>156.30000000000001</v>
      </c>
      <c r="W279">
        <v>137.19999999999999</v>
      </c>
      <c r="X279">
        <v>145.4</v>
      </c>
      <c r="Y279">
        <v>150</v>
      </c>
      <c r="Z279">
        <v>135.1</v>
      </c>
      <c r="AA279">
        <v>141.80000000000001</v>
      </c>
      <c r="AB279">
        <v>154.9</v>
      </c>
      <c r="AC279">
        <v>159.80000000000001</v>
      </c>
      <c r="AD279">
        <v>146</v>
      </c>
      <c r="AE279">
        <v>154</v>
      </c>
    </row>
    <row r="280" spans="1:31" x14ac:dyDescent="0.3">
      <c r="A280" t="s">
        <v>34</v>
      </c>
      <c r="B280">
        <v>2020</v>
      </c>
      <c r="C280" t="s">
        <v>42</v>
      </c>
      <c r="D280" s="3">
        <v>44075</v>
      </c>
      <c r="E280">
        <v>148.4</v>
      </c>
      <c r="F280">
        <v>187.1</v>
      </c>
      <c r="G280">
        <v>152.5</v>
      </c>
      <c r="H280">
        <v>153.6</v>
      </c>
      <c r="I280">
        <v>138.19999999999999</v>
      </c>
      <c r="J280">
        <v>150.9</v>
      </c>
      <c r="K280">
        <v>186.7</v>
      </c>
      <c r="L280">
        <v>149.80000000000001</v>
      </c>
      <c r="M280">
        <v>116.4</v>
      </c>
      <c r="N280">
        <v>160.30000000000001</v>
      </c>
      <c r="O280">
        <v>142.19999999999999</v>
      </c>
      <c r="P280">
        <v>162.9</v>
      </c>
      <c r="Q280">
        <v>158</v>
      </c>
      <c r="R280">
        <v>184.4</v>
      </c>
      <c r="S280">
        <v>153.4</v>
      </c>
      <c r="T280">
        <v>144.30000000000001</v>
      </c>
      <c r="U280">
        <v>152</v>
      </c>
      <c r="V280">
        <v>156.30000000000001</v>
      </c>
      <c r="W280">
        <v>142.9</v>
      </c>
      <c r="X280">
        <v>148.69999999999999</v>
      </c>
      <c r="Y280">
        <v>155.6</v>
      </c>
      <c r="Z280">
        <v>139.6</v>
      </c>
      <c r="AA280">
        <v>146.6</v>
      </c>
      <c r="AB280">
        <v>157.5</v>
      </c>
      <c r="AC280">
        <v>158.4</v>
      </c>
      <c r="AD280">
        <v>150</v>
      </c>
      <c r="AE280">
        <v>154.69999999999999</v>
      </c>
    </row>
    <row r="281" spans="1:31" x14ac:dyDescent="0.3">
      <c r="A281" t="s">
        <v>30</v>
      </c>
      <c r="B281">
        <v>2020</v>
      </c>
      <c r="C281" t="s">
        <v>43</v>
      </c>
      <c r="D281" s="3">
        <v>44105</v>
      </c>
      <c r="E281">
        <v>146</v>
      </c>
      <c r="F281">
        <v>186.3</v>
      </c>
      <c r="G281">
        <v>159.19999999999999</v>
      </c>
      <c r="H281">
        <v>153.6</v>
      </c>
      <c r="I281">
        <v>142.6</v>
      </c>
      <c r="J281">
        <v>147.19999999999999</v>
      </c>
      <c r="K281">
        <v>200.6</v>
      </c>
      <c r="L281">
        <v>150.30000000000001</v>
      </c>
      <c r="M281">
        <v>115.3</v>
      </c>
      <c r="N281">
        <v>160.9</v>
      </c>
      <c r="O281">
        <v>147.4</v>
      </c>
      <c r="P281">
        <v>161.9</v>
      </c>
      <c r="Q281">
        <v>159.6</v>
      </c>
      <c r="R281">
        <v>182.7</v>
      </c>
      <c r="S281">
        <v>155.69999999999999</v>
      </c>
      <c r="T281">
        <v>150.6</v>
      </c>
      <c r="U281">
        <v>155</v>
      </c>
      <c r="W281">
        <v>146.80000000000001</v>
      </c>
      <c r="X281">
        <v>152</v>
      </c>
      <c r="Y281">
        <v>159.5</v>
      </c>
      <c r="Z281">
        <v>146.4</v>
      </c>
      <c r="AA281">
        <v>152.4</v>
      </c>
      <c r="AB281">
        <v>162.5</v>
      </c>
      <c r="AC281">
        <v>156.19999999999999</v>
      </c>
      <c r="AD281">
        <v>154.30000000000001</v>
      </c>
      <c r="AE281">
        <v>157.5</v>
      </c>
    </row>
    <row r="282" spans="1:31" x14ac:dyDescent="0.3">
      <c r="A282" t="s">
        <v>33</v>
      </c>
      <c r="B282">
        <v>2020</v>
      </c>
      <c r="C282" t="s">
        <v>43</v>
      </c>
      <c r="D282" s="3">
        <v>44105</v>
      </c>
      <c r="E282">
        <v>150.6</v>
      </c>
      <c r="F282">
        <v>193.7</v>
      </c>
      <c r="G282">
        <v>164.8</v>
      </c>
      <c r="H282">
        <v>153.69999999999999</v>
      </c>
      <c r="I282">
        <v>135.69999999999999</v>
      </c>
      <c r="J282">
        <v>155.69999999999999</v>
      </c>
      <c r="K282">
        <v>226</v>
      </c>
      <c r="L282">
        <v>152.19999999999999</v>
      </c>
      <c r="M282">
        <v>118.1</v>
      </c>
      <c r="N282">
        <v>161.30000000000001</v>
      </c>
      <c r="O282">
        <v>139.19999999999999</v>
      </c>
      <c r="P282">
        <v>164.8</v>
      </c>
      <c r="Q282">
        <v>164.4</v>
      </c>
      <c r="R282">
        <v>188.7</v>
      </c>
      <c r="S282">
        <v>150.5</v>
      </c>
      <c r="T282">
        <v>136.1</v>
      </c>
      <c r="U282">
        <v>148.30000000000001</v>
      </c>
      <c r="V282">
        <v>156.5</v>
      </c>
      <c r="W282">
        <v>137.1</v>
      </c>
      <c r="X282">
        <v>145.1</v>
      </c>
      <c r="Y282">
        <v>151</v>
      </c>
      <c r="Z282">
        <v>135.4</v>
      </c>
      <c r="AA282">
        <v>142</v>
      </c>
      <c r="AB282">
        <v>155.69999999999999</v>
      </c>
      <c r="AC282">
        <v>158.1</v>
      </c>
      <c r="AD282">
        <v>146.19999999999999</v>
      </c>
      <c r="AE282">
        <v>155.19999999999999</v>
      </c>
    </row>
    <row r="283" spans="1:31" x14ac:dyDescent="0.3">
      <c r="A283" t="s">
        <v>34</v>
      </c>
      <c r="B283">
        <v>2020</v>
      </c>
      <c r="C283" t="s">
        <v>43</v>
      </c>
      <c r="D283" s="3">
        <v>44105</v>
      </c>
      <c r="E283">
        <v>147.5</v>
      </c>
      <c r="F283">
        <v>188.9</v>
      </c>
      <c r="G283">
        <v>161.4</v>
      </c>
      <c r="H283">
        <v>153.6</v>
      </c>
      <c r="I283">
        <v>140.1</v>
      </c>
      <c r="J283">
        <v>151.19999999999999</v>
      </c>
      <c r="K283">
        <v>209.2</v>
      </c>
      <c r="L283">
        <v>150.9</v>
      </c>
      <c r="M283">
        <v>116.2</v>
      </c>
      <c r="N283">
        <v>161</v>
      </c>
      <c r="O283">
        <v>144</v>
      </c>
      <c r="P283">
        <v>163.19999999999999</v>
      </c>
      <c r="Q283">
        <v>161.4</v>
      </c>
      <c r="R283">
        <v>184.3</v>
      </c>
      <c r="S283">
        <v>153.69999999999999</v>
      </c>
      <c r="T283">
        <v>144.6</v>
      </c>
      <c r="U283">
        <v>152.30000000000001</v>
      </c>
      <c r="V283">
        <v>156.5</v>
      </c>
      <c r="W283">
        <v>143.1</v>
      </c>
      <c r="X283">
        <v>148.69999999999999</v>
      </c>
      <c r="Y283">
        <v>156.30000000000001</v>
      </c>
      <c r="Z283">
        <v>140.6</v>
      </c>
      <c r="AA283">
        <v>146.5</v>
      </c>
      <c r="AB283">
        <v>158.5</v>
      </c>
      <c r="AC283">
        <v>157</v>
      </c>
      <c r="AD283">
        <v>150.4</v>
      </c>
      <c r="AE283">
        <v>156.4</v>
      </c>
    </row>
    <row r="284" spans="1:31" x14ac:dyDescent="0.3">
      <c r="A284" t="s">
        <v>30</v>
      </c>
      <c r="B284">
        <v>2020</v>
      </c>
      <c r="C284" t="s">
        <v>45</v>
      </c>
      <c r="D284" s="3">
        <v>44136</v>
      </c>
      <c r="E284">
        <v>145.4</v>
      </c>
      <c r="F284">
        <v>188.6</v>
      </c>
      <c r="G284">
        <v>171.6</v>
      </c>
      <c r="H284">
        <v>153.80000000000001</v>
      </c>
      <c r="I284">
        <v>145.4</v>
      </c>
      <c r="J284">
        <v>146.5</v>
      </c>
      <c r="K284">
        <v>222.2</v>
      </c>
      <c r="L284">
        <v>155.9</v>
      </c>
      <c r="M284">
        <v>114.9</v>
      </c>
      <c r="N284">
        <v>162</v>
      </c>
      <c r="O284">
        <v>150</v>
      </c>
      <c r="P284">
        <v>162.69999999999999</v>
      </c>
      <c r="Q284">
        <v>163.4</v>
      </c>
      <c r="R284">
        <v>183.4</v>
      </c>
      <c r="S284">
        <v>156.30000000000001</v>
      </c>
      <c r="T284">
        <v>151</v>
      </c>
      <c r="U284">
        <v>155.5</v>
      </c>
      <c r="W284">
        <v>147.5</v>
      </c>
      <c r="X284">
        <v>152.80000000000001</v>
      </c>
      <c r="Y284">
        <v>160.4</v>
      </c>
      <c r="Z284">
        <v>146.1</v>
      </c>
      <c r="AA284">
        <v>153.6</v>
      </c>
      <c r="AB284">
        <v>161.6</v>
      </c>
      <c r="AC284">
        <v>156.19999999999999</v>
      </c>
      <c r="AD284">
        <v>154.5</v>
      </c>
      <c r="AE284">
        <v>159.80000000000001</v>
      </c>
    </row>
    <row r="285" spans="1:31" x14ac:dyDescent="0.3">
      <c r="A285" t="s">
        <v>33</v>
      </c>
      <c r="B285">
        <v>2020</v>
      </c>
      <c r="C285" t="s">
        <v>45</v>
      </c>
      <c r="D285" s="3">
        <v>44136</v>
      </c>
      <c r="E285">
        <v>149.69999999999999</v>
      </c>
      <c r="F285">
        <v>195.5</v>
      </c>
      <c r="G285">
        <v>176.9</v>
      </c>
      <c r="H285">
        <v>153.9</v>
      </c>
      <c r="I285">
        <v>138</v>
      </c>
      <c r="J285">
        <v>150.5</v>
      </c>
      <c r="K285">
        <v>245.3</v>
      </c>
      <c r="L285">
        <v>158.69999999999999</v>
      </c>
      <c r="M285">
        <v>117.2</v>
      </c>
      <c r="N285">
        <v>161.4</v>
      </c>
      <c r="O285">
        <v>141.5</v>
      </c>
      <c r="P285">
        <v>165.1</v>
      </c>
      <c r="Q285">
        <v>167</v>
      </c>
      <c r="R285">
        <v>188.8</v>
      </c>
      <c r="S285">
        <v>151.1</v>
      </c>
      <c r="T285">
        <v>136.4</v>
      </c>
      <c r="U285">
        <v>148.80000000000001</v>
      </c>
      <c r="V285">
        <v>158</v>
      </c>
      <c r="W285">
        <v>137.30000000000001</v>
      </c>
      <c r="X285">
        <v>145.1</v>
      </c>
      <c r="Y285">
        <v>152</v>
      </c>
      <c r="Z285">
        <v>135.19999999999999</v>
      </c>
      <c r="AA285">
        <v>144.4</v>
      </c>
      <c r="AB285">
        <v>156.4</v>
      </c>
      <c r="AC285">
        <v>157.9</v>
      </c>
      <c r="AD285">
        <v>146.6</v>
      </c>
      <c r="AE285">
        <v>156.69999999999999</v>
      </c>
    </row>
    <row r="286" spans="1:31" x14ac:dyDescent="0.3">
      <c r="A286" t="s">
        <v>34</v>
      </c>
      <c r="B286">
        <v>2020</v>
      </c>
      <c r="C286" t="s">
        <v>45</v>
      </c>
      <c r="D286" s="3">
        <v>44136</v>
      </c>
      <c r="E286">
        <v>146.80000000000001</v>
      </c>
      <c r="F286">
        <v>191</v>
      </c>
      <c r="G286">
        <v>173.6</v>
      </c>
      <c r="H286">
        <v>153.80000000000001</v>
      </c>
      <c r="I286">
        <v>142.69999999999999</v>
      </c>
      <c r="J286">
        <v>148.4</v>
      </c>
      <c r="K286">
        <v>230</v>
      </c>
      <c r="L286">
        <v>156.80000000000001</v>
      </c>
      <c r="M286">
        <v>115.7</v>
      </c>
      <c r="N286">
        <v>161.80000000000001</v>
      </c>
      <c r="O286">
        <v>146.5</v>
      </c>
      <c r="P286">
        <v>163.80000000000001</v>
      </c>
      <c r="Q286">
        <v>164.7</v>
      </c>
      <c r="R286">
        <v>184.8</v>
      </c>
      <c r="S286">
        <v>154.30000000000001</v>
      </c>
      <c r="T286">
        <v>144.9</v>
      </c>
      <c r="U286">
        <v>152.80000000000001</v>
      </c>
      <c r="V286">
        <v>158</v>
      </c>
      <c r="W286">
        <v>143.6</v>
      </c>
      <c r="X286">
        <v>149.19999999999999</v>
      </c>
      <c r="Y286">
        <v>157.19999999999999</v>
      </c>
      <c r="Z286">
        <v>140.4</v>
      </c>
      <c r="AA286">
        <v>148.4</v>
      </c>
      <c r="AB286">
        <v>158.6</v>
      </c>
      <c r="AC286">
        <v>156.9</v>
      </c>
      <c r="AD286">
        <v>150.69999999999999</v>
      </c>
      <c r="AE286">
        <v>158.4</v>
      </c>
    </row>
    <row r="287" spans="1:31" x14ac:dyDescent="0.3">
      <c r="A287" t="s">
        <v>30</v>
      </c>
      <c r="B287">
        <v>2020</v>
      </c>
      <c r="C287" t="s">
        <v>46</v>
      </c>
      <c r="D287" s="3">
        <v>44166</v>
      </c>
      <c r="E287">
        <v>144.6</v>
      </c>
      <c r="F287">
        <v>188.5</v>
      </c>
      <c r="G287">
        <v>173.4</v>
      </c>
      <c r="H287">
        <v>154</v>
      </c>
      <c r="I287">
        <v>150</v>
      </c>
      <c r="J287">
        <v>145.9</v>
      </c>
      <c r="K287">
        <v>225.2</v>
      </c>
      <c r="L287">
        <v>159.5</v>
      </c>
      <c r="M287">
        <v>114.4</v>
      </c>
      <c r="N287">
        <v>163.5</v>
      </c>
      <c r="O287">
        <v>153.4</v>
      </c>
      <c r="P287">
        <v>163.6</v>
      </c>
      <c r="Q287">
        <v>164.5</v>
      </c>
      <c r="R287">
        <v>183.6</v>
      </c>
      <c r="S287">
        <v>157</v>
      </c>
      <c r="T287">
        <v>151.6</v>
      </c>
      <c r="U287">
        <v>156.30000000000001</v>
      </c>
      <c r="W287">
        <v>148.69999999999999</v>
      </c>
      <c r="X287">
        <v>153.4</v>
      </c>
      <c r="Y287">
        <v>161.6</v>
      </c>
      <c r="Z287">
        <v>146.4</v>
      </c>
      <c r="AA287">
        <v>153.9</v>
      </c>
      <c r="AB287">
        <v>162.9</v>
      </c>
      <c r="AC287">
        <v>156.6</v>
      </c>
      <c r="AD287">
        <v>155.19999999999999</v>
      </c>
      <c r="AE287">
        <v>160.69999999999999</v>
      </c>
    </row>
    <row r="288" spans="1:31" x14ac:dyDescent="0.3">
      <c r="A288" t="s">
        <v>33</v>
      </c>
      <c r="B288">
        <v>2020</v>
      </c>
      <c r="C288" t="s">
        <v>46</v>
      </c>
      <c r="D288" s="3">
        <v>44166</v>
      </c>
      <c r="E288">
        <v>149</v>
      </c>
      <c r="F288">
        <v>195.7</v>
      </c>
      <c r="G288">
        <v>178.3</v>
      </c>
      <c r="H288">
        <v>154.19999999999999</v>
      </c>
      <c r="I288">
        <v>140.69999999999999</v>
      </c>
      <c r="J288">
        <v>149.69999999999999</v>
      </c>
      <c r="K288">
        <v>240.9</v>
      </c>
      <c r="L288">
        <v>161.5</v>
      </c>
      <c r="M288">
        <v>117.1</v>
      </c>
      <c r="N288">
        <v>161.9</v>
      </c>
      <c r="O288">
        <v>143.30000000000001</v>
      </c>
      <c r="P288">
        <v>166.1</v>
      </c>
      <c r="Q288">
        <v>167</v>
      </c>
      <c r="R288">
        <v>190.2</v>
      </c>
      <c r="S288">
        <v>151.9</v>
      </c>
      <c r="T288">
        <v>136.69999999999999</v>
      </c>
      <c r="U288">
        <v>149.6</v>
      </c>
      <c r="V288">
        <v>158.4</v>
      </c>
      <c r="W288">
        <v>137.9</v>
      </c>
      <c r="X288">
        <v>145.5</v>
      </c>
      <c r="Y288">
        <v>152.9</v>
      </c>
      <c r="Z288">
        <v>135.5</v>
      </c>
      <c r="AA288">
        <v>144.30000000000001</v>
      </c>
      <c r="AB288">
        <v>156.9</v>
      </c>
      <c r="AC288">
        <v>157.9</v>
      </c>
      <c r="AD288">
        <v>146.9</v>
      </c>
      <c r="AE288">
        <v>156.9</v>
      </c>
    </row>
    <row r="289" spans="1:31" x14ac:dyDescent="0.3">
      <c r="A289" t="s">
        <v>34</v>
      </c>
      <c r="B289">
        <v>2020</v>
      </c>
      <c r="C289" t="s">
        <v>46</v>
      </c>
      <c r="D289" s="3">
        <v>44166</v>
      </c>
      <c r="E289">
        <v>146</v>
      </c>
      <c r="F289">
        <v>191</v>
      </c>
      <c r="G289">
        <v>175.3</v>
      </c>
      <c r="H289">
        <v>154.1</v>
      </c>
      <c r="I289">
        <v>146.6</v>
      </c>
      <c r="J289">
        <v>147.69999999999999</v>
      </c>
      <c r="K289">
        <v>230.5</v>
      </c>
      <c r="L289">
        <v>160.19999999999999</v>
      </c>
      <c r="M289">
        <v>115.3</v>
      </c>
      <c r="N289">
        <v>163</v>
      </c>
      <c r="O289">
        <v>149.19999999999999</v>
      </c>
      <c r="P289">
        <v>164.8</v>
      </c>
      <c r="Q289">
        <v>165.4</v>
      </c>
      <c r="R289">
        <v>185.4</v>
      </c>
      <c r="S289">
        <v>155</v>
      </c>
      <c r="T289">
        <v>145.4</v>
      </c>
      <c r="U289">
        <v>153.6</v>
      </c>
      <c r="V289">
        <v>158.4</v>
      </c>
      <c r="W289">
        <v>144.6</v>
      </c>
      <c r="X289">
        <v>149.69999999999999</v>
      </c>
      <c r="Y289">
        <v>158.30000000000001</v>
      </c>
      <c r="Z289">
        <v>140.69999999999999</v>
      </c>
      <c r="AA289">
        <v>148.5</v>
      </c>
      <c r="AB289">
        <v>159.4</v>
      </c>
      <c r="AC289">
        <v>157.1</v>
      </c>
      <c r="AD289">
        <v>151.19999999999999</v>
      </c>
      <c r="AE289">
        <v>158.9</v>
      </c>
    </row>
    <row r="290" spans="1:31" x14ac:dyDescent="0.3">
      <c r="A290" t="s">
        <v>30</v>
      </c>
      <c r="B290">
        <v>2021</v>
      </c>
      <c r="C290" t="s">
        <v>31</v>
      </c>
      <c r="D290" s="3">
        <v>44197</v>
      </c>
      <c r="E290">
        <v>143.4</v>
      </c>
      <c r="F290">
        <v>187.5</v>
      </c>
      <c r="G290">
        <v>173.4</v>
      </c>
      <c r="H290">
        <v>154</v>
      </c>
      <c r="I290">
        <v>154.80000000000001</v>
      </c>
      <c r="J290">
        <v>147</v>
      </c>
      <c r="K290">
        <v>187.8</v>
      </c>
      <c r="L290">
        <v>159.5</v>
      </c>
      <c r="M290">
        <v>113.8</v>
      </c>
      <c r="N290">
        <v>164.5</v>
      </c>
      <c r="O290">
        <v>156.1</v>
      </c>
      <c r="P290">
        <v>164.3</v>
      </c>
      <c r="Q290">
        <v>159.6</v>
      </c>
      <c r="R290">
        <v>184.6</v>
      </c>
      <c r="S290">
        <v>157.5</v>
      </c>
      <c r="T290">
        <v>152.4</v>
      </c>
      <c r="U290">
        <v>156.80000000000001</v>
      </c>
      <c r="W290">
        <v>150.9</v>
      </c>
      <c r="X290">
        <v>153.9</v>
      </c>
      <c r="Y290">
        <v>162.5</v>
      </c>
      <c r="Z290">
        <v>147.5</v>
      </c>
      <c r="AA290">
        <v>155.1</v>
      </c>
      <c r="AB290">
        <v>163.5</v>
      </c>
      <c r="AC290">
        <v>156.19999999999999</v>
      </c>
      <c r="AD290">
        <v>155.9</v>
      </c>
      <c r="AE290">
        <v>158.5</v>
      </c>
    </row>
    <row r="291" spans="1:31" x14ac:dyDescent="0.3">
      <c r="A291" t="s">
        <v>33</v>
      </c>
      <c r="B291">
        <v>2021</v>
      </c>
      <c r="C291" t="s">
        <v>31</v>
      </c>
      <c r="D291" s="3">
        <v>44197</v>
      </c>
      <c r="E291">
        <v>148</v>
      </c>
      <c r="F291">
        <v>194.8</v>
      </c>
      <c r="G291">
        <v>178.4</v>
      </c>
      <c r="H291">
        <v>154.4</v>
      </c>
      <c r="I291">
        <v>144.1</v>
      </c>
      <c r="J291">
        <v>152.6</v>
      </c>
      <c r="K291">
        <v>206.8</v>
      </c>
      <c r="L291">
        <v>162.1</v>
      </c>
      <c r="M291">
        <v>116.3</v>
      </c>
      <c r="N291">
        <v>163</v>
      </c>
      <c r="O291">
        <v>145.9</v>
      </c>
      <c r="P291">
        <v>167.2</v>
      </c>
      <c r="Q291">
        <v>163.4</v>
      </c>
      <c r="R291">
        <v>191.8</v>
      </c>
      <c r="S291">
        <v>152.5</v>
      </c>
      <c r="T291">
        <v>137.30000000000001</v>
      </c>
      <c r="U291">
        <v>150.19999999999999</v>
      </c>
      <c r="V291">
        <v>157.69999999999999</v>
      </c>
      <c r="W291">
        <v>142.9</v>
      </c>
      <c r="X291">
        <v>145.69999999999999</v>
      </c>
      <c r="Y291">
        <v>154.1</v>
      </c>
      <c r="Z291">
        <v>136.9</v>
      </c>
      <c r="AA291">
        <v>145.4</v>
      </c>
      <c r="AB291">
        <v>156.1</v>
      </c>
      <c r="AC291">
        <v>157.69999999999999</v>
      </c>
      <c r="AD291">
        <v>147.6</v>
      </c>
      <c r="AE291">
        <v>156</v>
      </c>
    </row>
    <row r="292" spans="1:31" x14ac:dyDescent="0.3">
      <c r="A292" t="s">
        <v>34</v>
      </c>
      <c r="B292">
        <v>2021</v>
      </c>
      <c r="C292" t="s">
        <v>31</v>
      </c>
      <c r="D292" s="3">
        <v>44197</v>
      </c>
      <c r="E292">
        <v>144.9</v>
      </c>
      <c r="F292">
        <v>190.1</v>
      </c>
      <c r="G292">
        <v>175.3</v>
      </c>
      <c r="H292">
        <v>154.1</v>
      </c>
      <c r="I292">
        <v>150.9</v>
      </c>
      <c r="J292">
        <v>149.6</v>
      </c>
      <c r="K292">
        <v>194.2</v>
      </c>
      <c r="L292">
        <v>160.4</v>
      </c>
      <c r="M292">
        <v>114.6</v>
      </c>
      <c r="N292">
        <v>164</v>
      </c>
      <c r="O292">
        <v>151.80000000000001</v>
      </c>
      <c r="P292">
        <v>165.6</v>
      </c>
      <c r="Q292">
        <v>161</v>
      </c>
      <c r="R292">
        <v>186.5</v>
      </c>
      <c r="S292">
        <v>155.5</v>
      </c>
      <c r="T292">
        <v>146.1</v>
      </c>
      <c r="U292">
        <v>154.19999999999999</v>
      </c>
      <c r="V292">
        <v>157.69999999999999</v>
      </c>
      <c r="W292">
        <v>147.9</v>
      </c>
      <c r="X292">
        <v>150</v>
      </c>
      <c r="Y292">
        <v>159.30000000000001</v>
      </c>
      <c r="Z292">
        <v>141.9</v>
      </c>
      <c r="AA292">
        <v>149.6</v>
      </c>
      <c r="AB292">
        <v>159.19999999999999</v>
      </c>
      <c r="AC292">
        <v>156.80000000000001</v>
      </c>
      <c r="AD292">
        <v>151.9</v>
      </c>
      <c r="AE292">
        <v>157.30000000000001</v>
      </c>
    </row>
    <row r="293" spans="1:31" x14ac:dyDescent="0.3">
      <c r="A293" t="s">
        <v>30</v>
      </c>
      <c r="B293">
        <v>2021</v>
      </c>
      <c r="C293" t="s">
        <v>35</v>
      </c>
      <c r="D293" s="3">
        <v>44228</v>
      </c>
      <c r="E293">
        <v>142.80000000000001</v>
      </c>
      <c r="F293">
        <v>184</v>
      </c>
      <c r="G293">
        <v>168</v>
      </c>
      <c r="H293">
        <v>154.4</v>
      </c>
      <c r="I293">
        <v>163</v>
      </c>
      <c r="J293">
        <v>147.80000000000001</v>
      </c>
      <c r="K293">
        <v>149.69999999999999</v>
      </c>
      <c r="L293">
        <v>158.30000000000001</v>
      </c>
      <c r="M293">
        <v>111.8</v>
      </c>
      <c r="N293">
        <v>165</v>
      </c>
      <c r="O293">
        <v>160</v>
      </c>
      <c r="P293">
        <v>165.8</v>
      </c>
      <c r="Q293">
        <v>154.69999999999999</v>
      </c>
      <c r="R293">
        <v>186.5</v>
      </c>
      <c r="S293">
        <v>159.1</v>
      </c>
      <c r="T293">
        <v>153.9</v>
      </c>
      <c r="U293">
        <v>158.4</v>
      </c>
      <c r="W293">
        <v>154.4</v>
      </c>
      <c r="X293">
        <v>154.80000000000001</v>
      </c>
      <c r="Y293">
        <v>164.3</v>
      </c>
      <c r="Z293">
        <v>150.19999999999999</v>
      </c>
      <c r="AA293">
        <v>157</v>
      </c>
      <c r="AB293">
        <v>163.6</v>
      </c>
      <c r="AC293">
        <v>155.19999999999999</v>
      </c>
      <c r="AD293">
        <v>157.19999999999999</v>
      </c>
      <c r="AE293">
        <v>156.69999999999999</v>
      </c>
    </row>
    <row r="294" spans="1:31" x14ac:dyDescent="0.3">
      <c r="A294" t="s">
        <v>33</v>
      </c>
      <c r="B294">
        <v>2021</v>
      </c>
      <c r="C294" t="s">
        <v>35</v>
      </c>
      <c r="D294" s="3">
        <v>44228</v>
      </c>
      <c r="E294">
        <v>147.6</v>
      </c>
      <c r="F294">
        <v>191.2</v>
      </c>
      <c r="G294">
        <v>169.9</v>
      </c>
      <c r="H294">
        <v>155.1</v>
      </c>
      <c r="I294">
        <v>151.4</v>
      </c>
      <c r="J294">
        <v>154</v>
      </c>
      <c r="K294">
        <v>180.2</v>
      </c>
      <c r="L294">
        <v>159.80000000000001</v>
      </c>
      <c r="M294">
        <v>114.9</v>
      </c>
      <c r="N294">
        <v>162.5</v>
      </c>
      <c r="O294">
        <v>149.19999999999999</v>
      </c>
      <c r="P294">
        <v>169.4</v>
      </c>
      <c r="Q294">
        <v>160.80000000000001</v>
      </c>
      <c r="R294">
        <v>193.3</v>
      </c>
      <c r="S294">
        <v>154.19999999999999</v>
      </c>
      <c r="T294">
        <v>138.19999999999999</v>
      </c>
      <c r="U294">
        <v>151.80000000000001</v>
      </c>
      <c r="V294">
        <v>159.80000000000001</v>
      </c>
      <c r="W294">
        <v>149.1</v>
      </c>
      <c r="X294">
        <v>146.5</v>
      </c>
      <c r="Y294">
        <v>156.30000000000001</v>
      </c>
      <c r="Z294">
        <v>140.5</v>
      </c>
      <c r="AA294">
        <v>147.30000000000001</v>
      </c>
      <c r="AB294">
        <v>156.6</v>
      </c>
      <c r="AC294">
        <v>156.69999999999999</v>
      </c>
      <c r="AD294">
        <v>149.30000000000001</v>
      </c>
      <c r="AE294">
        <v>156.5</v>
      </c>
    </row>
    <row r="295" spans="1:31" x14ac:dyDescent="0.3">
      <c r="A295" t="s">
        <v>34</v>
      </c>
      <c r="B295">
        <v>2021</v>
      </c>
      <c r="C295" t="s">
        <v>35</v>
      </c>
      <c r="D295" s="3">
        <v>44228</v>
      </c>
      <c r="E295">
        <v>144.30000000000001</v>
      </c>
      <c r="F295">
        <v>186.5</v>
      </c>
      <c r="G295">
        <v>168.7</v>
      </c>
      <c r="H295">
        <v>154.69999999999999</v>
      </c>
      <c r="I295">
        <v>158.69999999999999</v>
      </c>
      <c r="J295">
        <v>150.69999999999999</v>
      </c>
      <c r="K295">
        <v>160</v>
      </c>
      <c r="L295">
        <v>158.80000000000001</v>
      </c>
      <c r="M295">
        <v>112.8</v>
      </c>
      <c r="N295">
        <v>164.2</v>
      </c>
      <c r="O295">
        <v>155.5</v>
      </c>
      <c r="P295">
        <v>167.5</v>
      </c>
      <c r="Q295">
        <v>156.9</v>
      </c>
      <c r="R295">
        <v>188.3</v>
      </c>
      <c r="S295">
        <v>157.19999999999999</v>
      </c>
      <c r="T295">
        <v>147.4</v>
      </c>
      <c r="U295">
        <v>155.80000000000001</v>
      </c>
      <c r="V295">
        <v>159.80000000000001</v>
      </c>
      <c r="W295">
        <v>152.4</v>
      </c>
      <c r="X295">
        <v>150.9</v>
      </c>
      <c r="Y295">
        <v>161.30000000000001</v>
      </c>
      <c r="Z295">
        <v>145.1</v>
      </c>
      <c r="AA295">
        <v>151.5</v>
      </c>
      <c r="AB295">
        <v>159.5</v>
      </c>
      <c r="AC295">
        <v>155.80000000000001</v>
      </c>
      <c r="AD295">
        <v>153.4</v>
      </c>
      <c r="AE295">
        <v>156.6</v>
      </c>
    </row>
    <row r="296" spans="1:31" x14ac:dyDescent="0.3">
      <c r="A296" t="s">
        <v>30</v>
      </c>
      <c r="B296">
        <v>2021</v>
      </c>
      <c r="C296" t="s">
        <v>36</v>
      </c>
      <c r="D296" s="3">
        <v>44256</v>
      </c>
      <c r="E296">
        <v>142.5</v>
      </c>
      <c r="F296">
        <v>189.4</v>
      </c>
      <c r="G296">
        <v>163.19999999999999</v>
      </c>
      <c r="H296">
        <v>154.5</v>
      </c>
      <c r="I296">
        <v>168.2</v>
      </c>
      <c r="J296">
        <v>150.5</v>
      </c>
      <c r="K296">
        <v>141</v>
      </c>
      <c r="L296">
        <v>159.19999999999999</v>
      </c>
      <c r="M296">
        <v>111.7</v>
      </c>
      <c r="N296">
        <v>164</v>
      </c>
      <c r="O296">
        <v>160.6</v>
      </c>
      <c r="P296">
        <v>166.4</v>
      </c>
      <c r="Q296">
        <v>154.5</v>
      </c>
      <c r="R296">
        <v>186.1</v>
      </c>
      <c r="S296">
        <v>159.6</v>
      </c>
      <c r="T296">
        <v>154.4</v>
      </c>
      <c r="U296">
        <v>158.9</v>
      </c>
      <c r="W296">
        <v>156</v>
      </c>
      <c r="X296">
        <v>154.80000000000001</v>
      </c>
      <c r="Y296">
        <v>164.6</v>
      </c>
      <c r="Z296">
        <v>151.30000000000001</v>
      </c>
      <c r="AA296">
        <v>157.80000000000001</v>
      </c>
      <c r="AB296">
        <v>163.80000000000001</v>
      </c>
      <c r="AC296">
        <v>153.1</v>
      </c>
      <c r="AD296">
        <v>157.30000000000001</v>
      </c>
      <c r="AE296">
        <v>156.69999999999999</v>
      </c>
    </row>
    <row r="297" spans="1:31" x14ac:dyDescent="0.3">
      <c r="A297" t="s">
        <v>33</v>
      </c>
      <c r="B297">
        <v>2021</v>
      </c>
      <c r="C297" t="s">
        <v>36</v>
      </c>
      <c r="D297" s="3">
        <v>44256</v>
      </c>
      <c r="E297">
        <v>147.5</v>
      </c>
      <c r="F297">
        <v>197.5</v>
      </c>
      <c r="G297">
        <v>164.7</v>
      </c>
      <c r="H297">
        <v>155.6</v>
      </c>
      <c r="I297">
        <v>156.4</v>
      </c>
      <c r="J297">
        <v>157.30000000000001</v>
      </c>
      <c r="K297">
        <v>166.1</v>
      </c>
      <c r="L297">
        <v>161.1</v>
      </c>
      <c r="M297">
        <v>114.3</v>
      </c>
      <c r="N297">
        <v>162.6</v>
      </c>
      <c r="O297">
        <v>150.69999999999999</v>
      </c>
      <c r="P297">
        <v>170.3</v>
      </c>
      <c r="Q297">
        <v>160.4</v>
      </c>
      <c r="R297">
        <v>193.5</v>
      </c>
      <c r="S297">
        <v>155.1</v>
      </c>
      <c r="T297">
        <v>138.69999999999999</v>
      </c>
      <c r="U297">
        <v>152.6</v>
      </c>
      <c r="V297">
        <v>159.9</v>
      </c>
      <c r="W297">
        <v>154.80000000000001</v>
      </c>
      <c r="X297">
        <v>147.19999999999999</v>
      </c>
      <c r="Y297">
        <v>156.9</v>
      </c>
      <c r="Z297">
        <v>141.69999999999999</v>
      </c>
      <c r="AA297">
        <v>148.6</v>
      </c>
      <c r="AB297">
        <v>157.6</v>
      </c>
      <c r="AC297">
        <v>154.9</v>
      </c>
      <c r="AD297">
        <v>150</v>
      </c>
      <c r="AE297">
        <v>156.9</v>
      </c>
    </row>
    <row r="298" spans="1:31" x14ac:dyDescent="0.3">
      <c r="A298" t="s">
        <v>34</v>
      </c>
      <c r="B298">
        <v>2021</v>
      </c>
      <c r="C298" t="s">
        <v>36</v>
      </c>
      <c r="D298" s="3">
        <v>44256</v>
      </c>
      <c r="E298">
        <v>144.1</v>
      </c>
      <c r="F298">
        <v>192.2</v>
      </c>
      <c r="G298">
        <v>163.80000000000001</v>
      </c>
      <c r="H298">
        <v>154.9</v>
      </c>
      <c r="I298">
        <v>163.9</v>
      </c>
      <c r="J298">
        <v>153.69999999999999</v>
      </c>
      <c r="K298">
        <v>149.5</v>
      </c>
      <c r="L298">
        <v>159.80000000000001</v>
      </c>
      <c r="M298">
        <v>112.6</v>
      </c>
      <c r="N298">
        <v>163.5</v>
      </c>
      <c r="O298">
        <v>156.5</v>
      </c>
      <c r="P298">
        <v>168.2</v>
      </c>
      <c r="Q298">
        <v>156.69999999999999</v>
      </c>
      <c r="R298">
        <v>188.1</v>
      </c>
      <c r="S298">
        <v>157.80000000000001</v>
      </c>
      <c r="T298">
        <v>147.9</v>
      </c>
      <c r="U298">
        <v>156.4</v>
      </c>
      <c r="V298">
        <v>159.9</v>
      </c>
      <c r="W298">
        <v>155.5</v>
      </c>
      <c r="X298">
        <v>151.19999999999999</v>
      </c>
      <c r="Y298">
        <v>161.69999999999999</v>
      </c>
      <c r="Z298">
        <v>146.19999999999999</v>
      </c>
      <c r="AA298">
        <v>152.6</v>
      </c>
      <c r="AB298">
        <v>160.19999999999999</v>
      </c>
      <c r="AC298">
        <v>153.80000000000001</v>
      </c>
      <c r="AD298">
        <v>153.80000000000001</v>
      </c>
      <c r="AE298">
        <v>156.80000000000001</v>
      </c>
    </row>
    <row r="299" spans="1:31" x14ac:dyDescent="0.3">
      <c r="A299" t="s">
        <v>30</v>
      </c>
      <c r="B299">
        <v>2021</v>
      </c>
      <c r="C299" t="s">
        <v>37</v>
      </c>
      <c r="D299" s="3">
        <v>44287</v>
      </c>
      <c r="E299">
        <v>142.69999999999999</v>
      </c>
      <c r="F299">
        <v>195.5</v>
      </c>
      <c r="G299">
        <v>163.4</v>
      </c>
      <c r="H299">
        <v>155</v>
      </c>
      <c r="I299">
        <v>175.2</v>
      </c>
      <c r="J299">
        <v>160.6</v>
      </c>
      <c r="K299">
        <v>135.1</v>
      </c>
      <c r="L299">
        <v>161.1</v>
      </c>
      <c r="M299">
        <v>112.2</v>
      </c>
      <c r="N299">
        <v>164.4</v>
      </c>
      <c r="O299">
        <v>161.9</v>
      </c>
      <c r="P299">
        <v>166.8</v>
      </c>
      <c r="Q299">
        <v>155.6</v>
      </c>
      <c r="R299">
        <v>186.8</v>
      </c>
      <c r="S299">
        <v>160.69999999999999</v>
      </c>
      <c r="T299">
        <v>155.1</v>
      </c>
      <c r="U299">
        <v>159.9</v>
      </c>
      <c r="W299">
        <v>156</v>
      </c>
      <c r="X299">
        <v>155.5</v>
      </c>
      <c r="Y299">
        <v>165.3</v>
      </c>
      <c r="Z299">
        <v>151.69999999999999</v>
      </c>
      <c r="AA299">
        <v>158.6</v>
      </c>
      <c r="AB299">
        <v>164.1</v>
      </c>
      <c r="AC299">
        <v>154.6</v>
      </c>
      <c r="AD299">
        <v>158</v>
      </c>
      <c r="AE299">
        <v>157.6</v>
      </c>
    </row>
    <row r="300" spans="1:31" x14ac:dyDescent="0.3">
      <c r="A300" t="s">
        <v>33</v>
      </c>
      <c r="B300">
        <v>2021</v>
      </c>
      <c r="C300" t="s">
        <v>37</v>
      </c>
      <c r="D300" s="3">
        <v>44287</v>
      </c>
      <c r="E300">
        <v>147.6</v>
      </c>
      <c r="F300">
        <v>202.5</v>
      </c>
      <c r="G300">
        <v>166.4</v>
      </c>
      <c r="H300">
        <v>156</v>
      </c>
      <c r="I300">
        <v>161.4</v>
      </c>
      <c r="J300">
        <v>168.8</v>
      </c>
      <c r="K300">
        <v>161.6</v>
      </c>
      <c r="L300">
        <v>162.80000000000001</v>
      </c>
      <c r="M300">
        <v>114.8</v>
      </c>
      <c r="N300">
        <v>162.80000000000001</v>
      </c>
      <c r="O300">
        <v>151.5</v>
      </c>
      <c r="P300">
        <v>171.4</v>
      </c>
      <c r="Q300">
        <v>162</v>
      </c>
      <c r="R300">
        <v>194.4</v>
      </c>
      <c r="S300">
        <v>155.9</v>
      </c>
      <c r="T300">
        <v>139.30000000000001</v>
      </c>
      <c r="U300">
        <v>153.4</v>
      </c>
      <c r="V300">
        <v>161.4</v>
      </c>
      <c r="W300">
        <v>154.9</v>
      </c>
      <c r="X300">
        <v>147.6</v>
      </c>
      <c r="Y300">
        <v>157.5</v>
      </c>
      <c r="Z300">
        <v>142.1</v>
      </c>
      <c r="AA300">
        <v>149.1</v>
      </c>
      <c r="AB300">
        <v>157.6</v>
      </c>
      <c r="AC300">
        <v>156.6</v>
      </c>
      <c r="AD300">
        <v>150.5</v>
      </c>
      <c r="AE300">
        <v>158</v>
      </c>
    </row>
    <row r="301" spans="1:31" x14ac:dyDescent="0.3">
      <c r="A301" t="s">
        <v>34</v>
      </c>
      <c r="B301">
        <v>2021</v>
      </c>
      <c r="C301" t="s">
        <v>37</v>
      </c>
      <c r="D301" s="3">
        <v>44287</v>
      </c>
      <c r="E301">
        <v>144.30000000000001</v>
      </c>
      <c r="F301">
        <v>198</v>
      </c>
      <c r="G301">
        <v>164.6</v>
      </c>
      <c r="H301">
        <v>155.4</v>
      </c>
      <c r="I301">
        <v>170.1</v>
      </c>
      <c r="J301">
        <v>164.4</v>
      </c>
      <c r="K301">
        <v>144.1</v>
      </c>
      <c r="L301">
        <v>161.69999999999999</v>
      </c>
      <c r="M301">
        <v>113.1</v>
      </c>
      <c r="N301">
        <v>163.9</v>
      </c>
      <c r="O301">
        <v>157.6</v>
      </c>
      <c r="P301">
        <v>168.9</v>
      </c>
      <c r="Q301">
        <v>158</v>
      </c>
      <c r="R301">
        <v>188.8</v>
      </c>
      <c r="S301">
        <v>158.80000000000001</v>
      </c>
      <c r="T301">
        <v>148.5</v>
      </c>
      <c r="U301">
        <v>157.30000000000001</v>
      </c>
      <c r="V301">
        <v>161.4</v>
      </c>
      <c r="W301">
        <v>155.6</v>
      </c>
      <c r="X301">
        <v>151.80000000000001</v>
      </c>
      <c r="Y301">
        <v>162.30000000000001</v>
      </c>
      <c r="Z301">
        <v>146.6</v>
      </c>
      <c r="AA301">
        <v>153.19999999999999</v>
      </c>
      <c r="AB301">
        <v>160.30000000000001</v>
      </c>
      <c r="AC301">
        <v>155.4</v>
      </c>
      <c r="AD301">
        <v>154.4</v>
      </c>
      <c r="AE301">
        <v>157.80000000000001</v>
      </c>
    </row>
    <row r="302" spans="1:31" x14ac:dyDescent="0.3">
      <c r="A302" t="s">
        <v>30</v>
      </c>
      <c r="B302">
        <v>2021</v>
      </c>
      <c r="C302" t="s">
        <v>38</v>
      </c>
      <c r="D302" s="3">
        <v>44317</v>
      </c>
      <c r="E302">
        <v>145.1</v>
      </c>
      <c r="F302">
        <v>198.5</v>
      </c>
      <c r="G302">
        <v>168.6</v>
      </c>
      <c r="H302">
        <v>155.80000000000001</v>
      </c>
      <c r="I302">
        <v>184.4</v>
      </c>
      <c r="J302">
        <v>162.30000000000001</v>
      </c>
      <c r="K302">
        <v>138.4</v>
      </c>
      <c r="L302">
        <v>165.1</v>
      </c>
      <c r="M302">
        <v>114.3</v>
      </c>
      <c r="N302">
        <v>169.7</v>
      </c>
      <c r="O302">
        <v>164.6</v>
      </c>
      <c r="P302">
        <v>169.8</v>
      </c>
      <c r="Q302">
        <v>158.69999999999999</v>
      </c>
      <c r="R302">
        <v>189.6</v>
      </c>
      <c r="S302">
        <v>165.3</v>
      </c>
      <c r="T302">
        <v>160.6</v>
      </c>
      <c r="U302">
        <v>164.5</v>
      </c>
      <c r="W302">
        <v>161.69999999999999</v>
      </c>
      <c r="X302">
        <v>158.80000000000001</v>
      </c>
      <c r="Y302">
        <v>169.1</v>
      </c>
      <c r="Z302">
        <v>153.19999999999999</v>
      </c>
      <c r="AA302">
        <v>160</v>
      </c>
      <c r="AB302">
        <v>167.6</v>
      </c>
      <c r="AC302">
        <v>159.30000000000001</v>
      </c>
      <c r="AD302">
        <v>161.1</v>
      </c>
      <c r="AE302">
        <v>161.1</v>
      </c>
    </row>
    <row r="303" spans="1:31" x14ac:dyDescent="0.3">
      <c r="A303" t="s">
        <v>33</v>
      </c>
      <c r="B303">
        <v>2021</v>
      </c>
      <c r="C303" t="s">
        <v>38</v>
      </c>
      <c r="D303" s="3">
        <v>44317</v>
      </c>
      <c r="E303">
        <v>148.80000000000001</v>
      </c>
      <c r="F303">
        <v>204.3</v>
      </c>
      <c r="G303">
        <v>173</v>
      </c>
      <c r="H303">
        <v>156.5</v>
      </c>
      <c r="I303">
        <v>168.8</v>
      </c>
      <c r="J303">
        <v>172.5</v>
      </c>
      <c r="K303">
        <v>166.5</v>
      </c>
      <c r="L303">
        <v>165.9</v>
      </c>
      <c r="M303">
        <v>115.9</v>
      </c>
      <c r="N303">
        <v>165.2</v>
      </c>
      <c r="O303">
        <v>152</v>
      </c>
      <c r="P303">
        <v>171.1</v>
      </c>
      <c r="Q303">
        <v>164.2</v>
      </c>
      <c r="R303">
        <v>198.2</v>
      </c>
      <c r="S303">
        <v>156.5</v>
      </c>
      <c r="T303">
        <v>140.19999999999999</v>
      </c>
      <c r="U303">
        <v>154.1</v>
      </c>
      <c r="V303">
        <v>161.6</v>
      </c>
      <c r="W303">
        <v>155.5</v>
      </c>
      <c r="X303">
        <v>150.1</v>
      </c>
      <c r="Y303">
        <v>160.4</v>
      </c>
      <c r="Z303">
        <v>145</v>
      </c>
      <c r="AA303">
        <v>152.6</v>
      </c>
      <c r="AB303">
        <v>156.6</v>
      </c>
      <c r="AC303">
        <v>157.5</v>
      </c>
      <c r="AD303">
        <v>152.30000000000001</v>
      </c>
      <c r="AE303">
        <v>159.5</v>
      </c>
    </row>
    <row r="304" spans="1:31" x14ac:dyDescent="0.3">
      <c r="A304" t="s">
        <v>34</v>
      </c>
      <c r="B304">
        <v>2021</v>
      </c>
      <c r="C304" t="s">
        <v>38</v>
      </c>
      <c r="D304" s="3">
        <v>44317</v>
      </c>
      <c r="E304">
        <v>146.30000000000001</v>
      </c>
      <c r="F304">
        <v>200.5</v>
      </c>
      <c r="G304">
        <v>170.3</v>
      </c>
      <c r="H304">
        <v>156.1</v>
      </c>
      <c r="I304">
        <v>178.7</v>
      </c>
      <c r="J304">
        <v>167.1</v>
      </c>
      <c r="K304">
        <v>147.9</v>
      </c>
      <c r="L304">
        <v>165.4</v>
      </c>
      <c r="M304">
        <v>114.8</v>
      </c>
      <c r="N304">
        <v>168.2</v>
      </c>
      <c r="O304">
        <v>159.30000000000001</v>
      </c>
      <c r="P304">
        <v>170.4</v>
      </c>
      <c r="Q304">
        <v>160.69999999999999</v>
      </c>
      <c r="R304">
        <v>191.9</v>
      </c>
      <c r="S304">
        <v>161.80000000000001</v>
      </c>
      <c r="T304">
        <v>152.1</v>
      </c>
      <c r="U304">
        <v>160.4</v>
      </c>
      <c r="V304">
        <v>161.6</v>
      </c>
      <c r="W304">
        <v>159.4</v>
      </c>
      <c r="X304">
        <v>154.69999999999999</v>
      </c>
      <c r="Y304">
        <v>165.8</v>
      </c>
      <c r="Z304">
        <v>148.9</v>
      </c>
      <c r="AA304">
        <v>155.80000000000001</v>
      </c>
      <c r="AB304">
        <v>161.19999999999999</v>
      </c>
      <c r="AC304">
        <v>158.6</v>
      </c>
      <c r="AD304">
        <v>156.80000000000001</v>
      </c>
      <c r="AE304">
        <v>160.4</v>
      </c>
    </row>
    <row r="305" spans="1:31" x14ac:dyDescent="0.3">
      <c r="A305" t="s">
        <v>30</v>
      </c>
      <c r="B305">
        <v>2021</v>
      </c>
      <c r="C305" t="s">
        <v>39</v>
      </c>
      <c r="D305" s="3">
        <v>44348</v>
      </c>
      <c r="E305">
        <v>145.6</v>
      </c>
      <c r="F305">
        <v>200.1</v>
      </c>
      <c r="G305">
        <v>179.3</v>
      </c>
      <c r="H305">
        <v>156.1</v>
      </c>
      <c r="I305">
        <v>190.4</v>
      </c>
      <c r="J305">
        <v>158.6</v>
      </c>
      <c r="K305">
        <v>144.69999999999999</v>
      </c>
      <c r="L305">
        <v>165.5</v>
      </c>
      <c r="M305">
        <v>114.6</v>
      </c>
      <c r="N305">
        <v>170</v>
      </c>
      <c r="O305">
        <v>165.5</v>
      </c>
      <c r="P305">
        <v>171.7</v>
      </c>
      <c r="Q305">
        <v>160.5</v>
      </c>
      <c r="R305">
        <v>189.1</v>
      </c>
      <c r="S305">
        <v>165.3</v>
      </c>
      <c r="T305">
        <v>159.9</v>
      </c>
      <c r="U305">
        <v>164.6</v>
      </c>
      <c r="W305">
        <v>162.1</v>
      </c>
      <c r="X305">
        <v>159.19999999999999</v>
      </c>
      <c r="Y305">
        <v>169.7</v>
      </c>
      <c r="Z305">
        <v>154.19999999999999</v>
      </c>
      <c r="AA305">
        <v>160.4</v>
      </c>
      <c r="AB305">
        <v>166.8</v>
      </c>
      <c r="AC305">
        <v>159.4</v>
      </c>
      <c r="AD305">
        <v>161.5</v>
      </c>
      <c r="AE305">
        <v>162.1</v>
      </c>
    </row>
    <row r="306" spans="1:31" x14ac:dyDescent="0.3">
      <c r="A306" t="s">
        <v>33</v>
      </c>
      <c r="B306">
        <v>2021</v>
      </c>
      <c r="C306" t="s">
        <v>39</v>
      </c>
      <c r="D306" s="3">
        <v>44348</v>
      </c>
      <c r="E306">
        <v>149.19999999999999</v>
      </c>
      <c r="F306">
        <v>205.5</v>
      </c>
      <c r="G306">
        <v>182.8</v>
      </c>
      <c r="H306">
        <v>156.5</v>
      </c>
      <c r="I306">
        <v>172.2</v>
      </c>
      <c r="J306">
        <v>171.5</v>
      </c>
      <c r="K306">
        <v>176.2</v>
      </c>
      <c r="L306">
        <v>166.9</v>
      </c>
      <c r="M306">
        <v>116.1</v>
      </c>
      <c r="N306">
        <v>165.5</v>
      </c>
      <c r="O306">
        <v>152.30000000000001</v>
      </c>
      <c r="P306">
        <v>173.3</v>
      </c>
      <c r="Q306">
        <v>166.2</v>
      </c>
      <c r="R306">
        <v>195.6</v>
      </c>
      <c r="S306">
        <v>157.30000000000001</v>
      </c>
      <c r="T306">
        <v>140.5</v>
      </c>
      <c r="U306">
        <v>154.80000000000001</v>
      </c>
      <c r="V306">
        <v>160.5</v>
      </c>
      <c r="W306">
        <v>156.1</v>
      </c>
      <c r="X306">
        <v>149.80000000000001</v>
      </c>
      <c r="Y306">
        <v>160.80000000000001</v>
      </c>
      <c r="Z306">
        <v>147.5</v>
      </c>
      <c r="AA306">
        <v>150.69999999999999</v>
      </c>
      <c r="AB306">
        <v>158.1</v>
      </c>
      <c r="AC306">
        <v>158</v>
      </c>
      <c r="AD306">
        <v>153.4</v>
      </c>
      <c r="AE306">
        <v>160.4</v>
      </c>
    </row>
    <row r="307" spans="1:31" x14ac:dyDescent="0.3">
      <c r="A307" t="s">
        <v>34</v>
      </c>
      <c r="B307">
        <v>2021</v>
      </c>
      <c r="C307" t="s">
        <v>39</v>
      </c>
      <c r="D307" s="3">
        <v>44348</v>
      </c>
      <c r="E307">
        <v>146.69999999999999</v>
      </c>
      <c r="F307">
        <v>202</v>
      </c>
      <c r="G307">
        <v>180.7</v>
      </c>
      <c r="H307">
        <v>156.19999999999999</v>
      </c>
      <c r="I307">
        <v>183.7</v>
      </c>
      <c r="J307">
        <v>164.6</v>
      </c>
      <c r="K307">
        <v>155.4</v>
      </c>
      <c r="L307">
        <v>166</v>
      </c>
      <c r="M307">
        <v>115.1</v>
      </c>
      <c r="N307">
        <v>168.5</v>
      </c>
      <c r="O307">
        <v>160</v>
      </c>
      <c r="P307">
        <v>172.4</v>
      </c>
      <c r="Q307">
        <v>162.6</v>
      </c>
      <c r="R307">
        <v>190.8</v>
      </c>
      <c r="S307">
        <v>162.19999999999999</v>
      </c>
      <c r="T307">
        <v>151.80000000000001</v>
      </c>
      <c r="U307">
        <v>160.69999999999999</v>
      </c>
      <c r="V307">
        <v>160.5</v>
      </c>
      <c r="W307">
        <v>159.80000000000001</v>
      </c>
      <c r="X307">
        <v>154.80000000000001</v>
      </c>
      <c r="Y307">
        <v>166.3</v>
      </c>
      <c r="Z307">
        <v>150.69999999999999</v>
      </c>
      <c r="AA307">
        <v>154.9</v>
      </c>
      <c r="AB307">
        <v>161.69999999999999</v>
      </c>
      <c r="AC307">
        <v>158.80000000000001</v>
      </c>
      <c r="AD307">
        <v>157.6</v>
      </c>
      <c r="AE307">
        <v>161.30000000000001</v>
      </c>
    </row>
    <row r="308" spans="1:31" x14ac:dyDescent="0.3">
      <c r="A308" t="s">
        <v>30</v>
      </c>
      <c r="B308">
        <v>2021</v>
      </c>
      <c r="C308" t="s">
        <v>40</v>
      </c>
      <c r="D308" s="3">
        <v>44378</v>
      </c>
      <c r="E308">
        <v>145.1</v>
      </c>
      <c r="F308">
        <v>204.5</v>
      </c>
      <c r="G308">
        <v>180.4</v>
      </c>
      <c r="H308">
        <v>157.1</v>
      </c>
      <c r="I308">
        <v>188.7</v>
      </c>
      <c r="J308">
        <v>157.69999999999999</v>
      </c>
      <c r="K308">
        <v>152.80000000000001</v>
      </c>
      <c r="L308">
        <v>163.6</v>
      </c>
      <c r="M308">
        <v>113.9</v>
      </c>
      <c r="N308">
        <v>169.7</v>
      </c>
      <c r="O308">
        <v>166.2</v>
      </c>
      <c r="P308">
        <v>171</v>
      </c>
      <c r="Q308">
        <v>161.69999999999999</v>
      </c>
      <c r="R308">
        <v>189.7</v>
      </c>
      <c r="S308">
        <v>166</v>
      </c>
      <c r="T308">
        <v>161.1</v>
      </c>
      <c r="U308">
        <v>165.3</v>
      </c>
      <c r="W308">
        <v>162.5</v>
      </c>
      <c r="X308">
        <v>160.30000000000001</v>
      </c>
      <c r="Y308">
        <v>170.4</v>
      </c>
      <c r="Z308">
        <v>157.1</v>
      </c>
      <c r="AA308">
        <v>160.69999999999999</v>
      </c>
      <c r="AB308">
        <v>167.2</v>
      </c>
      <c r="AC308">
        <v>160.4</v>
      </c>
      <c r="AD308">
        <v>162.80000000000001</v>
      </c>
      <c r="AE308">
        <v>163.19999999999999</v>
      </c>
    </row>
    <row r="309" spans="1:31" x14ac:dyDescent="0.3">
      <c r="A309" t="s">
        <v>33</v>
      </c>
      <c r="B309">
        <v>2021</v>
      </c>
      <c r="C309" t="s">
        <v>40</v>
      </c>
      <c r="D309" s="3">
        <v>44378</v>
      </c>
      <c r="E309">
        <v>149.1</v>
      </c>
      <c r="F309">
        <v>210.9</v>
      </c>
      <c r="G309">
        <v>185</v>
      </c>
      <c r="H309">
        <v>158.19999999999999</v>
      </c>
      <c r="I309">
        <v>170.6</v>
      </c>
      <c r="J309">
        <v>170.9</v>
      </c>
      <c r="K309">
        <v>186.4</v>
      </c>
      <c r="L309">
        <v>164.7</v>
      </c>
      <c r="M309">
        <v>115.7</v>
      </c>
      <c r="N309">
        <v>165.5</v>
      </c>
      <c r="O309">
        <v>153.4</v>
      </c>
      <c r="P309">
        <v>173.5</v>
      </c>
      <c r="Q309">
        <v>167.9</v>
      </c>
      <c r="R309">
        <v>195.5</v>
      </c>
      <c r="S309">
        <v>157.9</v>
      </c>
      <c r="T309">
        <v>141.9</v>
      </c>
      <c r="U309">
        <v>155.5</v>
      </c>
      <c r="V309">
        <v>161.5</v>
      </c>
      <c r="W309">
        <v>157.69999999999999</v>
      </c>
      <c r="X309">
        <v>150.69999999999999</v>
      </c>
      <c r="Y309">
        <v>161.5</v>
      </c>
      <c r="Z309">
        <v>149.5</v>
      </c>
      <c r="AA309">
        <v>151.19999999999999</v>
      </c>
      <c r="AB309">
        <v>160.30000000000001</v>
      </c>
      <c r="AC309">
        <v>159.6</v>
      </c>
      <c r="AD309">
        <v>155</v>
      </c>
      <c r="AE309">
        <v>161.80000000000001</v>
      </c>
    </row>
    <row r="310" spans="1:31" x14ac:dyDescent="0.3">
      <c r="A310" t="s">
        <v>34</v>
      </c>
      <c r="B310">
        <v>2021</v>
      </c>
      <c r="C310" t="s">
        <v>40</v>
      </c>
      <c r="D310" s="3">
        <v>44378</v>
      </c>
      <c r="E310">
        <v>146.4</v>
      </c>
      <c r="F310">
        <v>206.8</v>
      </c>
      <c r="G310">
        <v>182.2</v>
      </c>
      <c r="H310">
        <v>157.5</v>
      </c>
      <c r="I310">
        <v>182.1</v>
      </c>
      <c r="J310">
        <v>163.9</v>
      </c>
      <c r="K310">
        <v>164.2</v>
      </c>
      <c r="L310">
        <v>164</v>
      </c>
      <c r="M310">
        <v>114.5</v>
      </c>
      <c r="N310">
        <v>168.3</v>
      </c>
      <c r="O310">
        <v>160.9</v>
      </c>
      <c r="P310">
        <v>172.2</v>
      </c>
      <c r="Q310">
        <v>164</v>
      </c>
      <c r="R310">
        <v>191.2</v>
      </c>
      <c r="S310">
        <v>162.80000000000001</v>
      </c>
      <c r="T310">
        <v>153.1</v>
      </c>
      <c r="U310">
        <v>161.4</v>
      </c>
      <c r="V310">
        <v>161.5</v>
      </c>
      <c r="W310">
        <v>160.69999999999999</v>
      </c>
      <c r="X310">
        <v>155.80000000000001</v>
      </c>
      <c r="Y310">
        <v>167</v>
      </c>
      <c r="Z310">
        <v>153.1</v>
      </c>
      <c r="AA310">
        <v>155.30000000000001</v>
      </c>
      <c r="AB310">
        <v>163.19999999999999</v>
      </c>
      <c r="AC310">
        <v>160.1</v>
      </c>
      <c r="AD310">
        <v>159</v>
      </c>
      <c r="AE310">
        <v>162.5</v>
      </c>
    </row>
    <row r="311" spans="1:31" x14ac:dyDescent="0.3">
      <c r="A311" t="s">
        <v>30</v>
      </c>
      <c r="B311">
        <v>2021</v>
      </c>
      <c r="C311" t="s">
        <v>41</v>
      </c>
      <c r="D311" s="3">
        <v>44409</v>
      </c>
      <c r="E311">
        <v>144.9</v>
      </c>
      <c r="F311">
        <v>202.3</v>
      </c>
      <c r="G311">
        <v>176.5</v>
      </c>
      <c r="H311">
        <v>157.5</v>
      </c>
      <c r="I311">
        <v>190.9</v>
      </c>
      <c r="J311">
        <v>155.69999999999999</v>
      </c>
      <c r="K311">
        <v>153.9</v>
      </c>
      <c r="L311">
        <v>162.80000000000001</v>
      </c>
      <c r="M311">
        <v>115.2</v>
      </c>
      <c r="N311">
        <v>169.8</v>
      </c>
      <c r="O311">
        <v>167.6</v>
      </c>
      <c r="P311">
        <v>171.9</v>
      </c>
      <c r="Q311">
        <v>161.80000000000001</v>
      </c>
      <c r="R311">
        <v>190.2</v>
      </c>
      <c r="S311">
        <v>167</v>
      </c>
      <c r="T311">
        <v>162.6</v>
      </c>
      <c r="U311">
        <v>166.3</v>
      </c>
      <c r="W311">
        <v>163.1</v>
      </c>
      <c r="X311">
        <v>160.9</v>
      </c>
      <c r="Y311">
        <v>171.1</v>
      </c>
      <c r="Z311">
        <v>157.69999999999999</v>
      </c>
      <c r="AA311">
        <v>161.1</v>
      </c>
      <c r="AB311">
        <v>167.5</v>
      </c>
      <c r="AC311">
        <v>160.30000000000001</v>
      </c>
      <c r="AD311">
        <v>163.30000000000001</v>
      </c>
      <c r="AE311">
        <v>163.6</v>
      </c>
    </row>
    <row r="312" spans="1:31" x14ac:dyDescent="0.3">
      <c r="A312" t="s">
        <v>33</v>
      </c>
      <c r="B312">
        <v>2021</v>
      </c>
      <c r="C312" t="s">
        <v>41</v>
      </c>
      <c r="D312" s="3">
        <v>44409</v>
      </c>
      <c r="E312">
        <v>149.30000000000001</v>
      </c>
      <c r="F312">
        <v>207.4</v>
      </c>
      <c r="G312">
        <v>174.1</v>
      </c>
      <c r="H312">
        <v>159.19999999999999</v>
      </c>
      <c r="I312">
        <v>175</v>
      </c>
      <c r="J312">
        <v>161.30000000000001</v>
      </c>
      <c r="K312">
        <v>183.3</v>
      </c>
      <c r="L312">
        <v>164.5</v>
      </c>
      <c r="M312">
        <v>120.4</v>
      </c>
      <c r="N312">
        <v>166.2</v>
      </c>
      <c r="O312">
        <v>154.80000000000001</v>
      </c>
      <c r="P312">
        <v>175.1</v>
      </c>
      <c r="Q312">
        <v>167.3</v>
      </c>
      <c r="R312">
        <v>196.5</v>
      </c>
      <c r="S312">
        <v>159.80000000000001</v>
      </c>
      <c r="T312">
        <v>143.6</v>
      </c>
      <c r="U312">
        <v>157.30000000000001</v>
      </c>
      <c r="V312">
        <v>162.1</v>
      </c>
      <c r="W312">
        <v>160.69999999999999</v>
      </c>
      <c r="X312">
        <v>153.19999999999999</v>
      </c>
      <c r="Y312">
        <v>162.80000000000001</v>
      </c>
      <c r="Z312">
        <v>150.4</v>
      </c>
      <c r="AA312">
        <v>153.69999999999999</v>
      </c>
      <c r="AB312">
        <v>160.4</v>
      </c>
      <c r="AC312">
        <v>159.6</v>
      </c>
      <c r="AD312">
        <v>156</v>
      </c>
      <c r="AE312">
        <v>162.30000000000001</v>
      </c>
    </row>
    <row r="313" spans="1:31" x14ac:dyDescent="0.3">
      <c r="A313" t="s">
        <v>34</v>
      </c>
      <c r="B313">
        <v>2021</v>
      </c>
      <c r="C313" t="s">
        <v>41</v>
      </c>
      <c r="D313" s="3">
        <v>44409</v>
      </c>
      <c r="E313">
        <v>146.6</v>
      </c>
      <c r="F313">
        <v>204</v>
      </c>
      <c r="G313">
        <v>172.8</v>
      </c>
      <c r="H313">
        <v>158.4</v>
      </c>
      <c r="I313">
        <v>188</v>
      </c>
      <c r="J313">
        <v>156.80000000000001</v>
      </c>
      <c r="K313">
        <v>162.19999999999999</v>
      </c>
      <c r="L313">
        <v>164.1</v>
      </c>
      <c r="M313">
        <v>119.7</v>
      </c>
      <c r="N313">
        <v>168.8</v>
      </c>
      <c r="O313">
        <v>162.69999999999999</v>
      </c>
      <c r="P313">
        <v>173.9</v>
      </c>
      <c r="Q313">
        <v>164</v>
      </c>
      <c r="R313">
        <v>192.1</v>
      </c>
      <c r="S313">
        <v>164.5</v>
      </c>
      <c r="T313">
        <v>155.30000000000001</v>
      </c>
      <c r="U313">
        <v>163.19999999999999</v>
      </c>
      <c r="V313">
        <v>162.1</v>
      </c>
      <c r="W313">
        <v>162.6</v>
      </c>
      <c r="X313">
        <v>157.5</v>
      </c>
      <c r="Y313">
        <v>168.4</v>
      </c>
      <c r="Z313">
        <v>154</v>
      </c>
      <c r="AA313">
        <v>157.6</v>
      </c>
      <c r="AB313">
        <v>163.80000000000001</v>
      </c>
      <c r="AC313">
        <v>160</v>
      </c>
      <c r="AD313">
        <v>160</v>
      </c>
      <c r="AE313">
        <v>163.19999999999999</v>
      </c>
    </row>
    <row r="314" spans="1:31" x14ac:dyDescent="0.3">
      <c r="A314" t="s">
        <v>30</v>
      </c>
      <c r="B314">
        <v>2021</v>
      </c>
      <c r="C314" t="s">
        <v>42</v>
      </c>
      <c r="D314" s="3">
        <v>44440</v>
      </c>
      <c r="E314">
        <v>145.4</v>
      </c>
      <c r="F314">
        <v>202.1</v>
      </c>
      <c r="G314">
        <v>172</v>
      </c>
      <c r="H314">
        <v>158</v>
      </c>
      <c r="I314">
        <v>195.5</v>
      </c>
      <c r="J314">
        <v>152.69999999999999</v>
      </c>
      <c r="K314">
        <v>151.4</v>
      </c>
      <c r="L314">
        <v>163.9</v>
      </c>
      <c r="M314">
        <v>119.3</v>
      </c>
      <c r="N314">
        <v>170.1</v>
      </c>
      <c r="O314">
        <v>168.3</v>
      </c>
      <c r="P314">
        <v>172.8</v>
      </c>
      <c r="Q314">
        <v>162.1</v>
      </c>
      <c r="R314">
        <v>190.5</v>
      </c>
      <c r="S314">
        <v>167.7</v>
      </c>
      <c r="T314">
        <v>163.6</v>
      </c>
      <c r="U314">
        <v>167.1</v>
      </c>
      <c r="W314">
        <v>163.69999999999999</v>
      </c>
      <c r="X314">
        <v>161.30000000000001</v>
      </c>
      <c r="Y314">
        <v>171.9</v>
      </c>
      <c r="Z314">
        <v>157.80000000000001</v>
      </c>
      <c r="AA314">
        <v>162.69999999999999</v>
      </c>
      <c r="AB314">
        <v>168.5</v>
      </c>
      <c r="AC314">
        <v>160.19999999999999</v>
      </c>
      <c r="AD314">
        <v>163.80000000000001</v>
      </c>
      <c r="AE314">
        <v>164</v>
      </c>
    </row>
    <row r="315" spans="1:31" x14ac:dyDescent="0.3">
      <c r="A315" t="s">
        <v>33</v>
      </c>
      <c r="B315">
        <v>2021</v>
      </c>
      <c r="C315" t="s">
        <v>42</v>
      </c>
      <c r="D315" s="3">
        <v>44440</v>
      </c>
      <c r="E315">
        <v>149.30000000000001</v>
      </c>
      <c r="F315">
        <v>207.4</v>
      </c>
      <c r="G315">
        <v>174.1</v>
      </c>
      <c r="H315">
        <v>159.1</v>
      </c>
      <c r="I315">
        <v>175</v>
      </c>
      <c r="J315">
        <v>161.19999999999999</v>
      </c>
      <c r="K315">
        <v>183.5</v>
      </c>
      <c r="L315">
        <v>164.5</v>
      </c>
      <c r="M315">
        <v>120.4</v>
      </c>
      <c r="N315">
        <v>166.2</v>
      </c>
      <c r="O315">
        <v>154.80000000000001</v>
      </c>
      <c r="P315">
        <v>175.1</v>
      </c>
      <c r="Q315">
        <v>167.3</v>
      </c>
      <c r="R315">
        <v>196.5</v>
      </c>
      <c r="S315">
        <v>159.80000000000001</v>
      </c>
      <c r="T315">
        <v>143.6</v>
      </c>
      <c r="U315">
        <v>157.4</v>
      </c>
      <c r="V315">
        <v>162.1</v>
      </c>
      <c r="W315">
        <v>160.80000000000001</v>
      </c>
      <c r="X315">
        <v>153.30000000000001</v>
      </c>
      <c r="Y315">
        <v>162.80000000000001</v>
      </c>
      <c r="Z315">
        <v>150.5</v>
      </c>
      <c r="AA315">
        <v>153.9</v>
      </c>
      <c r="AB315">
        <v>160.30000000000001</v>
      </c>
      <c r="AC315">
        <v>159.6</v>
      </c>
      <c r="AD315">
        <v>156</v>
      </c>
      <c r="AE315">
        <v>162.30000000000001</v>
      </c>
    </row>
    <row r="316" spans="1:31" x14ac:dyDescent="0.3">
      <c r="A316" t="s">
        <v>34</v>
      </c>
      <c r="B316">
        <v>2021</v>
      </c>
      <c r="C316" t="s">
        <v>42</v>
      </c>
      <c r="D316" s="3">
        <v>44440</v>
      </c>
      <c r="E316">
        <v>146.6</v>
      </c>
      <c r="F316">
        <v>204</v>
      </c>
      <c r="G316">
        <v>172.8</v>
      </c>
      <c r="H316">
        <v>158.4</v>
      </c>
      <c r="I316">
        <v>188</v>
      </c>
      <c r="J316">
        <v>156.69999999999999</v>
      </c>
      <c r="K316">
        <v>162.30000000000001</v>
      </c>
      <c r="L316">
        <v>164.1</v>
      </c>
      <c r="M316">
        <v>119.7</v>
      </c>
      <c r="N316">
        <v>168.8</v>
      </c>
      <c r="O316">
        <v>162.69999999999999</v>
      </c>
      <c r="P316">
        <v>173.9</v>
      </c>
      <c r="Q316">
        <v>164</v>
      </c>
      <c r="R316">
        <v>192.1</v>
      </c>
      <c r="S316">
        <v>164.6</v>
      </c>
      <c r="T316">
        <v>155.30000000000001</v>
      </c>
      <c r="U316">
        <v>163.30000000000001</v>
      </c>
      <c r="V316">
        <v>162.1</v>
      </c>
      <c r="W316">
        <v>162.6</v>
      </c>
      <c r="X316">
        <v>157.5</v>
      </c>
      <c r="Y316">
        <v>168.4</v>
      </c>
      <c r="Z316">
        <v>154</v>
      </c>
      <c r="AA316">
        <v>157.69999999999999</v>
      </c>
      <c r="AB316">
        <v>163.69999999999999</v>
      </c>
      <c r="AC316">
        <v>160</v>
      </c>
      <c r="AD316">
        <v>160</v>
      </c>
      <c r="AE316">
        <v>163.19999999999999</v>
      </c>
    </row>
    <row r="317" spans="1:31" x14ac:dyDescent="0.3">
      <c r="A317" t="s">
        <v>30</v>
      </c>
      <c r="B317">
        <v>2021</v>
      </c>
      <c r="C317" t="s">
        <v>43</v>
      </c>
      <c r="D317" s="3">
        <v>44470</v>
      </c>
      <c r="E317">
        <v>146.1</v>
      </c>
      <c r="F317">
        <v>202.5</v>
      </c>
      <c r="G317">
        <v>170.1</v>
      </c>
      <c r="H317">
        <v>158.4</v>
      </c>
      <c r="I317">
        <v>198.8</v>
      </c>
      <c r="J317">
        <v>152.6</v>
      </c>
      <c r="K317">
        <v>170.4</v>
      </c>
      <c r="L317">
        <v>165.2</v>
      </c>
      <c r="M317">
        <v>121.6</v>
      </c>
      <c r="N317">
        <v>170.6</v>
      </c>
      <c r="O317">
        <v>168.8</v>
      </c>
      <c r="P317">
        <v>173.6</v>
      </c>
      <c r="Q317">
        <v>165.5</v>
      </c>
      <c r="R317">
        <v>191.2</v>
      </c>
      <c r="S317">
        <v>168.9</v>
      </c>
      <c r="T317">
        <v>164.8</v>
      </c>
      <c r="U317">
        <v>168.3</v>
      </c>
      <c r="W317">
        <v>165.5</v>
      </c>
      <c r="X317">
        <v>162</v>
      </c>
      <c r="Y317">
        <v>172.5</v>
      </c>
      <c r="Z317">
        <v>159.5</v>
      </c>
      <c r="AA317">
        <v>163.19999999999999</v>
      </c>
      <c r="AB317">
        <v>169</v>
      </c>
      <c r="AC317">
        <v>161.1</v>
      </c>
      <c r="AD317">
        <v>164.7</v>
      </c>
      <c r="AE317">
        <v>166.3</v>
      </c>
    </row>
    <row r="318" spans="1:31" x14ac:dyDescent="0.3">
      <c r="A318" t="s">
        <v>33</v>
      </c>
      <c r="B318">
        <v>2021</v>
      </c>
      <c r="C318" t="s">
        <v>43</v>
      </c>
      <c r="D318" s="3">
        <v>44470</v>
      </c>
      <c r="E318">
        <v>150.1</v>
      </c>
      <c r="F318">
        <v>208.4</v>
      </c>
      <c r="G318">
        <v>173</v>
      </c>
      <c r="H318">
        <v>159.19999999999999</v>
      </c>
      <c r="I318">
        <v>176.6</v>
      </c>
      <c r="J318">
        <v>159.30000000000001</v>
      </c>
      <c r="K318">
        <v>214.4</v>
      </c>
      <c r="L318">
        <v>165.3</v>
      </c>
      <c r="M318">
        <v>122.5</v>
      </c>
      <c r="N318">
        <v>166.8</v>
      </c>
      <c r="O318">
        <v>155.4</v>
      </c>
      <c r="P318">
        <v>175.9</v>
      </c>
      <c r="Q318">
        <v>171.5</v>
      </c>
      <c r="R318">
        <v>197</v>
      </c>
      <c r="S318">
        <v>160.80000000000001</v>
      </c>
      <c r="T318">
        <v>144.4</v>
      </c>
      <c r="U318">
        <v>158.30000000000001</v>
      </c>
      <c r="V318">
        <v>163.6</v>
      </c>
      <c r="W318">
        <v>162.19999999999999</v>
      </c>
      <c r="X318">
        <v>154.30000000000001</v>
      </c>
      <c r="Y318">
        <v>163.5</v>
      </c>
      <c r="Z318">
        <v>152.19999999999999</v>
      </c>
      <c r="AA318">
        <v>155.1</v>
      </c>
      <c r="AB318">
        <v>160.30000000000001</v>
      </c>
      <c r="AC318">
        <v>160.30000000000001</v>
      </c>
      <c r="AD318">
        <v>157</v>
      </c>
      <c r="AE318">
        <v>164.6</v>
      </c>
    </row>
    <row r="319" spans="1:31" x14ac:dyDescent="0.3">
      <c r="A319" t="s">
        <v>34</v>
      </c>
      <c r="B319">
        <v>2021</v>
      </c>
      <c r="C319" t="s">
        <v>43</v>
      </c>
      <c r="D319" s="3">
        <v>44470</v>
      </c>
      <c r="E319">
        <v>147.4</v>
      </c>
      <c r="F319">
        <v>204.6</v>
      </c>
      <c r="G319">
        <v>171.2</v>
      </c>
      <c r="H319">
        <v>158.69999999999999</v>
      </c>
      <c r="I319">
        <v>190.6</v>
      </c>
      <c r="J319">
        <v>155.69999999999999</v>
      </c>
      <c r="K319">
        <v>185.3</v>
      </c>
      <c r="L319">
        <v>165.2</v>
      </c>
      <c r="M319">
        <v>121.9</v>
      </c>
      <c r="N319">
        <v>169.3</v>
      </c>
      <c r="O319">
        <v>163.19999999999999</v>
      </c>
      <c r="P319">
        <v>174.7</v>
      </c>
      <c r="Q319">
        <v>167.7</v>
      </c>
      <c r="R319">
        <v>192.7</v>
      </c>
      <c r="S319">
        <v>165.7</v>
      </c>
      <c r="T319">
        <v>156.30000000000001</v>
      </c>
      <c r="U319">
        <v>164.3</v>
      </c>
      <c r="V319">
        <v>163.6</v>
      </c>
      <c r="W319">
        <v>164.2</v>
      </c>
      <c r="X319">
        <v>158.4</v>
      </c>
      <c r="Y319">
        <v>169.1</v>
      </c>
      <c r="Z319">
        <v>155.69999999999999</v>
      </c>
      <c r="AA319">
        <v>158.6</v>
      </c>
      <c r="AB319">
        <v>163.9</v>
      </c>
      <c r="AC319">
        <v>160.80000000000001</v>
      </c>
      <c r="AD319">
        <v>161</v>
      </c>
      <c r="AE319">
        <v>165.5</v>
      </c>
    </row>
    <row r="320" spans="1:31" x14ac:dyDescent="0.3">
      <c r="A320" t="s">
        <v>30</v>
      </c>
      <c r="B320">
        <v>2021</v>
      </c>
      <c r="C320" t="s">
        <v>45</v>
      </c>
      <c r="D320" s="3">
        <v>44501</v>
      </c>
      <c r="E320">
        <v>146.9</v>
      </c>
      <c r="F320">
        <v>199.8</v>
      </c>
      <c r="G320">
        <v>171.5</v>
      </c>
      <c r="H320">
        <v>159.1</v>
      </c>
      <c r="I320">
        <v>198.4</v>
      </c>
      <c r="J320">
        <v>153.19999999999999</v>
      </c>
      <c r="K320">
        <v>183.9</v>
      </c>
      <c r="L320">
        <v>165.4</v>
      </c>
      <c r="M320">
        <v>122.1</v>
      </c>
      <c r="N320">
        <v>170.8</v>
      </c>
      <c r="O320">
        <v>169.1</v>
      </c>
      <c r="P320">
        <v>174.3</v>
      </c>
      <c r="Q320">
        <v>167.5</v>
      </c>
      <c r="R320">
        <v>191.4</v>
      </c>
      <c r="S320">
        <v>170.4</v>
      </c>
      <c r="T320">
        <v>166</v>
      </c>
      <c r="U320">
        <v>169.8</v>
      </c>
      <c r="W320">
        <v>165.3</v>
      </c>
      <c r="X320">
        <v>162.9</v>
      </c>
      <c r="Y320">
        <v>173.4</v>
      </c>
      <c r="Z320">
        <v>158.9</v>
      </c>
      <c r="AA320">
        <v>163.80000000000001</v>
      </c>
      <c r="AB320">
        <v>169.3</v>
      </c>
      <c r="AC320">
        <v>162.4</v>
      </c>
      <c r="AD320">
        <v>165.2</v>
      </c>
      <c r="AE320">
        <v>167.6</v>
      </c>
    </row>
    <row r="321" spans="1:31" x14ac:dyDescent="0.3">
      <c r="A321" t="s">
        <v>33</v>
      </c>
      <c r="B321">
        <v>2021</v>
      </c>
      <c r="C321" t="s">
        <v>45</v>
      </c>
      <c r="D321" s="3">
        <v>44501</v>
      </c>
      <c r="E321">
        <v>151</v>
      </c>
      <c r="F321">
        <v>204.9</v>
      </c>
      <c r="G321">
        <v>175.4</v>
      </c>
      <c r="H321">
        <v>159.6</v>
      </c>
      <c r="I321">
        <v>175.8</v>
      </c>
      <c r="J321">
        <v>160.30000000000001</v>
      </c>
      <c r="K321">
        <v>229.1</v>
      </c>
      <c r="L321">
        <v>165.1</v>
      </c>
      <c r="M321">
        <v>123.1</v>
      </c>
      <c r="N321">
        <v>167.2</v>
      </c>
      <c r="O321">
        <v>156.1</v>
      </c>
      <c r="P321">
        <v>176.8</v>
      </c>
      <c r="Q321">
        <v>173.5</v>
      </c>
      <c r="R321">
        <v>197</v>
      </c>
      <c r="S321">
        <v>162.30000000000001</v>
      </c>
      <c r="T321">
        <v>145.30000000000001</v>
      </c>
      <c r="U321">
        <v>159.69999999999999</v>
      </c>
      <c r="V321">
        <v>164.2</v>
      </c>
      <c r="W321">
        <v>161.6</v>
      </c>
      <c r="X321">
        <v>155.19999999999999</v>
      </c>
      <c r="Y321">
        <v>164.2</v>
      </c>
      <c r="Z321">
        <v>151.19999999999999</v>
      </c>
      <c r="AA321">
        <v>156.69999999999999</v>
      </c>
      <c r="AB321">
        <v>160.80000000000001</v>
      </c>
      <c r="AC321">
        <v>161.80000000000001</v>
      </c>
      <c r="AD321">
        <v>157.30000000000001</v>
      </c>
      <c r="AE321">
        <v>165.6</v>
      </c>
    </row>
    <row r="322" spans="1:31" x14ac:dyDescent="0.3">
      <c r="A322" t="s">
        <v>34</v>
      </c>
      <c r="B322">
        <v>2021</v>
      </c>
      <c r="C322" t="s">
        <v>45</v>
      </c>
      <c r="D322" s="3">
        <v>44501</v>
      </c>
      <c r="E322">
        <v>148.19999999999999</v>
      </c>
      <c r="F322">
        <v>201.6</v>
      </c>
      <c r="G322">
        <v>173</v>
      </c>
      <c r="H322">
        <v>159.30000000000001</v>
      </c>
      <c r="I322">
        <v>190.1</v>
      </c>
      <c r="J322">
        <v>156.5</v>
      </c>
      <c r="K322">
        <v>199.2</v>
      </c>
      <c r="L322">
        <v>165.3</v>
      </c>
      <c r="M322">
        <v>122.4</v>
      </c>
      <c r="N322">
        <v>169.6</v>
      </c>
      <c r="O322">
        <v>163.69999999999999</v>
      </c>
      <c r="P322">
        <v>175.5</v>
      </c>
      <c r="Q322">
        <v>169.7</v>
      </c>
      <c r="R322">
        <v>192.9</v>
      </c>
      <c r="S322">
        <v>167.2</v>
      </c>
      <c r="T322">
        <v>157.4</v>
      </c>
      <c r="U322">
        <v>165.8</v>
      </c>
      <c r="V322">
        <v>164.2</v>
      </c>
      <c r="W322">
        <v>163.9</v>
      </c>
      <c r="X322">
        <v>159.30000000000001</v>
      </c>
      <c r="Y322">
        <v>169.9</v>
      </c>
      <c r="Z322">
        <v>154.80000000000001</v>
      </c>
      <c r="AA322">
        <v>159.80000000000001</v>
      </c>
      <c r="AB322">
        <v>164.3</v>
      </c>
      <c r="AC322">
        <v>162.19999999999999</v>
      </c>
      <c r="AD322">
        <v>161.4</v>
      </c>
      <c r="AE322">
        <v>166.7</v>
      </c>
    </row>
    <row r="323" spans="1:31" x14ac:dyDescent="0.3">
      <c r="A323" t="s">
        <v>30</v>
      </c>
      <c r="B323">
        <v>2021</v>
      </c>
      <c r="C323" t="s">
        <v>46</v>
      </c>
      <c r="D323" s="3">
        <v>44531</v>
      </c>
      <c r="E323">
        <v>147.4</v>
      </c>
      <c r="F323">
        <v>197</v>
      </c>
      <c r="G323">
        <v>176.5</v>
      </c>
      <c r="H323">
        <v>159.80000000000001</v>
      </c>
      <c r="I323">
        <v>195.8</v>
      </c>
      <c r="J323">
        <v>152</v>
      </c>
      <c r="K323">
        <v>172.3</v>
      </c>
      <c r="L323">
        <v>164.5</v>
      </c>
      <c r="M323">
        <v>120.6</v>
      </c>
      <c r="N323">
        <v>171.7</v>
      </c>
      <c r="O323">
        <v>169.7</v>
      </c>
      <c r="P323">
        <v>175.1</v>
      </c>
      <c r="Q323">
        <v>165.8</v>
      </c>
      <c r="R323">
        <v>190.8</v>
      </c>
      <c r="S323">
        <v>171.8</v>
      </c>
      <c r="T323">
        <v>167.3</v>
      </c>
      <c r="U323">
        <v>171.2</v>
      </c>
      <c r="W323">
        <v>165.6</v>
      </c>
      <c r="X323">
        <v>163.9</v>
      </c>
      <c r="Y323">
        <v>174</v>
      </c>
      <c r="Z323">
        <v>160.1</v>
      </c>
      <c r="AA323">
        <v>164.5</v>
      </c>
      <c r="AB323">
        <v>169.7</v>
      </c>
      <c r="AC323">
        <v>162.80000000000001</v>
      </c>
      <c r="AD323">
        <v>166</v>
      </c>
      <c r="AE323">
        <v>167</v>
      </c>
    </row>
    <row r="324" spans="1:31" x14ac:dyDescent="0.3">
      <c r="A324" t="s">
        <v>33</v>
      </c>
      <c r="B324">
        <v>2021</v>
      </c>
      <c r="C324" t="s">
        <v>46</v>
      </c>
      <c r="D324" s="3">
        <v>44531</v>
      </c>
      <c r="E324">
        <v>151.6</v>
      </c>
      <c r="F324">
        <v>202.2</v>
      </c>
      <c r="G324">
        <v>180</v>
      </c>
      <c r="H324">
        <v>160</v>
      </c>
      <c r="I324">
        <v>173.5</v>
      </c>
      <c r="J324">
        <v>158.30000000000001</v>
      </c>
      <c r="K324">
        <v>219.5</v>
      </c>
      <c r="L324">
        <v>164.2</v>
      </c>
      <c r="M324">
        <v>121.9</v>
      </c>
      <c r="N324">
        <v>168.2</v>
      </c>
      <c r="O324">
        <v>156.5</v>
      </c>
      <c r="P324">
        <v>178.2</v>
      </c>
      <c r="Q324">
        <v>172.2</v>
      </c>
      <c r="R324">
        <v>196.8</v>
      </c>
      <c r="S324">
        <v>163.30000000000001</v>
      </c>
      <c r="T324">
        <v>146.69999999999999</v>
      </c>
      <c r="U324">
        <v>160.69999999999999</v>
      </c>
      <c r="V324">
        <v>163.4</v>
      </c>
      <c r="W324">
        <v>161.69999999999999</v>
      </c>
      <c r="X324">
        <v>156</v>
      </c>
      <c r="Y324">
        <v>165.1</v>
      </c>
      <c r="Z324">
        <v>151.80000000000001</v>
      </c>
      <c r="AA324">
        <v>157.6</v>
      </c>
      <c r="AB324">
        <v>160.6</v>
      </c>
      <c r="AC324">
        <v>162.4</v>
      </c>
      <c r="AD324">
        <v>157.80000000000001</v>
      </c>
      <c r="AE324">
        <v>165.2</v>
      </c>
    </row>
    <row r="325" spans="1:31" x14ac:dyDescent="0.3">
      <c r="A325" t="s">
        <v>34</v>
      </c>
      <c r="B325">
        <v>2021</v>
      </c>
      <c r="C325" t="s">
        <v>46</v>
      </c>
      <c r="D325" s="3">
        <v>44531</v>
      </c>
      <c r="E325">
        <v>148.69999999999999</v>
      </c>
      <c r="F325">
        <v>198.8</v>
      </c>
      <c r="G325">
        <v>177.9</v>
      </c>
      <c r="H325">
        <v>159.9</v>
      </c>
      <c r="I325">
        <v>187.6</v>
      </c>
      <c r="J325">
        <v>154.9</v>
      </c>
      <c r="K325">
        <v>188.3</v>
      </c>
      <c r="L325">
        <v>164.4</v>
      </c>
      <c r="M325">
        <v>121</v>
      </c>
      <c r="N325">
        <v>170.5</v>
      </c>
      <c r="O325">
        <v>164.2</v>
      </c>
      <c r="P325">
        <v>176.5</v>
      </c>
      <c r="Q325">
        <v>168.2</v>
      </c>
      <c r="R325">
        <v>192.4</v>
      </c>
      <c r="S325">
        <v>168.5</v>
      </c>
      <c r="T325">
        <v>158.69999999999999</v>
      </c>
      <c r="U325">
        <v>167</v>
      </c>
      <c r="V325">
        <v>163.4</v>
      </c>
      <c r="W325">
        <v>164.1</v>
      </c>
      <c r="X325">
        <v>160.19999999999999</v>
      </c>
      <c r="Y325">
        <v>170.6</v>
      </c>
      <c r="Z325">
        <v>155.69999999999999</v>
      </c>
      <c r="AA325">
        <v>160.6</v>
      </c>
      <c r="AB325">
        <v>164.4</v>
      </c>
      <c r="AC325">
        <v>162.6</v>
      </c>
      <c r="AD325">
        <v>162</v>
      </c>
      <c r="AE325">
        <v>166.2</v>
      </c>
    </row>
    <row r="326" spans="1:31" x14ac:dyDescent="0.3">
      <c r="A326" t="s">
        <v>30</v>
      </c>
      <c r="B326">
        <v>2022</v>
      </c>
      <c r="C326" t="s">
        <v>31</v>
      </c>
      <c r="D326" s="3">
        <v>44562</v>
      </c>
      <c r="E326">
        <v>148.30000000000001</v>
      </c>
      <c r="F326">
        <v>196.9</v>
      </c>
      <c r="G326">
        <v>178</v>
      </c>
      <c r="H326">
        <v>160.5</v>
      </c>
      <c r="I326">
        <v>192.6</v>
      </c>
      <c r="J326">
        <v>151.19999999999999</v>
      </c>
      <c r="K326">
        <v>159.19999999999999</v>
      </c>
      <c r="L326">
        <v>164</v>
      </c>
      <c r="M326">
        <v>119.3</v>
      </c>
      <c r="N326">
        <v>173.3</v>
      </c>
      <c r="O326">
        <v>169.8</v>
      </c>
      <c r="P326">
        <v>175.8</v>
      </c>
      <c r="Q326">
        <v>164.1</v>
      </c>
      <c r="R326">
        <v>190.7</v>
      </c>
      <c r="S326">
        <v>173.2</v>
      </c>
      <c r="T326">
        <v>169.3</v>
      </c>
      <c r="U326">
        <v>172.7</v>
      </c>
      <c r="W326">
        <v>165.8</v>
      </c>
      <c r="X326">
        <v>164.9</v>
      </c>
      <c r="Y326">
        <v>174.7</v>
      </c>
      <c r="Z326">
        <v>160.80000000000001</v>
      </c>
      <c r="AA326">
        <v>164.9</v>
      </c>
      <c r="AB326">
        <v>169.9</v>
      </c>
      <c r="AC326">
        <v>163.19999999999999</v>
      </c>
      <c r="AD326">
        <v>166.6</v>
      </c>
      <c r="AE326">
        <v>166.4</v>
      </c>
    </row>
    <row r="327" spans="1:31" x14ac:dyDescent="0.3">
      <c r="A327" t="s">
        <v>33</v>
      </c>
      <c r="B327">
        <v>2022</v>
      </c>
      <c r="C327" t="s">
        <v>31</v>
      </c>
      <c r="D327" s="3">
        <v>44562</v>
      </c>
      <c r="E327">
        <v>152.19999999999999</v>
      </c>
      <c r="F327">
        <v>202.1</v>
      </c>
      <c r="G327">
        <v>180.1</v>
      </c>
      <c r="H327">
        <v>160.4</v>
      </c>
      <c r="I327">
        <v>171</v>
      </c>
      <c r="J327">
        <v>156.5</v>
      </c>
      <c r="K327">
        <v>203.6</v>
      </c>
      <c r="L327">
        <v>163.80000000000001</v>
      </c>
      <c r="M327">
        <v>121.3</v>
      </c>
      <c r="N327">
        <v>169.8</v>
      </c>
      <c r="O327">
        <v>156.6</v>
      </c>
      <c r="P327">
        <v>179</v>
      </c>
      <c r="Q327">
        <v>170.3</v>
      </c>
      <c r="R327">
        <v>196.4</v>
      </c>
      <c r="S327">
        <v>164.7</v>
      </c>
      <c r="T327">
        <v>148.5</v>
      </c>
      <c r="U327">
        <v>162.19999999999999</v>
      </c>
      <c r="V327">
        <v>164.5</v>
      </c>
      <c r="W327">
        <v>161.6</v>
      </c>
      <c r="X327">
        <v>156.80000000000001</v>
      </c>
      <c r="Y327">
        <v>166.1</v>
      </c>
      <c r="Z327">
        <v>152.69999999999999</v>
      </c>
      <c r="AA327">
        <v>158.4</v>
      </c>
      <c r="AB327">
        <v>161</v>
      </c>
      <c r="AC327">
        <v>162.80000000000001</v>
      </c>
      <c r="AD327">
        <v>158.6</v>
      </c>
      <c r="AE327">
        <v>165</v>
      </c>
    </row>
    <row r="328" spans="1:31" x14ac:dyDescent="0.3">
      <c r="A328" t="s">
        <v>34</v>
      </c>
      <c r="B328">
        <v>2022</v>
      </c>
      <c r="C328" t="s">
        <v>31</v>
      </c>
      <c r="D328" s="3">
        <v>44562</v>
      </c>
      <c r="E328">
        <v>149.5</v>
      </c>
      <c r="F328">
        <v>198.7</v>
      </c>
      <c r="G328">
        <v>178.8</v>
      </c>
      <c r="H328">
        <v>160.5</v>
      </c>
      <c r="I328">
        <v>184.7</v>
      </c>
      <c r="J328">
        <v>153.69999999999999</v>
      </c>
      <c r="K328">
        <v>174.3</v>
      </c>
      <c r="L328">
        <v>163.9</v>
      </c>
      <c r="M328">
        <v>120</v>
      </c>
      <c r="N328">
        <v>172.1</v>
      </c>
      <c r="O328">
        <v>164.3</v>
      </c>
      <c r="P328">
        <v>177.3</v>
      </c>
      <c r="Q328">
        <v>166.4</v>
      </c>
      <c r="R328">
        <v>192.2</v>
      </c>
      <c r="S328">
        <v>169.9</v>
      </c>
      <c r="T328">
        <v>160.69999999999999</v>
      </c>
      <c r="U328">
        <v>168.5</v>
      </c>
      <c r="V328">
        <v>164.5</v>
      </c>
      <c r="W328">
        <v>164.2</v>
      </c>
      <c r="X328">
        <v>161.1</v>
      </c>
      <c r="Y328">
        <v>171.4</v>
      </c>
      <c r="Z328">
        <v>156.5</v>
      </c>
      <c r="AA328">
        <v>161.19999999999999</v>
      </c>
      <c r="AB328">
        <v>164.7</v>
      </c>
      <c r="AC328">
        <v>163</v>
      </c>
      <c r="AD328">
        <v>162.69999999999999</v>
      </c>
      <c r="AE328">
        <v>165.7</v>
      </c>
    </row>
    <row r="329" spans="1:31" x14ac:dyDescent="0.3">
      <c r="A329" t="s">
        <v>30</v>
      </c>
      <c r="B329">
        <v>2022</v>
      </c>
      <c r="C329" t="s">
        <v>35</v>
      </c>
      <c r="D329" s="3">
        <v>44593</v>
      </c>
      <c r="E329">
        <v>148.80000000000001</v>
      </c>
      <c r="F329">
        <v>198.1</v>
      </c>
      <c r="G329">
        <v>175.5</v>
      </c>
      <c r="H329">
        <v>160.69999999999999</v>
      </c>
      <c r="I329">
        <v>192.6</v>
      </c>
      <c r="J329">
        <v>151.4</v>
      </c>
      <c r="K329">
        <v>155.19999999999999</v>
      </c>
      <c r="L329">
        <v>163.9</v>
      </c>
      <c r="M329">
        <v>118.1</v>
      </c>
      <c r="N329">
        <v>175.4</v>
      </c>
      <c r="O329">
        <v>170.5</v>
      </c>
      <c r="P329">
        <v>176.3</v>
      </c>
      <c r="Q329">
        <v>163.9</v>
      </c>
      <c r="R329">
        <v>191.5</v>
      </c>
      <c r="S329">
        <v>174.1</v>
      </c>
      <c r="T329">
        <v>171</v>
      </c>
      <c r="U329">
        <v>173.7</v>
      </c>
      <c r="W329">
        <v>167.4</v>
      </c>
      <c r="X329">
        <v>165.7</v>
      </c>
      <c r="Y329">
        <v>175.3</v>
      </c>
      <c r="Z329">
        <v>161.19999999999999</v>
      </c>
      <c r="AA329">
        <v>165.5</v>
      </c>
      <c r="AB329">
        <v>170.3</v>
      </c>
      <c r="AC329">
        <v>164.5</v>
      </c>
      <c r="AD329">
        <v>167.3</v>
      </c>
      <c r="AE329">
        <v>166.7</v>
      </c>
    </row>
    <row r="330" spans="1:31" x14ac:dyDescent="0.3">
      <c r="A330" t="s">
        <v>33</v>
      </c>
      <c r="B330">
        <v>2022</v>
      </c>
      <c r="C330" t="s">
        <v>35</v>
      </c>
      <c r="D330" s="3">
        <v>44593</v>
      </c>
      <c r="E330">
        <v>152.5</v>
      </c>
      <c r="F330">
        <v>205.2</v>
      </c>
      <c r="G330">
        <v>176.4</v>
      </c>
      <c r="H330">
        <v>160.6</v>
      </c>
      <c r="I330">
        <v>171.5</v>
      </c>
      <c r="J330">
        <v>156.4</v>
      </c>
      <c r="K330">
        <v>198</v>
      </c>
      <c r="L330">
        <v>163.19999999999999</v>
      </c>
      <c r="M330">
        <v>120.6</v>
      </c>
      <c r="N330">
        <v>172.2</v>
      </c>
      <c r="O330">
        <v>156.69999999999999</v>
      </c>
      <c r="P330">
        <v>180</v>
      </c>
      <c r="Q330">
        <v>170.2</v>
      </c>
      <c r="R330">
        <v>196.5</v>
      </c>
      <c r="S330">
        <v>165.7</v>
      </c>
      <c r="T330">
        <v>150.4</v>
      </c>
      <c r="U330">
        <v>163.4</v>
      </c>
      <c r="V330">
        <v>165.5</v>
      </c>
      <c r="W330">
        <v>163</v>
      </c>
      <c r="X330">
        <v>157.4</v>
      </c>
      <c r="Y330">
        <v>167.2</v>
      </c>
      <c r="Z330">
        <v>153.1</v>
      </c>
      <c r="AA330">
        <v>159.5</v>
      </c>
      <c r="AB330">
        <v>162</v>
      </c>
      <c r="AC330">
        <v>164.2</v>
      </c>
      <c r="AD330">
        <v>159.4</v>
      </c>
      <c r="AE330">
        <v>165.5</v>
      </c>
    </row>
    <row r="331" spans="1:31" x14ac:dyDescent="0.3">
      <c r="A331" t="s">
        <v>34</v>
      </c>
      <c r="B331">
        <v>2022</v>
      </c>
      <c r="C331" t="s">
        <v>35</v>
      </c>
      <c r="D331" s="3">
        <v>44593</v>
      </c>
      <c r="E331">
        <v>150</v>
      </c>
      <c r="F331">
        <v>200.6</v>
      </c>
      <c r="G331">
        <v>175.8</v>
      </c>
      <c r="H331">
        <v>160.69999999999999</v>
      </c>
      <c r="I331">
        <v>184.9</v>
      </c>
      <c r="J331">
        <v>153.69999999999999</v>
      </c>
      <c r="K331">
        <v>169.7</v>
      </c>
      <c r="L331">
        <v>163.69999999999999</v>
      </c>
      <c r="M331">
        <v>118.9</v>
      </c>
      <c r="N331">
        <v>174.3</v>
      </c>
      <c r="O331">
        <v>164.7</v>
      </c>
      <c r="P331">
        <v>178</v>
      </c>
      <c r="Q331">
        <v>166.2</v>
      </c>
      <c r="R331">
        <v>192.8</v>
      </c>
      <c r="S331">
        <v>170.8</v>
      </c>
      <c r="T331">
        <v>162.4</v>
      </c>
      <c r="U331">
        <v>169.6</v>
      </c>
      <c r="V331">
        <v>165.5</v>
      </c>
      <c r="W331">
        <v>165.7</v>
      </c>
      <c r="X331">
        <v>161.80000000000001</v>
      </c>
      <c r="Y331">
        <v>172.2</v>
      </c>
      <c r="Z331">
        <v>156.9</v>
      </c>
      <c r="AA331">
        <v>162.1</v>
      </c>
      <c r="AB331">
        <v>165.4</v>
      </c>
      <c r="AC331">
        <v>164.4</v>
      </c>
      <c r="AD331">
        <v>163.5</v>
      </c>
      <c r="AE331">
        <v>166.1</v>
      </c>
    </row>
    <row r="332" spans="1:31" x14ac:dyDescent="0.3">
      <c r="A332" t="s">
        <v>30</v>
      </c>
      <c r="B332">
        <v>2022</v>
      </c>
      <c r="C332" t="s">
        <v>36</v>
      </c>
      <c r="D332" s="3">
        <v>44621</v>
      </c>
      <c r="E332">
        <v>150.19999999999999</v>
      </c>
      <c r="F332">
        <v>208</v>
      </c>
      <c r="G332">
        <v>167.9</v>
      </c>
      <c r="H332">
        <v>162</v>
      </c>
      <c r="I332">
        <v>203.1</v>
      </c>
      <c r="J332">
        <v>155.9</v>
      </c>
      <c r="K332">
        <v>155.80000000000001</v>
      </c>
      <c r="L332">
        <v>164.2</v>
      </c>
      <c r="M332">
        <v>118.1</v>
      </c>
      <c r="N332">
        <v>178.7</v>
      </c>
      <c r="O332">
        <v>171.2</v>
      </c>
      <c r="P332">
        <v>177.4</v>
      </c>
      <c r="Q332">
        <v>166.6</v>
      </c>
      <c r="R332">
        <v>192.3</v>
      </c>
      <c r="S332">
        <v>175.4</v>
      </c>
      <c r="T332">
        <v>173.2</v>
      </c>
      <c r="U332">
        <v>175.1</v>
      </c>
      <c r="W332">
        <v>168.9</v>
      </c>
      <c r="X332">
        <v>166.5</v>
      </c>
      <c r="Y332">
        <v>176</v>
      </c>
      <c r="Z332">
        <v>162</v>
      </c>
      <c r="AA332">
        <v>166.6</v>
      </c>
      <c r="AB332">
        <v>170.6</v>
      </c>
      <c r="AC332">
        <v>167.4</v>
      </c>
      <c r="AD332">
        <v>168.3</v>
      </c>
      <c r="AE332">
        <v>168.7</v>
      </c>
    </row>
    <row r="333" spans="1:31" x14ac:dyDescent="0.3">
      <c r="A333" t="s">
        <v>33</v>
      </c>
      <c r="B333">
        <v>2022</v>
      </c>
      <c r="C333" t="s">
        <v>36</v>
      </c>
      <c r="D333" s="3">
        <v>44621</v>
      </c>
      <c r="E333">
        <v>153.69999999999999</v>
      </c>
      <c r="F333">
        <v>215.8</v>
      </c>
      <c r="G333">
        <v>167.7</v>
      </c>
      <c r="H333">
        <v>162.6</v>
      </c>
      <c r="I333">
        <v>180</v>
      </c>
      <c r="J333">
        <v>159.6</v>
      </c>
      <c r="K333">
        <v>188.4</v>
      </c>
      <c r="L333">
        <v>163.4</v>
      </c>
      <c r="M333">
        <v>120.3</v>
      </c>
      <c r="N333">
        <v>174.7</v>
      </c>
      <c r="O333">
        <v>157.1</v>
      </c>
      <c r="P333">
        <v>181.5</v>
      </c>
      <c r="Q333">
        <v>171.5</v>
      </c>
      <c r="R333">
        <v>197.5</v>
      </c>
      <c r="S333">
        <v>167.1</v>
      </c>
      <c r="T333">
        <v>152.6</v>
      </c>
      <c r="U333">
        <v>164.9</v>
      </c>
      <c r="V333">
        <v>165.3</v>
      </c>
      <c r="W333">
        <v>164.5</v>
      </c>
      <c r="X333">
        <v>158.6</v>
      </c>
      <c r="Y333">
        <v>168.2</v>
      </c>
      <c r="Z333">
        <v>154.19999999999999</v>
      </c>
      <c r="AA333">
        <v>160.80000000000001</v>
      </c>
      <c r="AB333">
        <v>162.69999999999999</v>
      </c>
      <c r="AC333">
        <v>166.8</v>
      </c>
      <c r="AD333">
        <v>160.6</v>
      </c>
      <c r="AE333">
        <v>166.5</v>
      </c>
    </row>
    <row r="334" spans="1:31" x14ac:dyDescent="0.3">
      <c r="A334" t="s">
        <v>34</v>
      </c>
      <c r="B334">
        <v>2022</v>
      </c>
      <c r="C334" t="s">
        <v>36</v>
      </c>
      <c r="D334" s="3">
        <v>44621</v>
      </c>
      <c r="E334">
        <v>151.30000000000001</v>
      </c>
      <c r="F334">
        <v>210.7</v>
      </c>
      <c r="G334">
        <v>167.8</v>
      </c>
      <c r="H334">
        <v>162.19999999999999</v>
      </c>
      <c r="I334">
        <v>194.6</v>
      </c>
      <c r="J334">
        <v>157.6</v>
      </c>
      <c r="K334">
        <v>166.9</v>
      </c>
      <c r="L334">
        <v>163.9</v>
      </c>
      <c r="M334">
        <v>118.8</v>
      </c>
      <c r="N334">
        <v>177.4</v>
      </c>
      <c r="O334">
        <v>165.3</v>
      </c>
      <c r="P334">
        <v>179.3</v>
      </c>
      <c r="Q334">
        <v>168.4</v>
      </c>
      <c r="R334">
        <v>193.7</v>
      </c>
      <c r="S334">
        <v>172.1</v>
      </c>
      <c r="T334">
        <v>164.6</v>
      </c>
      <c r="U334">
        <v>171.1</v>
      </c>
      <c r="V334">
        <v>165.3</v>
      </c>
      <c r="W334">
        <v>167.2</v>
      </c>
      <c r="X334">
        <v>162.80000000000001</v>
      </c>
      <c r="Y334">
        <v>173</v>
      </c>
      <c r="Z334">
        <v>157.9</v>
      </c>
      <c r="AA334">
        <v>163.30000000000001</v>
      </c>
      <c r="AB334">
        <v>166</v>
      </c>
      <c r="AC334">
        <v>167.2</v>
      </c>
      <c r="AD334">
        <v>164.6</v>
      </c>
      <c r="AE334">
        <v>167.7</v>
      </c>
    </row>
    <row r="335" spans="1:31" x14ac:dyDescent="0.3">
      <c r="A335" t="s">
        <v>30</v>
      </c>
      <c r="B335">
        <v>2022</v>
      </c>
      <c r="C335" t="s">
        <v>37</v>
      </c>
      <c r="D335" s="3">
        <v>44652</v>
      </c>
      <c r="E335">
        <v>151.80000000000001</v>
      </c>
      <c r="F335">
        <v>209.7</v>
      </c>
      <c r="G335">
        <v>164.5</v>
      </c>
      <c r="H335">
        <v>163.80000000000001</v>
      </c>
      <c r="I335">
        <v>207.4</v>
      </c>
      <c r="J335">
        <v>169.7</v>
      </c>
      <c r="K335">
        <v>153.6</v>
      </c>
      <c r="L335">
        <v>165.1</v>
      </c>
      <c r="M335">
        <v>118.2</v>
      </c>
      <c r="N335">
        <v>182.9</v>
      </c>
      <c r="O335">
        <v>172.4</v>
      </c>
      <c r="P335">
        <v>178.9</v>
      </c>
      <c r="Q335">
        <v>168.6</v>
      </c>
      <c r="R335">
        <v>192.8</v>
      </c>
      <c r="S335">
        <v>177.5</v>
      </c>
      <c r="T335">
        <v>175.1</v>
      </c>
      <c r="U335">
        <v>177.1</v>
      </c>
      <c r="W335">
        <v>173.3</v>
      </c>
      <c r="X335">
        <v>167.7</v>
      </c>
      <c r="Y335">
        <v>177</v>
      </c>
      <c r="Z335">
        <v>166.2</v>
      </c>
      <c r="AA335">
        <v>167.2</v>
      </c>
      <c r="AB335">
        <v>170.9</v>
      </c>
      <c r="AC335">
        <v>169</v>
      </c>
      <c r="AD335">
        <v>170.2</v>
      </c>
      <c r="AE335">
        <v>170.8</v>
      </c>
    </row>
    <row r="336" spans="1:31" x14ac:dyDescent="0.3">
      <c r="A336" t="s">
        <v>33</v>
      </c>
      <c r="B336">
        <v>2022</v>
      </c>
      <c r="C336" t="s">
        <v>37</v>
      </c>
      <c r="D336" s="3">
        <v>44652</v>
      </c>
      <c r="E336">
        <v>155.4</v>
      </c>
      <c r="F336">
        <v>215.8</v>
      </c>
      <c r="G336">
        <v>164.6</v>
      </c>
      <c r="H336">
        <v>164.2</v>
      </c>
      <c r="I336">
        <v>186</v>
      </c>
      <c r="J336">
        <v>175.9</v>
      </c>
      <c r="K336">
        <v>190.7</v>
      </c>
      <c r="L336">
        <v>164</v>
      </c>
      <c r="M336">
        <v>120.5</v>
      </c>
      <c r="N336">
        <v>178</v>
      </c>
      <c r="O336">
        <v>157.5</v>
      </c>
      <c r="P336">
        <v>183.3</v>
      </c>
      <c r="Q336">
        <v>174.5</v>
      </c>
      <c r="R336">
        <v>197.1</v>
      </c>
      <c r="S336">
        <v>168.4</v>
      </c>
      <c r="T336">
        <v>154.5</v>
      </c>
      <c r="U336">
        <v>166.3</v>
      </c>
      <c r="V336">
        <v>167</v>
      </c>
      <c r="W336">
        <v>170.5</v>
      </c>
      <c r="X336">
        <v>159.80000000000001</v>
      </c>
      <c r="Y336">
        <v>169</v>
      </c>
      <c r="Z336">
        <v>159.30000000000001</v>
      </c>
      <c r="AA336">
        <v>162.19999999999999</v>
      </c>
      <c r="AB336">
        <v>164</v>
      </c>
      <c r="AC336">
        <v>168.4</v>
      </c>
      <c r="AD336">
        <v>163.1</v>
      </c>
      <c r="AE336">
        <v>169.2</v>
      </c>
    </row>
    <row r="337" spans="1:31" x14ac:dyDescent="0.3">
      <c r="A337" t="s">
        <v>34</v>
      </c>
      <c r="B337">
        <v>2022</v>
      </c>
      <c r="C337" t="s">
        <v>37</v>
      </c>
      <c r="D337" s="3">
        <v>44652</v>
      </c>
      <c r="E337">
        <v>152.9</v>
      </c>
      <c r="F337">
        <v>211.8</v>
      </c>
      <c r="G337">
        <v>164.5</v>
      </c>
      <c r="H337">
        <v>163.9</v>
      </c>
      <c r="I337">
        <v>199.5</v>
      </c>
      <c r="J337">
        <v>172.6</v>
      </c>
      <c r="K337">
        <v>166.2</v>
      </c>
      <c r="L337">
        <v>164.7</v>
      </c>
      <c r="M337">
        <v>119</v>
      </c>
      <c r="N337">
        <v>181.3</v>
      </c>
      <c r="O337">
        <v>166.2</v>
      </c>
      <c r="P337">
        <v>180.9</v>
      </c>
      <c r="Q337">
        <v>170.8</v>
      </c>
      <c r="R337">
        <v>193.9</v>
      </c>
      <c r="S337">
        <v>173.9</v>
      </c>
      <c r="T337">
        <v>166.5</v>
      </c>
      <c r="U337">
        <v>172.8</v>
      </c>
      <c r="V337">
        <v>167</v>
      </c>
      <c r="W337">
        <v>172.2</v>
      </c>
      <c r="X337">
        <v>164</v>
      </c>
      <c r="Y337">
        <v>174</v>
      </c>
      <c r="Z337">
        <v>162.6</v>
      </c>
      <c r="AA337">
        <v>164.4</v>
      </c>
      <c r="AB337">
        <v>166.9</v>
      </c>
      <c r="AC337">
        <v>168.8</v>
      </c>
      <c r="AD337">
        <v>166.8</v>
      </c>
      <c r="AE337">
        <v>170.1</v>
      </c>
    </row>
    <row r="338" spans="1:31" x14ac:dyDescent="0.3">
      <c r="A338" t="s">
        <v>30</v>
      </c>
      <c r="B338">
        <v>2022</v>
      </c>
      <c r="C338" t="s">
        <v>38</v>
      </c>
      <c r="D338" s="3">
        <v>44682</v>
      </c>
      <c r="E338">
        <v>152.9</v>
      </c>
      <c r="F338">
        <v>214.7</v>
      </c>
      <c r="G338">
        <v>161.4</v>
      </c>
      <c r="H338">
        <v>164.6</v>
      </c>
      <c r="I338">
        <v>209.9</v>
      </c>
      <c r="J338">
        <v>168</v>
      </c>
      <c r="K338">
        <v>160.4</v>
      </c>
      <c r="L338">
        <v>165</v>
      </c>
      <c r="M338">
        <v>118.9</v>
      </c>
      <c r="N338">
        <v>186.6</v>
      </c>
      <c r="O338">
        <v>173.2</v>
      </c>
      <c r="P338">
        <v>180.4</v>
      </c>
      <c r="Q338">
        <v>170.8</v>
      </c>
      <c r="R338">
        <v>192.9</v>
      </c>
      <c r="S338">
        <v>179.3</v>
      </c>
      <c r="T338">
        <v>177.2</v>
      </c>
      <c r="U338">
        <v>179</v>
      </c>
      <c r="W338">
        <v>175.3</v>
      </c>
      <c r="X338">
        <v>168.9</v>
      </c>
      <c r="Y338">
        <v>177.7</v>
      </c>
      <c r="Z338">
        <v>167.1</v>
      </c>
      <c r="AA338">
        <v>167.6</v>
      </c>
      <c r="AB338">
        <v>171.8</v>
      </c>
      <c r="AC338">
        <v>168.5</v>
      </c>
      <c r="AD338">
        <v>170.9</v>
      </c>
      <c r="AE338">
        <v>172.5</v>
      </c>
    </row>
    <row r="339" spans="1:31" x14ac:dyDescent="0.3">
      <c r="A339" t="s">
        <v>33</v>
      </c>
      <c r="B339">
        <v>2022</v>
      </c>
      <c r="C339" t="s">
        <v>38</v>
      </c>
      <c r="D339" s="3">
        <v>44682</v>
      </c>
      <c r="E339">
        <v>156.69999999999999</v>
      </c>
      <c r="F339">
        <v>221.2</v>
      </c>
      <c r="G339">
        <v>164.1</v>
      </c>
      <c r="H339">
        <v>165.4</v>
      </c>
      <c r="I339">
        <v>189.5</v>
      </c>
      <c r="J339">
        <v>174.5</v>
      </c>
      <c r="K339">
        <v>203.2</v>
      </c>
      <c r="L339">
        <v>164.1</v>
      </c>
      <c r="M339">
        <v>121.2</v>
      </c>
      <c r="N339">
        <v>181.4</v>
      </c>
      <c r="O339">
        <v>158.5</v>
      </c>
      <c r="P339">
        <v>184.9</v>
      </c>
      <c r="Q339">
        <v>177.5</v>
      </c>
      <c r="R339">
        <v>197.5</v>
      </c>
      <c r="S339">
        <v>170</v>
      </c>
      <c r="T339">
        <v>155.9</v>
      </c>
      <c r="U339">
        <v>167.8</v>
      </c>
      <c r="V339">
        <v>167.5</v>
      </c>
      <c r="W339">
        <v>173.5</v>
      </c>
      <c r="X339">
        <v>161.1</v>
      </c>
      <c r="Y339">
        <v>170.1</v>
      </c>
      <c r="Z339">
        <v>159.4</v>
      </c>
      <c r="AA339">
        <v>163.19999999999999</v>
      </c>
      <c r="AB339">
        <v>165.2</v>
      </c>
      <c r="AC339">
        <v>168.2</v>
      </c>
      <c r="AD339">
        <v>163.80000000000001</v>
      </c>
      <c r="AE339">
        <v>170.8</v>
      </c>
    </row>
    <row r="340" spans="1:31" x14ac:dyDescent="0.3">
      <c r="A340" t="s">
        <v>34</v>
      </c>
      <c r="B340">
        <v>2022</v>
      </c>
      <c r="C340" t="s">
        <v>38</v>
      </c>
      <c r="D340" s="3">
        <v>44682</v>
      </c>
      <c r="E340">
        <v>154.1</v>
      </c>
      <c r="F340">
        <v>217</v>
      </c>
      <c r="G340">
        <v>162.4</v>
      </c>
      <c r="H340">
        <v>164.9</v>
      </c>
      <c r="I340">
        <v>202.4</v>
      </c>
      <c r="J340">
        <v>171</v>
      </c>
      <c r="K340">
        <v>174.9</v>
      </c>
      <c r="L340">
        <v>164.7</v>
      </c>
      <c r="M340">
        <v>119.7</v>
      </c>
      <c r="N340">
        <v>184.9</v>
      </c>
      <c r="O340">
        <v>167.1</v>
      </c>
      <c r="P340">
        <v>182.5</v>
      </c>
      <c r="Q340">
        <v>173.3</v>
      </c>
      <c r="R340">
        <v>194.1</v>
      </c>
      <c r="S340">
        <v>175.6</v>
      </c>
      <c r="T340">
        <v>168.4</v>
      </c>
      <c r="U340">
        <v>174.6</v>
      </c>
      <c r="V340">
        <v>167.5</v>
      </c>
      <c r="W340">
        <v>174.6</v>
      </c>
      <c r="X340">
        <v>165.2</v>
      </c>
      <c r="Y340">
        <v>174.8</v>
      </c>
      <c r="Z340">
        <v>163</v>
      </c>
      <c r="AA340">
        <v>165.1</v>
      </c>
      <c r="AB340">
        <v>167.9</v>
      </c>
      <c r="AC340">
        <v>168.4</v>
      </c>
      <c r="AD340">
        <v>167.5</v>
      </c>
      <c r="AE340">
        <v>171.7</v>
      </c>
    </row>
    <row r="341" spans="1:31" x14ac:dyDescent="0.3">
      <c r="A341" t="s">
        <v>30</v>
      </c>
      <c r="B341">
        <v>2022</v>
      </c>
      <c r="C341" t="s">
        <v>39</v>
      </c>
      <c r="D341" s="3">
        <v>44713</v>
      </c>
      <c r="E341">
        <v>153.80000000000001</v>
      </c>
      <c r="F341">
        <v>217.2</v>
      </c>
      <c r="G341">
        <v>169.6</v>
      </c>
      <c r="H341">
        <v>165.4</v>
      </c>
      <c r="I341">
        <v>208.1</v>
      </c>
      <c r="J341">
        <v>165.8</v>
      </c>
      <c r="K341">
        <v>167.3</v>
      </c>
      <c r="L341">
        <v>164.6</v>
      </c>
      <c r="M341">
        <v>119.1</v>
      </c>
      <c r="N341">
        <v>188.9</v>
      </c>
      <c r="O341">
        <v>174.2</v>
      </c>
      <c r="P341">
        <v>181.9</v>
      </c>
      <c r="Q341">
        <v>172.4</v>
      </c>
      <c r="R341">
        <v>192.9</v>
      </c>
      <c r="S341">
        <v>180.7</v>
      </c>
      <c r="T341">
        <v>178.7</v>
      </c>
      <c r="U341">
        <v>180.4</v>
      </c>
      <c r="W341">
        <v>176.7</v>
      </c>
      <c r="X341">
        <v>170.3</v>
      </c>
      <c r="Y341">
        <v>178.2</v>
      </c>
      <c r="Z341">
        <v>165.5</v>
      </c>
      <c r="AA341">
        <v>168</v>
      </c>
      <c r="AB341">
        <v>172.6</v>
      </c>
      <c r="AC341">
        <v>169.5</v>
      </c>
      <c r="AD341">
        <v>171</v>
      </c>
      <c r="AE341">
        <v>173.6</v>
      </c>
    </row>
    <row r="342" spans="1:31" x14ac:dyDescent="0.3">
      <c r="A342" t="s">
        <v>33</v>
      </c>
      <c r="B342">
        <v>2022</v>
      </c>
      <c r="C342" t="s">
        <v>39</v>
      </c>
      <c r="D342" s="3">
        <v>44713</v>
      </c>
      <c r="E342">
        <v>157.5</v>
      </c>
      <c r="F342">
        <v>223.4</v>
      </c>
      <c r="G342">
        <v>172.8</v>
      </c>
      <c r="H342">
        <v>166.4</v>
      </c>
      <c r="I342">
        <v>188.6</v>
      </c>
      <c r="J342">
        <v>174.1</v>
      </c>
      <c r="K342">
        <v>211.5</v>
      </c>
      <c r="L342">
        <v>163.6</v>
      </c>
      <c r="M342">
        <v>121.4</v>
      </c>
      <c r="N342">
        <v>183.5</v>
      </c>
      <c r="O342">
        <v>159.1</v>
      </c>
      <c r="P342">
        <v>186.3</v>
      </c>
      <c r="Q342">
        <v>179.3</v>
      </c>
      <c r="R342">
        <v>198.3</v>
      </c>
      <c r="S342">
        <v>171.6</v>
      </c>
      <c r="T342">
        <v>157.4</v>
      </c>
      <c r="U342">
        <v>169.4</v>
      </c>
      <c r="V342">
        <v>166.8</v>
      </c>
      <c r="W342">
        <v>174.9</v>
      </c>
      <c r="X342">
        <v>162.1</v>
      </c>
      <c r="Y342">
        <v>170.9</v>
      </c>
      <c r="Z342">
        <v>157.19999999999999</v>
      </c>
      <c r="AA342">
        <v>164.1</v>
      </c>
      <c r="AB342">
        <v>166.5</v>
      </c>
      <c r="AC342">
        <v>169.2</v>
      </c>
      <c r="AD342">
        <v>163.80000000000001</v>
      </c>
      <c r="AE342">
        <v>171.4</v>
      </c>
    </row>
    <row r="343" spans="1:31" x14ac:dyDescent="0.3">
      <c r="A343" t="s">
        <v>34</v>
      </c>
      <c r="B343">
        <v>2022</v>
      </c>
      <c r="C343" t="s">
        <v>39</v>
      </c>
      <c r="D343" s="3">
        <v>44713</v>
      </c>
      <c r="E343">
        <v>155</v>
      </c>
      <c r="F343">
        <v>219.4</v>
      </c>
      <c r="G343">
        <v>170.8</v>
      </c>
      <c r="H343">
        <v>165.8</v>
      </c>
      <c r="I343">
        <v>200.9</v>
      </c>
      <c r="J343">
        <v>169.7</v>
      </c>
      <c r="K343">
        <v>182.3</v>
      </c>
      <c r="L343">
        <v>164.3</v>
      </c>
      <c r="M343">
        <v>119.9</v>
      </c>
      <c r="N343">
        <v>187.1</v>
      </c>
      <c r="O343">
        <v>167.9</v>
      </c>
      <c r="P343">
        <v>183.9</v>
      </c>
      <c r="Q343">
        <v>174.9</v>
      </c>
      <c r="R343">
        <v>194.3</v>
      </c>
      <c r="S343">
        <v>177.1</v>
      </c>
      <c r="T343">
        <v>169.9</v>
      </c>
      <c r="U343">
        <v>176</v>
      </c>
      <c r="V343">
        <v>166.8</v>
      </c>
      <c r="W343">
        <v>176</v>
      </c>
      <c r="X343">
        <v>166.4</v>
      </c>
      <c r="Y343">
        <v>175.4</v>
      </c>
      <c r="Z343">
        <v>161.1</v>
      </c>
      <c r="AA343">
        <v>165.8</v>
      </c>
      <c r="AB343">
        <v>169</v>
      </c>
      <c r="AC343">
        <v>169.4</v>
      </c>
      <c r="AD343">
        <v>167.5</v>
      </c>
      <c r="AE343">
        <v>172.6</v>
      </c>
    </row>
    <row r="344" spans="1:31" x14ac:dyDescent="0.3">
      <c r="A344" t="s">
        <v>30</v>
      </c>
      <c r="B344">
        <v>2022</v>
      </c>
      <c r="C344" t="s">
        <v>40</v>
      </c>
      <c r="D344" s="3">
        <v>44743</v>
      </c>
      <c r="E344">
        <v>155.19999999999999</v>
      </c>
      <c r="F344">
        <v>210.8</v>
      </c>
      <c r="G344">
        <v>174.3</v>
      </c>
      <c r="H344">
        <v>166.3</v>
      </c>
      <c r="I344">
        <v>202.2</v>
      </c>
      <c r="J344">
        <v>169.6</v>
      </c>
      <c r="K344">
        <v>168.6</v>
      </c>
      <c r="L344">
        <v>164.4</v>
      </c>
      <c r="M344">
        <v>119.2</v>
      </c>
      <c r="N344">
        <v>191.8</v>
      </c>
      <c r="O344">
        <v>174.5</v>
      </c>
      <c r="P344">
        <v>183.1</v>
      </c>
      <c r="Q344">
        <v>172.5</v>
      </c>
      <c r="R344">
        <v>193.2</v>
      </c>
      <c r="S344">
        <v>182</v>
      </c>
      <c r="T344">
        <v>180.3</v>
      </c>
      <c r="U344">
        <v>181.7</v>
      </c>
      <c r="W344">
        <v>179.6</v>
      </c>
      <c r="X344">
        <v>171.3</v>
      </c>
      <c r="Y344">
        <v>178.8</v>
      </c>
      <c r="Z344">
        <v>166.3</v>
      </c>
      <c r="AA344">
        <v>168.6</v>
      </c>
      <c r="AB344">
        <v>174.7</v>
      </c>
      <c r="AC344">
        <v>169.7</v>
      </c>
      <c r="AD344">
        <v>171.8</v>
      </c>
      <c r="AE344">
        <v>174.3</v>
      </c>
    </row>
    <row r="345" spans="1:31" x14ac:dyDescent="0.3">
      <c r="A345" t="s">
        <v>33</v>
      </c>
      <c r="B345">
        <v>2022</v>
      </c>
      <c r="C345" t="s">
        <v>40</v>
      </c>
      <c r="D345" s="3">
        <v>44743</v>
      </c>
      <c r="E345">
        <v>159.30000000000001</v>
      </c>
      <c r="F345">
        <v>217.1</v>
      </c>
      <c r="G345">
        <v>176.6</v>
      </c>
      <c r="H345">
        <v>167.1</v>
      </c>
      <c r="I345">
        <v>184.8</v>
      </c>
      <c r="J345">
        <v>179.5</v>
      </c>
      <c r="K345">
        <v>208.5</v>
      </c>
      <c r="L345">
        <v>164</v>
      </c>
      <c r="M345">
        <v>121.5</v>
      </c>
      <c r="N345">
        <v>186.3</v>
      </c>
      <c r="O345">
        <v>159.80000000000001</v>
      </c>
      <c r="P345">
        <v>187.7</v>
      </c>
      <c r="Q345">
        <v>179.4</v>
      </c>
      <c r="R345">
        <v>198.6</v>
      </c>
      <c r="S345">
        <v>172.7</v>
      </c>
      <c r="T345">
        <v>158.69999999999999</v>
      </c>
      <c r="U345">
        <v>170.6</v>
      </c>
      <c r="V345">
        <v>167.8</v>
      </c>
      <c r="W345">
        <v>179.5</v>
      </c>
      <c r="X345">
        <v>163.1</v>
      </c>
      <c r="Y345">
        <v>171.7</v>
      </c>
      <c r="Z345">
        <v>157.4</v>
      </c>
      <c r="AA345">
        <v>164.6</v>
      </c>
      <c r="AB345">
        <v>169.1</v>
      </c>
      <c r="AC345">
        <v>169.8</v>
      </c>
      <c r="AD345">
        <v>164.7</v>
      </c>
      <c r="AE345">
        <v>172.3</v>
      </c>
    </row>
    <row r="346" spans="1:31" x14ac:dyDescent="0.3">
      <c r="A346" t="s">
        <v>34</v>
      </c>
      <c r="B346">
        <v>2022</v>
      </c>
      <c r="C346" t="s">
        <v>40</v>
      </c>
      <c r="D346" s="3">
        <v>44743</v>
      </c>
      <c r="E346">
        <v>156.5</v>
      </c>
      <c r="F346">
        <v>213</v>
      </c>
      <c r="G346">
        <v>175.2</v>
      </c>
      <c r="H346">
        <v>166.6</v>
      </c>
      <c r="I346">
        <v>195.8</v>
      </c>
      <c r="J346">
        <v>174.2</v>
      </c>
      <c r="K346">
        <v>182.1</v>
      </c>
      <c r="L346">
        <v>164.3</v>
      </c>
      <c r="M346">
        <v>120</v>
      </c>
      <c r="N346">
        <v>190</v>
      </c>
      <c r="O346">
        <v>168.4</v>
      </c>
      <c r="P346">
        <v>185.2</v>
      </c>
      <c r="Q346">
        <v>175</v>
      </c>
      <c r="R346">
        <v>194.6</v>
      </c>
      <c r="S346">
        <v>178.3</v>
      </c>
      <c r="T346">
        <v>171.3</v>
      </c>
      <c r="U346">
        <v>177.3</v>
      </c>
      <c r="V346">
        <v>167.8</v>
      </c>
      <c r="W346">
        <v>179.6</v>
      </c>
      <c r="X346">
        <v>167.4</v>
      </c>
      <c r="Y346">
        <v>176.1</v>
      </c>
      <c r="Z346">
        <v>161.6</v>
      </c>
      <c r="AA346">
        <v>166.3</v>
      </c>
      <c r="AB346">
        <v>171.4</v>
      </c>
      <c r="AC346">
        <v>169.7</v>
      </c>
      <c r="AD346">
        <v>168.4</v>
      </c>
      <c r="AE346">
        <v>173.4</v>
      </c>
    </row>
    <row r="347" spans="1:31" x14ac:dyDescent="0.3">
      <c r="A347" t="s">
        <v>30</v>
      </c>
      <c r="B347">
        <v>2022</v>
      </c>
      <c r="C347" t="s">
        <v>41</v>
      </c>
      <c r="D347" s="3">
        <v>44774</v>
      </c>
      <c r="E347">
        <v>159.5</v>
      </c>
      <c r="F347">
        <v>204.1</v>
      </c>
      <c r="G347">
        <v>168.3</v>
      </c>
      <c r="H347">
        <v>167.9</v>
      </c>
      <c r="I347">
        <v>198.1</v>
      </c>
      <c r="J347">
        <v>169.2</v>
      </c>
      <c r="K347">
        <v>173.1</v>
      </c>
      <c r="L347">
        <v>167.1</v>
      </c>
      <c r="M347">
        <v>120.2</v>
      </c>
      <c r="N347">
        <v>195.6</v>
      </c>
      <c r="O347">
        <v>174.8</v>
      </c>
      <c r="P347">
        <v>184</v>
      </c>
      <c r="Q347">
        <v>173.9</v>
      </c>
      <c r="R347">
        <v>193.7</v>
      </c>
      <c r="S347">
        <v>183.2</v>
      </c>
      <c r="T347">
        <v>181.7</v>
      </c>
      <c r="U347">
        <v>183</v>
      </c>
      <c r="W347">
        <v>179.1</v>
      </c>
      <c r="X347">
        <v>172.3</v>
      </c>
      <c r="Y347">
        <v>179.4</v>
      </c>
      <c r="Z347">
        <v>166.6</v>
      </c>
      <c r="AA347">
        <v>169.3</v>
      </c>
      <c r="AB347">
        <v>175.7</v>
      </c>
      <c r="AC347">
        <v>171.1</v>
      </c>
      <c r="AD347">
        <v>172.6</v>
      </c>
      <c r="AE347">
        <v>175.3</v>
      </c>
    </row>
    <row r="348" spans="1:31" x14ac:dyDescent="0.3">
      <c r="A348" t="s">
        <v>33</v>
      </c>
      <c r="B348">
        <v>2022</v>
      </c>
      <c r="C348" t="s">
        <v>41</v>
      </c>
      <c r="D348" s="3">
        <v>44774</v>
      </c>
      <c r="E348">
        <v>162.1</v>
      </c>
      <c r="F348">
        <v>210.9</v>
      </c>
      <c r="G348">
        <v>170.6</v>
      </c>
      <c r="H348">
        <v>168.4</v>
      </c>
      <c r="I348">
        <v>182.5</v>
      </c>
      <c r="J348">
        <v>177.1</v>
      </c>
      <c r="K348">
        <v>213.1</v>
      </c>
      <c r="L348">
        <v>167.3</v>
      </c>
      <c r="M348">
        <v>122.2</v>
      </c>
      <c r="N348">
        <v>189.7</v>
      </c>
      <c r="O348">
        <v>160.5</v>
      </c>
      <c r="P348">
        <v>188.9</v>
      </c>
      <c r="Q348">
        <v>180.4</v>
      </c>
      <c r="R348">
        <v>198.7</v>
      </c>
      <c r="S348">
        <v>173.7</v>
      </c>
      <c r="T348">
        <v>160</v>
      </c>
      <c r="U348">
        <v>171.6</v>
      </c>
      <c r="V348">
        <v>169</v>
      </c>
      <c r="W348">
        <v>178.4</v>
      </c>
      <c r="X348">
        <v>164.2</v>
      </c>
      <c r="Y348">
        <v>172.6</v>
      </c>
      <c r="Z348">
        <v>157.69999999999999</v>
      </c>
      <c r="AA348">
        <v>165.1</v>
      </c>
      <c r="AB348">
        <v>169.9</v>
      </c>
      <c r="AC348">
        <v>171.4</v>
      </c>
      <c r="AD348">
        <v>165.4</v>
      </c>
      <c r="AE348">
        <v>173.1</v>
      </c>
    </row>
    <row r="349" spans="1:31" x14ac:dyDescent="0.3">
      <c r="A349" t="s">
        <v>34</v>
      </c>
      <c r="B349">
        <v>2022</v>
      </c>
      <c r="C349" t="s">
        <v>41</v>
      </c>
      <c r="D349" s="3">
        <v>44774</v>
      </c>
      <c r="E349">
        <v>160.30000000000001</v>
      </c>
      <c r="F349">
        <v>206.5</v>
      </c>
      <c r="G349">
        <v>169.2</v>
      </c>
      <c r="H349">
        <v>168.1</v>
      </c>
      <c r="I349">
        <v>192.4</v>
      </c>
      <c r="J349">
        <v>172.9</v>
      </c>
      <c r="K349">
        <v>186.7</v>
      </c>
      <c r="L349">
        <v>167.2</v>
      </c>
      <c r="M349">
        <v>120.9</v>
      </c>
      <c r="N349">
        <v>193.6</v>
      </c>
      <c r="O349">
        <v>168.8</v>
      </c>
      <c r="P349">
        <v>186.3</v>
      </c>
      <c r="Q349">
        <v>176.3</v>
      </c>
      <c r="R349">
        <v>195</v>
      </c>
      <c r="S349">
        <v>179.5</v>
      </c>
      <c r="T349">
        <v>172.7</v>
      </c>
      <c r="U349">
        <v>178.5</v>
      </c>
      <c r="V349">
        <v>169</v>
      </c>
      <c r="W349">
        <v>178.8</v>
      </c>
      <c r="X349">
        <v>168.5</v>
      </c>
      <c r="Y349">
        <v>176.8</v>
      </c>
      <c r="Z349">
        <v>161.9</v>
      </c>
      <c r="AA349">
        <v>166.9</v>
      </c>
      <c r="AB349">
        <v>172.3</v>
      </c>
      <c r="AC349">
        <v>171.2</v>
      </c>
      <c r="AD349">
        <v>169.1</v>
      </c>
      <c r="AE349">
        <v>174.3</v>
      </c>
    </row>
    <row r="350" spans="1:31" x14ac:dyDescent="0.3">
      <c r="A350" t="s">
        <v>30</v>
      </c>
      <c r="B350">
        <v>2022</v>
      </c>
      <c r="C350" t="s">
        <v>42</v>
      </c>
      <c r="D350" s="3">
        <v>44805</v>
      </c>
      <c r="E350">
        <v>162.9</v>
      </c>
      <c r="F350">
        <v>206.7</v>
      </c>
      <c r="G350">
        <v>169</v>
      </c>
      <c r="H350">
        <v>169.5</v>
      </c>
      <c r="I350">
        <v>194.1</v>
      </c>
      <c r="J350">
        <v>164.1</v>
      </c>
      <c r="K350">
        <v>176.9</v>
      </c>
      <c r="L350">
        <v>169</v>
      </c>
      <c r="M350">
        <v>120.8</v>
      </c>
      <c r="N350">
        <v>199.1</v>
      </c>
      <c r="O350">
        <v>175.4</v>
      </c>
      <c r="P350">
        <v>184.8</v>
      </c>
      <c r="Q350">
        <v>175.5</v>
      </c>
      <c r="R350">
        <v>194.5</v>
      </c>
      <c r="S350">
        <v>184.7</v>
      </c>
      <c r="T350">
        <v>183.3</v>
      </c>
      <c r="U350">
        <v>184.5</v>
      </c>
      <c r="W350">
        <v>179.7</v>
      </c>
      <c r="X350">
        <v>173.6</v>
      </c>
      <c r="Y350">
        <v>180.2</v>
      </c>
      <c r="Z350">
        <v>166.9</v>
      </c>
      <c r="AA350">
        <v>170</v>
      </c>
      <c r="AB350">
        <v>176.2</v>
      </c>
      <c r="AC350">
        <v>170.8</v>
      </c>
      <c r="AD350">
        <v>173.1</v>
      </c>
      <c r="AE350">
        <v>176.4</v>
      </c>
    </row>
    <row r="351" spans="1:31" x14ac:dyDescent="0.3">
      <c r="A351" t="s">
        <v>33</v>
      </c>
      <c r="B351">
        <v>2022</v>
      </c>
      <c r="C351" t="s">
        <v>42</v>
      </c>
      <c r="D351" s="3">
        <v>44805</v>
      </c>
      <c r="E351">
        <v>164.9</v>
      </c>
      <c r="F351">
        <v>213.7</v>
      </c>
      <c r="G351">
        <v>170.9</v>
      </c>
      <c r="H351">
        <v>170.1</v>
      </c>
      <c r="I351">
        <v>179.3</v>
      </c>
      <c r="J351">
        <v>167.5</v>
      </c>
      <c r="K351">
        <v>220.8</v>
      </c>
      <c r="L351">
        <v>169.2</v>
      </c>
      <c r="M351">
        <v>123.1</v>
      </c>
      <c r="N351">
        <v>193.6</v>
      </c>
      <c r="O351">
        <v>161.1</v>
      </c>
      <c r="P351">
        <v>190.4</v>
      </c>
      <c r="Q351">
        <v>181.8</v>
      </c>
      <c r="R351">
        <v>199.7</v>
      </c>
      <c r="S351">
        <v>175</v>
      </c>
      <c r="T351">
        <v>161.69999999999999</v>
      </c>
      <c r="U351">
        <v>173</v>
      </c>
      <c r="V351">
        <v>169.5</v>
      </c>
      <c r="W351">
        <v>179.2</v>
      </c>
      <c r="X351">
        <v>165</v>
      </c>
      <c r="Y351">
        <v>173.8</v>
      </c>
      <c r="Z351">
        <v>158.19999999999999</v>
      </c>
      <c r="AA351">
        <v>165.8</v>
      </c>
      <c r="AB351">
        <v>170.9</v>
      </c>
      <c r="AC351">
        <v>171.1</v>
      </c>
      <c r="AD351">
        <v>166.1</v>
      </c>
      <c r="AE351">
        <v>174.1</v>
      </c>
    </row>
    <row r="352" spans="1:31" x14ac:dyDescent="0.3">
      <c r="A352" t="s">
        <v>34</v>
      </c>
      <c r="B352">
        <v>2022</v>
      </c>
      <c r="C352" t="s">
        <v>42</v>
      </c>
      <c r="D352" s="3">
        <v>44805</v>
      </c>
      <c r="E352">
        <v>163.5</v>
      </c>
      <c r="F352">
        <v>209.2</v>
      </c>
      <c r="G352">
        <v>169.7</v>
      </c>
      <c r="H352">
        <v>169.7</v>
      </c>
      <c r="I352">
        <v>188.7</v>
      </c>
      <c r="J352">
        <v>165.7</v>
      </c>
      <c r="K352">
        <v>191.8</v>
      </c>
      <c r="L352">
        <v>169.1</v>
      </c>
      <c r="M352">
        <v>121.6</v>
      </c>
      <c r="N352">
        <v>197.3</v>
      </c>
      <c r="O352">
        <v>169.4</v>
      </c>
      <c r="P352">
        <v>187.4</v>
      </c>
      <c r="Q352">
        <v>177.8</v>
      </c>
      <c r="R352">
        <v>195.9</v>
      </c>
      <c r="S352">
        <v>180.9</v>
      </c>
      <c r="T352">
        <v>174.3</v>
      </c>
      <c r="U352">
        <v>179.9</v>
      </c>
      <c r="V352">
        <v>169.5</v>
      </c>
      <c r="W352">
        <v>179.5</v>
      </c>
      <c r="X352">
        <v>169.5</v>
      </c>
      <c r="Y352">
        <v>177.8</v>
      </c>
      <c r="Z352">
        <v>162.30000000000001</v>
      </c>
      <c r="AA352">
        <v>167.6</v>
      </c>
      <c r="AB352">
        <v>173.1</v>
      </c>
      <c r="AC352">
        <v>170.9</v>
      </c>
      <c r="AD352">
        <v>169.7</v>
      </c>
      <c r="AE352">
        <v>175.3</v>
      </c>
    </row>
    <row r="353" spans="1:31" x14ac:dyDescent="0.3">
      <c r="A353" t="s">
        <v>30</v>
      </c>
      <c r="B353">
        <v>2022</v>
      </c>
      <c r="C353" t="s">
        <v>43</v>
      </c>
      <c r="D353" s="3">
        <v>44835</v>
      </c>
      <c r="E353">
        <v>164.7</v>
      </c>
      <c r="F353">
        <v>208.8</v>
      </c>
      <c r="G353">
        <v>170.3</v>
      </c>
      <c r="H353">
        <v>170.9</v>
      </c>
      <c r="I353">
        <v>191.6</v>
      </c>
      <c r="J353">
        <v>162.19999999999999</v>
      </c>
      <c r="K353">
        <v>184.8</v>
      </c>
      <c r="L353">
        <v>169.7</v>
      </c>
      <c r="M353">
        <v>121.1</v>
      </c>
      <c r="N353">
        <v>201.6</v>
      </c>
      <c r="O353">
        <v>175.8</v>
      </c>
      <c r="P353">
        <v>185.6</v>
      </c>
      <c r="Q353">
        <v>177.4</v>
      </c>
      <c r="R353">
        <v>194.9</v>
      </c>
      <c r="S353">
        <v>186.1</v>
      </c>
      <c r="T353">
        <v>184.4</v>
      </c>
      <c r="U353">
        <v>185.9</v>
      </c>
      <c r="W353">
        <v>180.8</v>
      </c>
      <c r="X353">
        <v>174.4</v>
      </c>
      <c r="Y353">
        <v>181.2</v>
      </c>
      <c r="Z353">
        <v>167.4</v>
      </c>
      <c r="AA353">
        <v>170.6</v>
      </c>
      <c r="AB353">
        <v>176.5</v>
      </c>
      <c r="AC353">
        <v>172</v>
      </c>
      <c r="AD353">
        <v>173.9</v>
      </c>
      <c r="AE353">
        <v>177.9</v>
      </c>
    </row>
    <row r="354" spans="1:31" x14ac:dyDescent="0.3">
      <c r="A354" t="s">
        <v>33</v>
      </c>
      <c r="B354">
        <v>2022</v>
      </c>
      <c r="C354" t="s">
        <v>43</v>
      </c>
      <c r="D354" s="3">
        <v>44835</v>
      </c>
      <c r="E354">
        <v>166.4</v>
      </c>
      <c r="F354">
        <v>214.9</v>
      </c>
      <c r="G354">
        <v>171.9</v>
      </c>
      <c r="H354">
        <v>171</v>
      </c>
      <c r="I354">
        <v>177.7</v>
      </c>
      <c r="J354">
        <v>165.7</v>
      </c>
      <c r="K354">
        <v>228.6</v>
      </c>
      <c r="L354">
        <v>169.9</v>
      </c>
      <c r="M354">
        <v>123.4</v>
      </c>
      <c r="N354">
        <v>196.4</v>
      </c>
      <c r="O354">
        <v>161.6</v>
      </c>
      <c r="P354">
        <v>191.5</v>
      </c>
      <c r="Q354">
        <v>183.3</v>
      </c>
      <c r="R354">
        <v>200.1</v>
      </c>
      <c r="S354">
        <v>175.5</v>
      </c>
      <c r="T354">
        <v>162.6</v>
      </c>
      <c r="U354">
        <v>173.6</v>
      </c>
      <c r="V354">
        <v>171.2</v>
      </c>
      <c r="W354">
        <v>180</v>
      </c>
      <c r="X354">
        <v>166</v>
      </c>
      <c r="Y354">
        <v>174.7</v>
      </c>
      <c r="Z354">
        <v>158.80000000000001</v>
      </c>
      <c r="AA354">
        <v>166.3</v>
      </c>
      <c r="AB354">
        <v>171.2</v>
      </c>
      <c r="AC354">
        <v>172.3</v>
      </c>
      <c r="AD354">
        <v>166.8</v>
      </c>
      <c r="AE354">
        <v>175.3</v>
      </c>
    </row>
    <row r="355" spans="1:31" x14ac:dyDescent="0.3">
      <c r="A355" t="s">
        <v>34</v>
      </c>
      <c r="B355">
        <v>2022</v>
      </c>
      <c r="C355" t="s">
        <v>43</v>
      </c>
      <c r="D355" s="3">
        <v>44835</v>
      </c>
      <c r="E355">
        <v>165.2</v>
      </c>
      <c r="F355">
        <v>210.9</v>
      </c>
      <c r="G355">
        <v>170.9</v>
      </c>
      <c r="H355">
        <v>170.9</v>
      </c>
      <c r="I355">
        <v>186.5</v>
      </c>
      <c r="J355">
        <v>163.80000000000001</v>
      </c>
      <c r="K355">
        <v>199.7</v>
      </c>
      <c r="L355">
        <v>169.8</v>
      </c>
      <c r="M355">
        <v>121.9</v>
      </c>
      <c r="N355">
        <v>199.9</v>
      </c>
      <c r="O355">
        <v>169.9</v>
      </c>
      <c r="P355">
        <v>188.3</v>
      </c>
      <c r="Q355">
        <v>179.6</v>
      </c>
      <c r="R355">
        <v>196.3</v>
      </c>
      <c r="S355">
        <v>181.9</v>
      </c>
      <c r="T355">
        <v>175.3</v>
      </c>
      <c r="U355">
        <v>181</v>
      </c>
      <c r="V355">
        <v>171.2</v>
      </c>
      <c r="W355">
        <v>180.5</v>
      </c>
      <c r="X355">
        <v>170.4</v>
      </c>
      <c r="Y355">
        <v>178.7</v>
      </c>
      <c r="Z355">
        <v>162.9</v>
      </c>
      <c r="AA355">
        <v>168.2</v>
      </c>
      <c r="AB355">
        <v>173.4</v>
      </c>
      <c r="AC355">
        <v>172.1</v>
      </c>
      <c r="AD355">
        <v>170.5</v>
      </c>
      <c r="AE355">
        <v>176.7</v>
      </c>
    </row>
    <row r="356" spans="1:31" x14ac:dyDescent="0.3">
      <c r="A356" t="s">
        <v>30</v>
      </c>
      <c r="B356">
        <v>2022</v>
      </c>
      <c r="C356" t="s">
        <v>45</v>
      </c>
      <c r="D356" s="3">
        <v>44866</v>
      </c>
      <c r="E356">
        <v>166.9</v>
      </c>
      <c r="F356">
        <v>207.2</v>
      </c>
      <c r="G356">
        <v>180.2</v>
      </c>
      <c r="H356">
        <v>172.3</v>
      </c>
      <c r="I356">
        <v>194</v>
      </c>
      <c r="J356">
        <v>159.1</v>
      </c>
      <c r="K356">
        <v>171.6</v>
      </c>
      <c r="L356">
        <v>170.2</v>
      </c>
      <c r="M356">
        <v>121.5</v>
      </c>
      <c r="N356">
        <v>204.8</v>
      </c>
      <c r="O356">
        <v>176.4</v>
      </c>
      <c r="P356">
        <v>186.9</v>
      </c>
      <c r="Q356">
        <v>176.6</v>
      </c>
      <c r="R356">
        <v>195.5</v>
      </c>
      <c r="S356">
        <v>187.2</v>
      </c>
      <c r="T356">
        <v>185.2</v>
      </c>
      <c r="U356">
        <v>186.9</v>
      </c>
      <c r="W356">
        <v>181.9</v>
      </c>
      <c r="X356">
        <v>175.5</v>
      </c>
      <c r="Y356">
        <v>182.3</v>
      </c>
      <c r="Z356">
        <v>167.5</v>
      </c>
      <c r="AA356">
        <v>170.8</v>
      </c>
      <c r="AB356">
        <v>176.9</v>
      </c>
      <c r="AC356">
        <v>173.4</v>
      </c>
      <c r="AD356">
        <v>174.6</v>
      </c>
      <c r="AE356">
        <v>177.8</v>
      </c>
    </row>
    <row r="357" spans="1:31" x14ac:dyDescent="0.3">
      <c r="A357" t="s">
        <v>33</v>
      </c>
      <c r="B357">
        <v>2022</v>
      </c>
      <c r="C357" t="s">
        <v>45</v>
      </c>
      <c r="D357" s="3">
        <v>44866</v>
      </c>
      <c r="E357">
        <v>168.4</v>
      </c>
      <c r="F357">
        <v>213.4</v>
      </c>
      <c r="G357">
        <v>183.2</v>
      </c>
      <c r="H357">
        <v>172.3</v>
      </c>
      <c r="I357">
        <v>180</v>
      </c>
      <c r="J357">
        <v>162.6</v>
      </c>
      <c r="K357">
        <v>205.5</v>
      </c>
      <c r="L357">
        <v>171</v>
      </c>
      <c r="M357">
        <v>123.4</v>
      </c>
      <c r="N357">
        <v>198.8</v>
      </c>
      <c r="O357">
        <v>162.1</v>
      </c>
      <c r="P357">
        <v>192.4</v>
      </c>
      <c r="Q357">
        <v>181.3</v>
      </c>
      <c r="R357">
        <v>200.6</v>
      </c>
      <c r="S357">
        <v>176.7</v>
      </c>
      <c r="T357">
        <v>163.5</v>
      </c>
      <c r="U357">
        <v>174.7</v>
      </c>
      <c r="V357">
        <v>171.8</v>
      </c>
      <c r="W357">
        <v>180.3</v>
      </c>
      <c r="X357">
        <v>166.9</v>
      </c>
      <c r="Y357">
        <v>175.8</v>
      </c>
      <c r="Z357">
        <v>158.9</v>
      </c>
      <c r="AA357">
        <v>166.7</v>
      </c>
      <c r="AB357">
        <v>171.5</v>
      </c>
      <c r="AC357">
        <v>173.8</v>
      </c>
      <c r="AD357">
        <v>167.4</v>
      </c>
      <c r="AE357">
        <v>174.1</v>
      </c>
    </row>
    <row r="358" spans="1:31" x14ac:dyDescent="0.3">
      <c r="A358" t="s">
        <v>34</v>
      </c>
      <c r="B358">
        <v>2022</v>
      </c>
      <c r="C358" t="s">
        <v>45</v>
      </c>
      <c r="D358" s="3">
        <v>44866</v>
      </c>
      <c r="E358">
        <v>167.4</v>
      </c>
      <c r="F358">
        <v>209.4</v>
      </c>
      <c r="G358">
        <v>181.4</v>
      </c>
      <c r="H358">
        <v>172.3</v>
      </c>
      <c r="I358">
        <v>188.9</v>
      </c>
      <c r="J358">
        <v>160.69999999999999</v>
      </c>
      <c r="K358">
        <v>183.1</v>
      </c>
      <c r="L358">
        <v>170.5</v>
      </c>
      <c r="M358">
        <v>122.1</v>
      </c>
      <c r="N358">
        <v>202.8</v>
      </c>
      <c r="O358">
        <v>170.4</v>
      </c>
      <c r="P358">
        <v>189.5</v>
      </c>
      <c r="Q358">
        <v>178.3</v>
      </c>
      <c r="R358">
        <v>196.9</v>
      </c>
      <c r="S358">
        <v>183.1</v>
      </c>
      <c r="T358">
        <v>176.2</v>
      </c>
      <c r="U358">
        <v>182.1</v>
      </c>
      <c r="V358">
        <v>171.8</v>
      </c>
      <c r="W358">
        <v>181.3</v>
      </c>
      <c r="X358">
        <v>171.4</v>
      </c>
      <c r="Y358">
        <v>179.8</v>
      </c>
      <c r="Z358">
        <v>163</v>
      </c>
      <c r="AA358">
        <v>168.5</v>
      </c>
      <c r="AB358">
        <v>173.7</v>
      </c>
      <c r="AC358">
        <v>173.6</v>
      </c>
      <c r="AD358">
        <v>171.1</v>
      </c>
      <c r="AE358">
        <v>176.5</v>
      </c>
    </row>
    <row r="359" spans="1:31" x14ac:dyDescent="0.3">
      <c r="A359" t="s">
        <v>30</v>
      </c>
      <c r="B359">
        <v>2022</v>
      </c>
      <c r="C359" t="s">
        <v>46</v>
      </c>
      <c r="D359" s="3">
        <v>44896</v>
      </c>
      <c r="E359">
        <v>168.8</v>
      </c>
      <c r="F359">
        <v>206.9</v>
      </c>
      <c r="G359">
        <v>189.1</v>
      </c>
      <c r="H359">
        <v>173.4</v>
      </c>
      <c r="I359">
        <v>193.9</v>
      </c>
      <c r="J359">
        <v>156.69999999999999</v>
      </c>
      <c r="K359">
        <v>150.19999999999999</v>
      </c>
      <c r="L359">
        <v>170.5</v>
      </c>
      <c r="M359">
        <v>121.2</v>
      </c>
      <c r="N359">
        <v>207.5</v>
      </c>
      <c r="O359">
        <v>176.8</v>
      </c>
      <c r="P359">
        <v>187.7</v>
      </c>
      <c r="Q359">
        <v>174.4</v>
      </c>
      <c r="R359">
        <v>195.9</v>
      </c>
      <c r="S359">
        <v>188.1</v>
      </c>
      <c r="T359">
        <v>185.9</v>
      </c>
      <c r="U359">
        <v>187.8</v>
      </c>
      <c r="W359">
        <v>182.8</v>
      </c>
      <c r="X359">
        <v>176.4</v>
      </c>
      <c r="Y359">
        <v>183.5</v>
      </c>
      <c r="Z359">
        <v>167.8</v>
      </c>
      <c r="AA359">
        <v>171.2</v>
      </c>
      <c r="AB359">
        <v>177.3</v>
      </c>
      <c r="AC359">
        <v>175.7</v>
      </c>
      <c r="AD359">
        <v>175.5</v>
      </c>
      <c r="AE359">
        <v>177.1</v>
      </c>
    </row>
    <row r="360" spans="1:31" x14ac:dyDescent="0.3">
      <c r="A360" t="s">
        <v>33</v>
      </c>
      <c r="B360">
        <v>2022</v>
      </c>
      <c r="C360" t="s">
        <v>46</v>
      </c>
      <c r="D360" s="3">
        <v>44896</v>
      </c>
      <c r="E360">
        <v>170.2</v>
      </c>
      <c r="F360">
        <v>212.9</v>
      </c>
      <c r="G360">
        <v>191.9</v>
      </c>
      <c r="H360">
        <v>173.9</v>
      </c>
      <c r="I360">
        <v>179.1</v>
      </c>
      <c r="J360">
        <v>159.5</v>
      </c>
      <c r="K360">
        <v>178.7</v>
      </c>
      <c r="L360">
        <v>171.3</v>
      </c>
      <c r="M360">
        <v>123.1</v>
      </c>
      <c r="N360">
        <v>200.5</v>
      </c>
      <c r="O360">
        <v>162.80000000000001</v>
      </c>
      <c r="P360">
        <v>193.3</v>
      </c>
      <c r="Q360">
        <v>178.6</v>
      </c>
      <c r="R360">
        <v>201.1</v>
      </c>
      <c r="S360">
        <v>177.7</v>
      </c>
      <c r="T360">
        <v>164.5</v>
      </c>
      <c r="U360">
        <v>175.7</v>
      </c>
      <c r="V360">
        <v>170.7</v>
      </c>
      <c r="W360">
        <v>180.6</v>
      </c>
      <c r="X360">
        <v>167.3</v>
      </c>
      <c r="Y360">
        <v>177.2</v>
      </c>
      <c r="Z360">
        <v>159.4</v>
      </c>
      <c r="AA360">
        <v>167.1</v>
      </c>
      <c r="AB360">
        <v>171.8</v>
      </c>
      <c r="AC360">
        <v>176</v>
      </c>
      <c r="AD360">
        <v>168.2</v>
      </c>
      <c r="AE360">
        <v>174.1</v>
      </c>
    </row>
    <row r="361" spans="1:31" x14ac:dyDescent="0.3">
      <c r="A361" t="s">
        <v>34</v>
      </c>
      <c r="B361">
        <v>2022</v>
      </c>
      <c r="C361" t="s">
        <v>46</v>
      </c>
      <c r="D361" s="3">
        <v>44896</v>
      </c>
      <c r="E361">
        <v>169.2</v>
      </c>
      <c r="F361">
        <v>209</v>
      </c>
      <c r="G361">
        <v>190.2</v>
      </c>
      <c r="H361">
        <v>173.6</v>
      </c>
      <c r="I361">
        <v>188.5</v>
      </c>
      <c r="J361">
        <v>158</v>
      </c>
      <c r="K361">
        <v>159.9</v>
      </c>
      <c r="L361">
        <v>170.8</v>
      </c>
      <c r="M361">
        <v>121.8</v>
      </c>
      <c r="N361">
        <v>205.2</v>
      </c>
      <c r="O361">
        <v>171</v>
      </c>
      <c r="P361">
        <v>190.3</v>
      </c>
      <c r="Q361">
        <v>175.9</v>
      </c>
      <c r="R361">
        <v>197.3</v>
      </c>
      <c r="S361">
        <v>184</v>
      </c>
      <c r="T361">
        <v>177</v>
      </c>
      <c r="U361">
        <v>183</v>
      </c>
      <c r="V361">
        <v>170.7</v>
      </c>
      <c r="W361">
        <v>182</v>
      </c>
      <c r="X361">
        <v>172.1</v>
      </c>
      <c r="Y361">
        <v>181.1</v>
      </c>
      <c r="Z361">
        <v>163.4</v>
      </c>
      <c r="AA361">
        <v>168.9</v>
      </c>
      <c r="AB361">
        <v>174.1</v>
      </c>
      <c r="AC361">
        <v>175.8</v>
      </c>
      <c r="AD361">
        <v>172</v>
      </c>
      <c r="AE361">
        <v>175.7</v>
      </c>
    </row>
    <row r="362" spans="1:31" x14ac:dyDescent="0.3">
      <c r="A362" t="s">
        <v>30</v>
      </c>
      <c r="B362">
        <v>2023</v>
      </c>
      <c r="C362" t="s">
        <v>31</v>
      </c>
      <c r="D362" s="3">
        <v>44927</v>
      </c>
      <c r="E362">
        <v>174</v>
      </c>
      <c r="F362">
        <v>208.3</v>
      </c>
      <c r="G362">
        <v>192.9</v>
      </c>
      <c r="H362">
        <v>174.3</v>
      </c>
      <c r="I362">
        <v>192.6</v>
      </c>
      <c r="J362">
        <v>156.30000000000001</v>
      </c>
      <c r="K362">
        <v>142.9</v>
      </c>
      <c r="L362">
        <v>170.7</v>
      </c>
      <c r="M362">
        <v>120.3</v>
      </c>
      <c r="N362">
        <v>210.5</v>
      </c>
      <c r="O362">
        <v>176.9</v>
      </c>
      <c r="P362">
        <v>188.5</v>
      </c>
      <c r="Q362">
        <v>175</v>
      </c>
      <c r="R362">
        <v>196.9</v>
      </c>
      <c r="S362">
        <v>189</v>
      </c>
      <c r="T362">
        <v>186.3</v>
      </c>
      <c r="U362">
        <v>188.6</v>
      </c>
      <c r="W362">
        <v>183.2</v>
      </c>
      <c r="X362">
        <v>177.2</v>
      </c>
      <c r="Y362">
        <v>184.7</v>
      </c>
      <c r="Z362">
        <v>168.2</v>
      </c>
      <c r="AA362">
        <v>171.8</v>
      </c>
      <c r="AB362">
        <v>177.8</v>
      </c>
      <c r="AC362">
        <v>178.4</v>
      </c>
      <c r="AD362">
        <v>176.5</v>
      </c>
      <c r="AE362">
        <v>177.8</v>
      </c>
    </row>
    <row r="363" spans="1:31" x14ac:dyDescent="0.3">
      <c r="A363" t="s">
        <v>33</v>
      </c>
      <c r="B363">
        <v>2023</v>
      </c>
      <c r="C363" t="s">
        <v>31</v>
      </c>
      <c r="D363" s="3">
        <v>44927</v>
      </c>
      <c r="E363">
        <v>173.3</v>
      </c>
      <c r="F363">
        <v>215.2</v>
      </c>
      <c r="G363">
        <v>197</v>
      </c>
      <c r="H363">
        <v>175.2</v>
      </c>
      <c r="I363">
        <v>178</v>
      </c>
      <c r="J363">
        <v>160.5</v>
      </c>
      <c r="K363">
        <v>175.3</v>
      </c>
      <c r="L363">
        <v>171.2</v>
      </c>
      <c r="M363">
        <v>122.7</v>
      </c>
      <c r="N363">
        <v>204.3</v>
      </c>
      <c r="O363">
        <v>163.69999999999999</v>
      </c>
      <c r="P363">
        <v>194.3</v>
      </c>
      <c r="Q363">
        <v>179.5</v>
      </c>
      <c r="R363">
        <v>201.6</v>
      </c>
      <c r="S363">
        <v>178.7</v>
      </c>
      <c r="T363">
        <v>165.3</v>
      </c>
      <c r="U363">
        <v>176.6</v>
      </c>
      <c r="V363">
        <v>172.1</v>
      </c>
      <c r="W363">
        <v>180.1</v>
      </c>
      <c r="X363">
        <v>168</v>
      </c>
      <c r="Y363">
        <v>178.5</v>
      </c>
      <c r="Z363">
        <v>159.5</v>
      </c>
      <c r="AA363">
        <v>167.8</v>
      </c>
      <c r="AB363">
        <v>171.8</v>
      </c>
      <c r="AC363">
        <v>178.8</v>
      </c>
      <c r="AD363">
        <v>168.9</v>
      </c>
      <c r="AE363">
        <v>174.9</v>
      </c>
    </row>
    <row r="364" spans="1:31" x14ac:dyDescent="0.3">
      <c r="A364" t="s">
        <v>34</v>
      </c>
      <c r="B364">
        <v>2023</v>
      </c>
      <c r="C364" t="s">
        <v>31</v>
      </c>
      <c r="D364" s="3">
        <v>44927</v>
      </c>
      <c r="E364">
        <v>173.8</v>
      </c>
      <c r="F364">
        <v>210.7</v>
      </c>
      <c r="G364">
        <v>194.5</v>
      </c>
      <c r="H364">
        <v>174.6</v>
      </c>
      <c r="I364">
        <v>187.2</v>
      </c>
      <c r="J364">
        <v>158.30000000000001</v>
      </c>
      <c r="K364">
        <v>153.9</v>
      </c>
      <c r="L364">
        <v>170.9</v>
      </c>
      <c r="M364">
        <v>121.1</v>
      </c>
      <c r="N364">
        <v>208.4</v>
      </c>
      <c r="O364">
        <v>171.4</v>
      </c>
      <c r="P364">
        <v>191.2</v>
      </c>
      <c r="Q364">
        <v>176.7</v>
      </c>
      <c r="R364">
        <v>198.2</v>
      </c>
      <c r="S364">
        <v>184.9</v>
      </c>
      <c r="T364">
        <v>177.6</v>
      </c>
      <c r="U364">
        <v>183.8</v>
      </c>
      <c r="V364">
        <v>172.1</v>
      </c>
      <c r="W364">
        <v>182</v>
      </c>
      <c r="X364">
        <v>172.9</v>
      </c>
      <c r="Y364">
        <v>182.3</v>
      </c>
      <c r="Z364">
        <v>163.6</v>
      </c>
      <c r="AA364">
        <v>169.5</v>
      </c>
      <c r="AB364">
        <v>174.3</v>
      </c>
      <c r="AC364">
        <v>178.6</v>
      </c>
      <c r="AD364">
        <v>172.8</v>
      </c>
      <c r="AE364">
        <v>176.5</v>
      </c>
    </row>
    <row r="365" spans="1:31" x14ac:dyDescent="0.3">
      <c r="A365" t="s">
        <v>30</v>
      </c>
      <c r="B365">
        <v>2023</v>
      </c>
      <c r="C365" t="s">
        <v>35</v>
      </c>
      <c r="D365" s="3">
        <v>44958</v>
      </c>
      <c r="E365">
        <v>174.2</v>
      </c>
      <c r="F365">
        <v>205.2</v>
      </c>
      <c r="G365">
        <v>173.9</v>
      </c>
      <c r="H365">
        <v>177</v>
      </c>
      <c r="I365">
        <v>183.4</v>
      </c>
      <c r="J365">
        <v>167.2</v>
      </c>
      <c r="K365">
        <v>140.9</v>
      </c>
      <c r="L365">
        <v>170.4</v>
      </c>
      <c r="M365">
        <v>119.1</v>
      </c>
      <c r="N365">
        <v>212.1</v>
      </c>
      <c r="O365">
        <v>177.6</v>
      </c>
      <c r="P365">
        <v>189.9</v>
      </c>
      <c r="Q365">
        <v>174.8</v>
      </c>
      <c r="R365">
        <v>198.3</v>
      </c>
      <c r="S365">
        <v>190</v>
      </c>
      <c r="T365">
        <v>187</v>
      </c>
      <c r="U365">
        <v>189.6</v>
      </c>
      <c r="W365">
        <v>181.6</v>
      </c>
      <c r="X365">
        <v>178.6</v>
      </c>
      <c r="Y365">
        <v>186.6</v>
      </c>
      <c r="Z365">
        <v>169</v>
      </c>
      <c r="AA365">
        <v>172.8</v>
      </c>
      <c r="AB365">
        <v>178.5</v>
      </c>
      <c r="AC365">
        <v>180.7</v>
      </c>
      <c r="AD365">
        <v>177.9</v>
      </c>
      <c r="AE365">
        <v>178</v>
      </c>
    </row>
    <row r="366" spans="1:31" x14ac:dyDescent="0.3">
      <c r="A366" t="s">
        <v>33</v>
      </c>
      <c r="B366">
        <v>2023</v>
      </c>
      <c r="C366" t="s">
        <v>35</v>
      </c>
      <c r="D366" s="3">
        <v>44958</v>
      </c>
      <c r="E366">
        <v>174.7</v>
      </c>
      <c r="F366">
        <v>212.2</v>
      </c>
      <c r="G366">
        <v>177.2</v>
      </c>
      <c r="H366">
        <v>177.9</v>
      </c>
      <c r="I366">
        <v>172.2</v>
      </c>
      <c r="J366">
        <v>172.1</v>
      </c>
      <c r="K366">
        <v>175.8</v>
      </c>
      <c r="L366">
        <v>172.2</v>
      </c>
      <c r="M366">
        <v>121.9</v>
      </c>
      <c r="N366">
        <v>204.8</v>
      </c>
      <c r="O366">
        <v>164.9</v>
      </c>
      <c r="P366">
        <v>196.6</v>
      </c>
      <c r="Q366">
        <v>180.7</v>
      </c>
      <c r="R366">
        <v>202.7</v>
      </c>
      <c r="S366">
        <v>180.3</v>
      </c>
      <c r="T366">
        <v>167</v>
      </c>
      <c r="U366">
        <v>178.2</v>
      </c>
      <c r="V366">
        <v>173.5</v>
      </c>
      <c r="W366">
        <v>182.8</v>
      </c>
      <c r="X366">
        <v>169.2</v>
      </c>
      <c r="Y366">
        <v>180.8</v>
      </c>
      <c r="Z366">
        <v>159.80000000000001</v>
      </c>
      <c r="AA366">
        <v>168.4</v>
      </c>
      <c r="AB366">
        <v>172.5</v>
      </c>
      <c r="AC366">
        <v>181.4</v>
      </c>
      <c r="AD366">
        <v>170</v>
      </c>
      <c r="AE366">
        <v>176.3</v>
      </c>
    </row>
    <row r="367" spans="1:31" x14ac:dyDescent="0.3">
      <c r="A367" t="s">
        <v>34</v>
      </c>
      <c r="B367">
        <v>2023</v>
      </c>
      <c r="C367" t="s">
        <v>35</v>
      </c>
      <c r="D367" s="3">
        <v>44958</v>
      </c>
      <c r="E367">
        <v>174.4</v>
      </c>
      <c r="F367">
        <v>207.7</v>
      </c>
      <c r="G367">
        <v>175.2</v>
      </c>
      <c r="H367">
        <v>177.3</v>
      </c>
      <c r="I367">
        <v>179.3</v>
      </c>
      <c r="J367">
        <v>169.5</v>
      </c>
      <c r="K367">
        <v>152.69999999999999</v>
      </c>
      <c r="L367">
        <v>171</v>
      </c>
      <c r="M367">
        <v>120</v>
      </c>
      <c r="N367">
        <v>209.7</v>
      </c>
      <c r="O367">
        <v>172.3</v>
      </c>
      <c r="P367">
        <v>193</v>
      </c>
      <c r="Q367">
        <v>177</v>
      </c>
      <c r="R367">
        <v>199.5</v>
      </c>
      <c r="S367">
        <v>186.2</v>
      </c>
      <c r="T367">
        <v>178.7</v>
      </c>
      <c r="U367">
        <v>185.1</v>
      </c>
      <c r="V367">
        <v>173.5</v>
      </c>
      <c r="W367">
        <v>182.1</v>
      </c>
      <c r="X367">
        <v>174.2</v>
      </c>
      <c r="Y367">
        <v>184.4</v>
      </c>
      <c r="Z367">
        <v>164.2</v>
      </c>
      <c r="AA367">
        <v>170.3</v>
      </c>
      <c r="AB367">
        <v>175</v>
      </c>
      <c r="AC367">
        <v>181</v>
      </c>
      <c r="AD367">
        <v>174.1</v>
      </c>
      <c r="AE367">
        <v>177.2</v>
      </c>
    </row>
    <row r="368" spans="1:31" x14ac:dyDescent="0.3">
      <c r="A368" t="s">
        <v>30</v>
      </c>
      <c r="B368">
        <v>2023</v>
      </c>
      <c r="C368" t="s">
        <v>36</v>
      </c>
      <c r="D368" s="3">
        <v>44986</v>
      </c>
      <c r="E368">
        <v>174.3</v>
      </c>
      <c r="F368">
        <v>205.2</v>
      </c>
      <c r="G368">
        <v>173.9</v>
      </c>
      <c r="H368">
        <v>177</v>
      </c>
      <c r="I368">
        <v>183.3</v>
      </c>
      <c r="J368">
        <v>167.2</v>
      </c>
      <c r="K368">
        <v>140.9</v>
      </c>
      <c r="L368">
        <v>170.5</v>
      </c>
      <c r="M368">
        <v>119.1</v>
      </c>
      <c r="N368">
        <v>212.1</v>
      </c>
      <c r="O368">
        <v>177.6</v>
      </c>
      <c r="P368">
        <v>189.9</v>
      </c>
      <c r="Q368">
        <v>174.8</v>
      </c>
      <c r="R368">
        <v>198.4</v>
      </c>
      <c r="S368">
        <v>190</v>
      </c>
      <c r="T368">
        <v>187</v>
      </c>
      <c r="U368">
        <v>189.6</v>
      </c>
      <c r="W368">
        <v>181.4</v>
      </c>
      <c r="X368">
        <v>178.6</v>
      </c>
      <c r="Y368">
        <v>186.6</v>
      </c>
      <c r="Z368">
        <v>169</v>
      </c>
      <c r="AA368">
        <v>172.8</v>
      </c>
      <c r="AB368">
        <v>178.5</v>
      </c>
      <c r="AC368">
        <v>180.7</v>
      </c>
      <c r="AD368">
        <v>177.9</v>
      </c>
      <c r="AE368">
        <v>178</v>
      </c>
    </row>
    <row r="369" spans="1:31" x14ac:dyDescent="0.3">
      <c r="A369" t="s">
        <v>33</v>
      </c>
      <c r="B369">
        <v>2023</v>
      </c>
      <c r="C369" t="s">
        <v>36</v>
      </c>
      <c r="D369" s="3">
        <v>44986</v>
      </c>
      <c r="E369">
        <v>174.7</v>
      </c>
      <c r="F369">
        <v>212.2</v>
      </c>
      <c r="G369">
        <v>177.2</v>
      </c>
      <c r="H369">
        <v>177.9</v>
      </c>
      <c r="I369">
        <v>172.2</v>
      </c>
      <c r="J369">
        <v>172.1</v>
      </c>
      <c r="K369">
        <v>175.9</v>
      </c>
      <c r="L369">
        <v>172.2</v>
      </c>
      <c r="M369">
        <v>121.9</v>
      </c>
      <c r="N369">
        <v>204.8</v>
      </c>
      <c r="O369">
        <v>164.9</v>
      </c>
      <c r="P369">
        <v>196.6</v>
      </c>
      <c r="Q369">
        <v>180.8</v>
      </c>
      <c r="R369">
        <v>202.7</v>
      </c>
      <c r="S369">
        <v>180.2</v>
      </c>
      <c r="T369">
        <v>167</v>
      </c>
      <c r="U369">
        <v>178.2</v>
      </c>
      <c r="V369">
        <v>173.5</v>
      </c>
      <c r="W369">
        <v>182.6</v>
      </c>
      <c r="X369">
        <v>169.2</v>
      </c>
      <c r="Y369">
        <v>180.8</v>
      </c>
      <c r="Z369">
        <v>159.80000000000001</v>
      </c>
      <c r="AA369">
        <v>168.4</v>
      </c>
      <c r="AB369">
        <v>172.5</v>
      </c>
      <c r="AC369">
        <v>181.5</v>
      </c>
      <c r="AD369">
        <v>170</v>
      </c>
      <c r="AE369">
        <v>176.3</v>
      </c>
    </row>
    <row r="370" spans="1:31" x14ac:dyDescent="0.3">
      <c r="A370" t="s">
        <v>34</v>
      </c>
      <c r="B370">
        <v>2023</v>
      </c>
      <c r="C370" t="s">
        <v>36</v>
      </c>
      <c r="D370" s="3">
        <v>44986</v>
      </c>
      <c r="E370">
        <v>174.4</v>
      </c>
      <c r="F370">
        <v>207.7</v>
      </c>
      <c r="G370">
        <v>175.2</v>
      </c>
      <c r="H370">
        <v>177.3</v>
      </c>
      <c r="I370">
        <v>179.2</v>
      </c>
      <c r="J370">
        <v>169.5</v>
      </c>
      <c r="K370">
        <v>152.80000000000001</v>
      </c>
      <c r="L370">
        <v>171.1</v>
      </c>
      <c r="M370">
        <v>120</v>
      </c>
      <c r="N370">
        <v>209.7</v>
      </c>
      <c r="O370">
        <v>172.3</v>
      </c>
      <c r="P370">
        <v>193</v>
      </c>
      <c r="Q370">
        <v>177</v>
      </c>
      <c r="R370">
        <v>199.5</v>
      </c>
      <c r="S370">
        <v>186.1</v>
      </c>
      <c r="T370">
        <v>178.7</v>
      </c>
      <c r="U370">
        <v>185.1</v>
      </c>
      <c r="V370">
        <v>173.5</v>
      </c>
      <c r="W370">
        <v>181.9</v>
      </c>
      <c r="X370">
        <v>174.2</v>
      </c>
      <c r="Y370">
        <v>184.4</v>
      </c>
      <c r="Z370">
        <v>164.2</v>
      </c>
      <c r="AA370">
        <v>170.3</v>
      </c>
      <c r="AB370">
        <v>175</v>
      </c>
      <c r="AC370">
        <v>181</v>
      </c>
      <c r="AD370">
        <v>174.1</v>
      </c>
      <c r="AE370">
        <v>177.2</v>
      </c>
    </row>
    <row r="371" spans="1:31" x14ac:dyDescent="0.3">
      <c r="A371" t="s">
        <v>30</v>
      </c>
      <c r="B371">
        <v>2023</v>
      </c>
      <c r="C371" t="s">
        <v>37</v>
      </c>
      <c r="D371" s="3">
        <v>45017</v>
      </c>
      <c r="E371">
        <v>173.3</v>
      </c>
      <c r="F371">
        <v>206.9</v>
      </c>
      <c r="G371">
        <v>167.9</v>
      </c>
      <c r="H371">
        <v>178.2</v>
      </c>
      <c r="I371">
        <v>178.5</v>
      </c>
      <c r="J371">
        <v>173.7</v>
      </c>
      <c r="K371">
        <v>142.80000000000001</v>
      </c>
      <c r="L371">
        <v>172.8</v>
      </c>
      <c r="M371">
        <v>120.4</v>
      </c>
      <c r="N371">
        <v>215.5</v>
      </c>
      <c r="O371">
        <v>178.2</v>
      </c>
      <c r="P371">
        <v>190.5</v>
      </c>
      <c r="Q371">
        <v>175.5</v>
      </c>
      <c r="R371">
        <v>199.5</v>
      </c>
      <c r="S371">
        <v>190.7</v>
      </c>
      <c r="T371">
        <v>187.3</v>
      </c>
      <c r="U371">
        <v>190.2</v>
      </c>
      <c r="W371">
        <v>181.5</v>
      </c>
      <c r="X371">
        <v>179.1</v>
      </c>
      <c r="Y371">
        <v>187.2</v>
      </c>
      <c r="Z371">
        <v>169.4</v>
      </c>
      <c r="AA371">
        <v>173.2</v>
      </c>
      <c r="AB371">
        <v>179.4</v>
      </c>
      <c r="AC371">
        <v>183.8</v>
      </c>
      <c r="AD371">
        <v>178.9</v>
      </c>
      <c r="AE371">
        <v>178.8</v>
      </c>
    </row>
    <row r="372" spans="1:31" x14ac:dyDescent="0.3">
      <c r="A372" t="s">
        <v>33</v>
      </c>
      <c r="B372">
        <v>2023</v>
      </c>
      <c r="C372" t="s">
        <v>37</v>
      </c>
      <c r="D372" s="3">
        <v>45017</v>
      </c>
      <c r="E372">
        <v>174.8</v>
      </c>
      <c r="F372">
        <v>213.7</v>
      </c>
      <c r="G372">
        <v>172.4</v>
      </c>
      <c r="H372">
        <v>178.8</v>
      </c>
      <c r="I372">
        <v>168.7</v>
      </c>
      <c r="J372">
        <v>179.2</v>
      </c>
      <c r="K372">
        <v>179.9</v>
      </c>
      <c r="L372">
        <v>174.7</v>
      </c>
      <c r="M372">
        <v>123.1</v>
      </c>
      <c r="N372">
        <v>207.8</v>
      </c>
      <c r="O372">
        <v>165.5</v>
      </c>
      <c r="P372">
        <v>197</v>
      </c>
      <c r="Q372">
        <v>182.1</v>
      </c>
      <c r="R372">
        <v>203.5</v>
      </c>
      <c r="S372">
        <v>181</v>
      </c>
      <c r="T372">
        <v>167.7</v>
      </c>
      <c r="U372">
        <v>178.9</v>
      </c>
      <c r="V372">
        <v>175.2</v>
      </c>
      <c r="W372">
        <v>182.1</v>
      </c>
      <c r="X372">
        <v>169.6</v>
      </c>
      <c r="Y372">
        <v>181.5</v>
      </c>
      <c r="Z372">
        <v>160.1</v>
      </c>
      <c r="AA372">
        <v>168.8</v>
      </c>
      <c r="AB372">
        <v>174.2</v>
      </c>
      <c r="AC372">
        <v>184.4</v>
      </c>
      <c r="AD372">
        <v>170.9</v>
      </c>
      <c r="AE372">
        <v>177.4</v>
      </c>
    </row>
    <row r="373" spans="1:31" x14ac:dyDescent="0.3">
      <c r="A373" t="s">
        <v>34</v>
      </c>
      <c r="B373">
        <v>2023</v>
      </c>
      <c r="C373" t="s">
        <v>37</v>
      </c>
      <c r="D373" s="3">
        <v>45017</v>
      </c>
      <c r="E373">
        <v>173.8</v>
      </c>
      <c r="F373">
        <v>209.3</v>
      </c>
      <c r="G373">
        <v>169.6</v>
      </c>
      <c r="H373">
        <v>178.4</v>
      </c>
      <c r="I373">
        <v>174.9</v>
      </c>
      <c r="J373">
        <v>176.3</v>
      </c>
      <c r="K373">
        <v>155.4</v>
      </c>
      <c r="L373">
        <v>173.4</v>
      </c>
      <c r="M373">
        <v>121.3</v>
      </c>
      <c r="N373">
        <v>212.9</v>
      </c>
      <c r="O373">
        <v>172.9</v>
      </c>
      <c r="P373">
        <v>193.5</v>
      </c>
      <c r="Q373">
        <v>177.9</v>
      </c>
      <c r="R373">
        <v>200.6</v>
      </c>
      <c r="S373">
        <v>186.9</v>
      </c>
      <c r="T373">
        <v>179.2</v>
      </c>
      <c r="U373">
        <v>185.7</v>
      </c>
      <c r="V373">
        <v>175.2</v>
      </c>
      <c r="W373">
        <v>181.7</v>
      </c>
      <c r="X373">
        <v>174.6</v>
      </c>
      <c r="Y373">
        <v>185</v>
      </c>
      <c r="Z373">
        <v>164.5</v>
      </c>
      <c r="AA373">
        <v>170.7</v>
      </c>
      <c r="AB373">
        <v>176.4</v>
      </c>
      <c r="AC373">
        <v>184</v>
      </c>
      <c r="AD373">
        <v>175</v>
      </c>
      <c r="AE373">
        <v>178.1</v>
      </c>
    </row>
    <row r="374" spans="1:31" x14ac:dyDescent="0.3">
      <c r="A374" t="s">
        <v>30</v>
      </c>
      <c r="B374">
        <v>2023</v>
      </c>
      <c r="C374" t="s">
        <v>38</v>
      </c>
      <c r="D374" s="3">
        <v>45047</v>
      </c>
      <c r="E374">
        <v>173.2</v>
      </c>
      <c r="F374">
        <v>211.5</v>
      </c>
      <c r="G374">
        <v>171</v>
      </c>
      <c r="H374">
        <v>179.6</v>
      </c>
      <c r="I374">
        <v>173.3</v>
      </c>
      <c r="J374">
        <v>169</v>
      </c>
      <c r="K374">
        <v>148.69999999999999</v>
      </c>
      <c r="L374">
        <v>174.9</v>
      </c>
      <c r="M374">
        <v>121.9</v>
      </c>
      <c r="N374">
        <v>221</v>
      </c>
      <c r="O374">
        <v>178.7</v>
      </c>
      <c r="P374">
        <v>191.1</v>
      </c>
      <c r="Q374">
        <v>176.8</v>
      </c>
      <c r="R374">
        <v>199.9</v>
      </c>
      <c r="S374">
        <v>191.2</v>
      </c>
      <c r="T374">
        <v>187.9</v>
      </c>
      <c r="U374">
        <v>190.8</v>
      </c>
      <c r="W374">
        <v>182.5</v>
      </c>
      <c r="X374">
        <v>179.8</v>
      </c>
      <c r="Y374">
        <v>187.8</v>
      </c>
      <c r="Z374">
        <v>169.7</v>
      </c>
      <c r="AA374">
        <v>173.8</v>
      </c>
      <c r="AB374">
        <v>180.3</v>
      </c>
      <c r="AC374">
        <v>184.9</v>
      </c>
      <c r="AD374">
        <v>179.5</v>
      </c>
      <c r="AE374">
        <v>179.8</v>
      </c>
    </row>
    <row r="375" spans="1:31" x14ac:dyDescent="0.3">
      <c r="A375" t="s">
        <v>33</v>
      </c>
      <c r="B375">
        <v>2023</v>
      </c>
      <c r="C375" t="s">
        <v>38</v>
      </c>
      <c r="D375" s="3">
        <v>45047</v>
      </c>
      <c r="E375">
        <v>174.7</v>
      </c>
      <c r="F375">
        <v>219.4</v>
      </c>
      <c r="G375">
        <v>176.7</v>
      </c>
      <c r="H375">
        <v>179.4</v>
      </c>
      <c r="I375">
        <v>164.4</v>
      </c>
      <c r="J375">
        <v>175.8</v>
      </c>
      <c r="K375">
        <v>185</v>
      </c>
      <c r="L375">
        <v>176.9</v>
      </c>
      <c r="M375">
        <v>124.2</v>
      </c>
      <c r="N375">
        <v>211.9</v>
      </c>
      <c r="O375">
        <v>165.9</v>
      </c>
      <c r="P375">
        <v>197.7</v>
      </c>
      <c r="Q375">
        <v>183.1</v>
      </c>
      <c r="R375">
        <v>204.2</v>
      </c>
      <c r="S375">
        <v>181.3</v>
      </c>
      <c r="T375">
        <v>168.1</v>
      </c>
      <c r="U375">
        <v>179.3</v>
      </c>
      <c r="V375">
        <v>175.6</v>
      </c>
      <c r="W375">
        <v>183.4</v>
      </c>
      <c r="X375">
        <v>170.1</v>
      </c>
      <c r="Y375">
        <v>182.2</v>
      </c>
      <c r="Z375">
        <v>160.4</v>
      </c>
      <c r="AA375">
        <v>169.2</v>
      </c>
      <c r="AB375">
        <v>174.8</v>
      </c>
      <c r="AC375">
        <v>185.6</v>
      </c>
      <c r="AD375">
        <v>171.6</v>
      </c>
      <c r="AE375">
        <v>178.2</v>
      </c>
    </row>
    <row r="376" spans="1:31" x14ac:dyDescent="0.3">
      <c r="A376" t="s">
        <v>34</v>
      </c>
      <c r="B376">
        <v>2023</v>
      </c>
      <c r="C376" t="s">
        <v>38</v>
      </c>
      <c r="D376" s="3">
        <v>45047</v>
      </c>
      <c r="E376">
        <v>173.7</v>
      </c>
      <c r="F376">
        <v>214.3</v>
      </c>
      <c r="G376">
        <v>173.2</v>
      </c>
      <c r="H376">
        <v>179.5</v>
      </c>
      <c r="I376">
        <v>170</v>
      </c>
      <c r="J376">
        <v>172.2</v>
      </c>
      <c r="K376">
        <v>161</v>
      </c>
      <c r="L376">
        <v>175.6</v>
      </c>
      <c r="M376">
        <v>122.7</v>
      </c>
      <c r="N376">
        <v>218</v>
      </c>
      <c r="O376">
        <v>173.4</v>
      </c>
      <c r="P376">
        <v>194.2</v>
      </c>
      <c r="Q376">
        <v>179.1</v>
      </c>
      <c r="R376">
        <v>201</v>
      </c>
      <c r="S376">
        <v>187.3</v>
      </c>
      <c r="T376">
        <v>179.7</v>
      </c>
      <c r="U376">
        <v>186.2</v>
      </c>
      <c r="V376">
        <v>175.6</v>
      </c>
      <c r="W376">
        <v>182.8</v>
      </c>
      <c r="X376">
        <v>175.2</v>
      </c>
      <c r="Y376">
        <v>185.7</v>
      </c>
      <c r="Z376">
        <v>164.8</v>
      </c>
      <c r="AA376">
        <v>171.2</v>
      </c>
      <c r="AB376">
        <v>177.1</v>
      </c>
      <c r="AC376">
        <v>185.2</v>
      </c>
      <c r="AD376">
        <v>175.7</v>
      </c>
      <c r="AE376">
        <v>179.1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DB02F-02BD-4E25-8DB8-6E09D0FB67A6}">
  <sheetPr codeName="Sheet4"/>
  <dimension ref="A1:G39"/>
  <sheetViews>
    <sheetView workbookViewId="0">
      <selection activeCell="D9" sqref="D9"/>
    </sheetView>
  </sheetViews>
  <sheetFormatPr defaultRowHeight="14.4" x14ac:dyDescent="0.3"/>
  <cols>
    <col min="1" max="1" width="10.44140625" customWidth="1"/>
    <col min="2" max="2" width="17.5546875" customWidth="1"/>
    <col min="3" max="3" width="15.88671875" customWidth="1"/>
    <col min="4" max="4" width="16.77734375" customWidth="1"/>
    <col min="5" max="5" width="49.44140625" bestFit="1" customWidth="1"/>
    <col min="7" max="7" width="12.77734375" bestFit="1" customWidth="1"/>
  </cols>
  <sheetData>
    <row r="1" spans="1:7" x14ac:dyDescent="0.3">
      <c r="A1" s="107" t="s">
        <v>223</v>
      </c>
      <c r="B1" s="107"/>
      <c r="C1" s="107"/>
      <c r="D1" s="107"/>
      <c r="E1" s="107"/>
      <c r="F1" s="107"/>
    </row>
    <row r="2" spans="1:7" x14ac:dyDescent="0.3">
      <c r="A2" s="107"/>
      <c r="B2" s="107"/>
      <c r="C2" s="107"/>
      <c r="D2" s="107"/>
      <c r="E2" s="107"/>
      <c r="F2" s="107"/>
    </row>
    <row r="4" spans="1:7" x14ac:dyDescent="0.3">
      <c r="A4" t="s">
        <v>1</v>
      </c>
      <c r="B4" t="s">
        <v>125</v>
      </c>
      <c r="C4" t="s">
        <v>126</v>
      </c>
    </row>
    <row r="5" spans="1:7" x14ac:dyDescent="0.3">
      <c r="A5" s="3">
        <v>42491</v>
      </c>
      <c r="B5" cm="1">
        <f t="array" ref="B5">INDEX(CPI_Data[General index], MATCH(1, (CPI_Data[Sector]="Rural+Urban")*(CPI_Data[Date]=A5), 0))</f>
        <v>128.6</v>
      </c>
      <c r="C5" s="13"/>
      <c r="E5" t="s">
        <v>196</v>
      </c>
      <c r="F5" s="29">
        <f>MAX(C6:C12)</f>
        <v>7.0448877805486171E-2</v>
      </c>
      <c r="G5" s="30">
        <f>INDEX(Table79[Year],MATCH(F5,Table79[Inflation],0))</f>
        <v>44682</v>
      </c>
    </row>
    <row r="6" spans="1:7" x14ac:dyDescent="0.3">
      <c r="A6" s="3">
        <v>42856</v>
      </c>
      <c r="B6" cm="1">
        <f t="array" ref="B6">INDEX(CPI_Data[General index], MATCH(1, (CPI_Data[Sector]="Rural+Urban")*(CPI_Data[Date]=A6), 0))</f>
        <v>131.4</v>
      </c>
      <c r="C6" s="13">
        <f t="shared" ref="C6:C12" si="0">(B6-B5)/B5</f>
        <v>2.1772939346811911E-2</v>
      </c>
      <c r="E6" t="s">
        <v>197</v>
      </c>
      <c r="F6" s="29">
        <f>MIN(C6:C12)</f>
        <v>2.1772939346811911E-2</v>
      </c>
      <c r="G6" s="30">
        <f>INDEX(Table79[Year], MATCH(F6,Table79[Inflation],0))</f>
        <v>42856</v>
      </c>
    </row>
    <row r="7" spans="1:7" x14ac:dyDescent="0.3">
      <c r="A7" s="3">
        <v>43221</v>
      </c>
      <c r="B7" cm="1">
        <f t="array" ref="B7">INDEX(CPI_Data[General index], MATCH(1, (CPI_Data[Sector]="Rural+Urban")*(CPI_Data[Date]=A7), 0))</f>
        <v>137.80000000000001</v>
      </c>
      <c r="C7" s="13">
        <f t="shared" si="0"/>
        <v>4.8706240487062444E-2</v>
      </c>
      <c r="E7" t="s">
        <v>198</v>
      </c>
      <c r="F7" s="29">
        <f>AVERAGE(C6:C12)</f>
        <v>4.8591013744196741E-2</v>
      </c>
    </row>
    <row r="8" spans="1:7" x14ac:dyDescent="0.3">
      <c r="A8" s="3">
        <v>43586</v>
      </c>
      <c r="B8" cm="1">
        <f t="array" ref="B8">INDEX(CPI_Data[General index], MATCH(1, (CPI_Data[Sector]="Rural+Urban")*(CPI_Data[Date]=A8), 0))</f>
        <v>142</v>
      </c>
      <c r="C8" s="13">
        <f t="shared" si="0"/>
        <v>3.0478955007256808E-2</v>
      </c>
    </row>
    <row r="9" spans="1:7" x14ac:dyDescent="0.3">
      <c r="A9" s="3">
        <v>43952</v>
      </c>
      <c r="B9" cm="1">
        <f t="array" ref="B9">INDEX(CPI_Data[General index], MATCH(1, (CPI_Data[Sector]="Rural+Urban")*(CPI_Data[Date]=A9), 0))</f>
        <v>150.9</v>
      </c>
      <c r="C9" s="13">
        <f t="shared" si="0"/>
        <v>6.267605633802821E-2</v>
      </c>
    </row>
    <row r="10" spans="1:7" x14ac:dyDescent="0.3">
      <c r="A10" s="3">
        <v>44317</v>
      </c>
      <c r="B10" cm="1">
        <f t="array" ref="B10">INDEX(CPI_Data[General index], MATCH(1, (CPI_Data[Sector]="Rural+Urban")*(CPI_Data[Date]=A10), 0))</f>
        <v>160.4</v>
      </c>
      <c r="C10" s="13">
        <f t="shared" si="0"/>
        <v>6.2955599734923789E-2</v>
      </c>
    </row>
    <row r="11" spans="1:7" x14ac:dyDescent="0.3">
      <c r="A11" s="3">
        <v>44682</v>
      </c>
      <c r="B11" cm="1">
        <f t="array" ref="B11">INDEX(CPI_Data[General index], MATCH(1, (CPI_Data[Sector]="Rural+Urban")*(CPI_Data[Date]=A11), 0))</f>
        <v>171.7</v>
      </c>
      <c r="C11" s="13">
        <f t="shared" si="0"/>
        <v>7.0448877805486171E-2</v>
      </c>
    </row>
    <row r="12" spans="1:7" x14ac:dyDescent="0.3">
      <c r="A12" s="3">
        <v>45047</v>
      </c>
      <c r="B12" cm="1">
        <f t="array" ref="B12">INDEX(CPI_Data[General index], MATCH(1, (CPI_Data[Sector]="Rural+Urban")*(CPI_Data[Date]=A12), 0))</f>
        <v>179.1</v>
      </c>
      <c r="C12" s="13">
        <f t="shared" si="0"/>
        <v>4.3098427489807842E-2</v>
      </c>
    </row>
    <row r="15" spans="1:7" x14ac:dyDescent="0.3">
      <c r="A15" t="s">
        <v>199</v>
      </c>
    </row>
    <row r="16" spans="1:7" x14ac:dyDescent="0.3">
      <c r="E16" t="s">
        <v>200</v>
      </c>
      <c r="F16" s="29">
        <f>MAX('Q3 - Food Inflation'!M34:M45)</f>
        <v>9.6789883268482372E-3</v>
      </c>
      <c r="G16" s="3">
        <f>INDEX(Q3_MoM_food_inflation[Date],MATCH(F16,Q3_MoM_food_inflation[Inflation (R)],0))</f>
        <v>44713</v>
      </c>
    </row>
    <row r="17" spans="1:7" x14ac:dyDescent="0.3">
      <c r="E17" t="s">
        <v>201</v>
      </c>
      <c r="F17" s="29">
        <f>MAX('Q3 - Food Inflation'!O34:O45)</f>
        <v>1.1272605171007545E-2</v>
      </c>
      <c r="G17" s="3">
        <f>INDEX(Q3_MoM_food_inflation[Date], MATCH(F17,Q3_MoM_food_inflation[Inflation (U)],0))</f>
        <v>44713</v>
      </c>
    </row>
    <row r="18" spans="1:7" x14ac:dyDescent="0.3">
      <c r="E18" t="s">
        <v>202</v>
      </c>
      <c r="F18" s="29">
        <f>MAX('Q3 - Food Inflation'!Q34:Q45)</f>
        <v>1.0360185902401063E-2</v>
      </c>
      <c r="G18" s="3">
        <f>INDEX(Q3_MoM_food_inflation[Date],MATCH(F18,Q3_MoM_food_inflation[Inflation (R+U)],0))</f>
        <v>44713</v>
      </c>
    </row>
    <row r="20" spans="1:7" x14ac:dyDescent="0.3">
      <c r="E20" t="s">
        <v>206</v>
      </c>
      <c r="F20" s="13">
        <f>MIN('Q3 - Food Inflation'!M34:M45)</f>
        <v>-8.206052556683727E-3</v>
      </c>
      <c r="G20" s="3">
        <f>INDEX(Q3_MoM_food_inflation[Date],MATCH(F20,Q3_MoM_food_inflation[Inflation (R)],0))</f>
        <v>44958</v>
      </c>
    </row>
    <row r="21" spans="1:7" x14ac:dyDescent="0.3">
      <c r="E21" t="s">
        <v>207</v>
      </c>
      <c r="F21" s="29">
        <f>MIN('Q3 - Food Inflation'!O34:O45)</f>
        <v>-7.4539402747176436E-3</v>
      </c>
      <c r="G21" s="3">
        <f>INDEX(Q3_MoM_food_inflation[Date],MATCH(F21,Q3_MoM_food_inflation[Inflation (U)],0))</f>
        <v>44896</v>
      </c>
    </row>
    <row r="22" spans="1:7" x14ac:dyDescent="0.3">
      <c r="E22" t="s">
        <v>208</v>
      </c>
      <c r="F22" s="29">
        <f>MIN('Q3 - Food Inflation'!Q34:Q45)</f>
        <v>-6.5689981096409816E-3</v>
      </c>
      <c r="G22" s="3">
        <f>INDEX(Q3_MoM_food_inflation[Date],MATCH(F22,Q3_MoM_food_inflation[Inflation (R+U)],0))</f>
        <v>44958</v>
      </c>
    </row>
    <row r="24" spans="1:7" x14ac:dyDescent="0.3">
      <c r="A24" t="s">
        <v>209</v>
      </c>
    </row>
    <row r="25" spans="1:7" x14ac:dyDescent="0.3">
      <c r="E25" t="s">
        <v>210</v>
      </c>
      <c r="F25" s="29">
        <f>AVERAGE('Q4 - COVID Impact'!G139:G141)</f>
        <v>3.3317408060504428E-2</v>
      </c>
    </row>
    <row r="26" spans="1:7" x14ac:dyDescent="0.3">
      <c r="E26" t="s">
        <v>211</v>
      </c>
      <c r="F26" s="29">
        <f>AVERAGE('Q4 - COVID Impact'!L139:L141)</f>
        <v>4.0601928330088827E-2</v>
      </c>
    </row>
    <row r="27" spans="1:7" x14ac:dyDescent="0.3">
      <c r="E27" t="s">
        <v>212</v>
      </c>
      <c r="F27" s="29">
        <f>AVERAGE('Q4 - COVID Impact'!Q139:Q141)</f>
        <v>3.67470220411397E-2</v>
      </c>
    </row>
    <row r="29" spans="1:7" x14ac:dyDescent="0.3">
      <c r="E29" t="s">
        <v>213</v>
      </c>
      <c r="F29" s="29">
        <f>AVERAGE('Q4 - COVID Impact'!G142:G145)</f>
        <v>5.9668706787642301E-2</v>
      </c>
    </row>
    <row r="30" spans="1:7" x14ac:dyDescent="0.3">
      <c r="E30" t="s">
        <v>214</v>
      </c>
      <c r="F30" s="29">
        <f>AVERAGE('Q4 - COVID Impact'!L142:L145)</f>
        <v>6.0282855473584612E-2</v>
      </c>
    </row>
    <row r="31" spans="1:7" x14ac:dyDescent="0.3">
      <c r="E31" t="s">
        <v>215</v>
      </c>
      <c r="F31" s="29">
        <f>AVERAGE('Q4 - COVID Impact'!Q142:Q145)</f>
        <v>5.993758448343571E-2</v>
      </c>
    </row>
    <row r="33" spans="1:7" x14ac:dyDescent="0.3">
      <c r="A33" t="s">
        <v>218</v>
      </c>
    </row>
    <row r="34" spans="1:7" x14ac:dyDescent="0.3">
      <c r="E34" t="s">
        <v>219</v>
      </c>
      <c r="F34" s="52">
        <f>MAX(Table5[Correlation with Imported Crude Oil])</f>
        <v>0.40456504998927784</v>
      </c>
      <c r="G34" t="str">
        <f>INDEX(Table5[[#All],[CPI Category]],MATCH(Dashboard_Calculations!F34,Table5[[#All],[Correlation with Imported Crude Oil]],0))</f>
        <v>Oils and fats</v>
      </c>
    </row>
    <row r="35" spans="1:7" x14ac:dyDescent="0.3">
      <c r="E35" t="s">
        <v>220</v>
      </c>
      <c r="F35" s="52">
        <f>MIN(Table5[Correlation with Imported Crude Oil])</f>
        <v>-0.28956707618768684</v>
      </c>
      <c r="G35" t="str">
        <f>INDEX(Table5[[#All],[CPI Category]], MATCH(Dashboard_Calculations!F35,Table5[[#All],[Correlation with Imported Crude Oil]],0))</f>
        <v>Milk and products</v>
      </c>
    </row>
    <row r="38" spans="1:7" x14ac:dyDescent="0.3">
      <c r="A38" t="s">
        <v>221</v>
      </c>
    </row>
    <row r="39" spans="1:7" x14ac:dyDescent="0.3">
      <c r="E39" t="s">
        <v>222</v>
      </c>
      <c r="F39" s="29">
        <f>MAX('Q1 - CPI Contribution'!E24:E35)</f>
        <v>0.49609475181273471</v>
      </c>
      <c r="G39" t="str">
        <f>INDEX('Q1 - CPI Contribution'!B24:B35,MATCH(Dashboard_Calculations!F39,'Q1 - CPI Contribution'!E24:E35,0))</f>
        <v>Food</v>
      </c>
    </row>
  </sheetData>
  <mergeCells count="1">
    <mergeCell ref="A1:F2"/>
  </mergeCell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6AA24-3865-4F9A-AC4B-124F5AB2F65E}">
  <dimension ref="A1:AD373"/>
  <sheetViews>
    <sheetView workbookViewId="0">
      <selection activeCell="L375" sqref="L375"/>
    </sheetView>
  </sheetViews>
  <sheetFormatPr defaultRowHeight="14.4" x14ac:dyDescent="0.3"/>
  <cols>
    <col min="1" max="1" width="11.21875" bestFit="1" customWidth="1"/>
    <col min="2" max="2" width="5" bestFit="1" customWidth="1"/>
    <col min="3" max="3" width="10" bestFit="1" customWidth="1"/>
    <col min="4" max="4" width="18.21875" bestFit="1" customWidth="1"/>
    <col min="5" max="5" width="12.109375" bestFit="1" customWidth="1"/>
    <col min="6" max="6" width="6" bestFit="1" customWidth="1"/>
    <col min="7" max="7" width="15.5546875" bestFit="1" customWidth="1"/>
    <col min="8" max="8" width="11" bestFit="1" customWidth="1"/>
    <col min="9" max="9" width="6" bestFit="1" customWidth="1"/>
    <col min="10" max="10" width="9.88671875" bestFit="1" customWidth="1"/>
    <col min="11" max="11" width="17.21875" bestFit="1" customWidth="1"/>
    <col min="12" max="12" width="21.109375" bestFit="1" customWidth="1"/>
    <col min="13" max="13" width="6" bestFit="1" customWidth="1"/>
    <col min="14" max="14" width="21.44140625" bestFit="1" customWidth="1"/>
    <col min="15" max="15" width="30.44140625" bestFit="1" customWidth="1"/>
    <col min="16" max="16" width="17.44140625" bestFit="1" customWidth="1"/>
    <col min="17" max="17" width="24.6640625" bestFit="1" customWidth="1"/>
    <col min="18" max="18" width="7.6640625" bestFit="1" customWidth="1"/>
    <col min="20" max="20" width="19.44140625" bestFit="1" customWidth="1"/>
    <col min="21" max="21" width="7.44140625" bestFit="1" customWidth="1"/>
    <col min="22" max="22" width="11.6640625" bestFit="1" customWidth="1"/>
    <col min="23" max="23" width="25.77734375" bestFit="1" customWidth="1"/>
    <col min="24" max="24" width="6.33203125" bestFit="1" customWidth="1"/>
    <col min="25" max="25" width="25.88671875" bestFit="1" customWidth="1"/>
    <col min="26" max="26" width="23.6640625" bestFit="1" customWidth="1"/>
    <col min="27" max="27" width="9.109375" bestFit="1" customWidth="1"/>
    <col min="28" max="28" width="21.88671875" bestFit="1" customWidth="1"/>
    <col min="29" max="29" width="12.5546875" bestFit="1" customWidth="1"/>
    <col min="30" max="30" width="12.109375" bestFit="1" customWidth="1"/>
  </cols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 t="s">
        <v>30</v>
      </c>
      <c r="B2">
        <v>2013</v>
      </c>
      <c r="C2" t="s">
        <v>31</v>
      </c>
      <c r="D2">
        <v>107.5</v>
      </c>
      <c r="E2">
        <v>106.3</v>
      </c>
      <c r="F2">
        <v>108.1</v>
      </c>
      <c r="G2">
        <v>104.9</v>
      </c>
      <c r="H2">
        <v>106.1</v>
      </c>
      <c r="I2">
        <v>103.9</v>
      </c>
      <c r="J2">
        <v>101.9</v>
      </c>
      <c r="K2">
        <v>106.1</v>
      </c>
      <c r="L2">
        <v>106.8</v>
      </c>
      <c r="M2">
        <v>103.1</v>
      </c>
      <c r="N2">
        <v>104.8</v>
      </c>
      <c r="O2">
        <v>106.7</v>
      </c>
      <c r="P2">
        <v>105.5</v>
      </c>
      <c r="Q2">
        <v>105.1</v>
      </c>
      <c r="R2">
        <v>106.5</v>
      </c>
      <c r="S2">
        <v>105.8</v>
      </c>
      <c r="T2">
        <v>106.4</v>
      </c>
      <c r="U2" t="s">
        <v>32</v>
      </c>
      <c r="V2">
        <v>105.5</v>
      </c>
      <c r="W2">
        <v>104.8</v>
      </c>
      <c r="X2">
        <v>104</v>
      </c>
      <c r="Y2">
        <v>103.3</v>
      </c>
      <c r="Z2">
        <v>103.4</v>
      </c>
      <c r="AA2">
        <v>103.8</v>
      </c>
      <c r="AB2">
        <v>104.7</v>
      </c>
      <c r="AC2">
        <v>104</v>
      </c>
      <c r="AD2">
        <v>105.1</v>
      </c>
    </row>
    <row r="3" spans="1:30" x14ac:dyDescent="0.3">
      <c r="A3" t="s">
        <v>33</v>
      </c>
      <c r="B3">
        <v>2013</v>
      </c>
      <c r="C3" t="s">
        <v>31</v>
      </c>
      <c r="D3">
        <v>110.5</v>
      </c>
      <c r="E3">
        <v>109.1</v>
      </c>
      <c r="F3">
        <v>113</v>
      </c>
      <c r="G3">
        <v>103.6</v>
      </c>
      <c r="H3">
        <v>103.4</v>
      </c>
      <c r="I3">
        <v>102.3</v>
      </c>
      <c r="J3">
        <v>102.9</v>
      </c>
      <c r="K3">
        <v>105.8</v>
      </c>
      <c r="L3">
        <v>105.1</v>
      </c>
      <c r="M3">
        <v>101.8</v>
      </c>
      <c r="N3">
        <v>105.1</v>
      </c>
      <c r="O3">
        <v>107.9</v>
      </c>
      <c r="P3">
        <v>105.9</v>
      </c>
      <c r="Q3">
        <v>105.2</v>
      </c>
      <c r="R3">
        <v>105.9</v>
      </c>
      <c r="S3">
        <v>105</v>
      </c>
      <c r="T3">
        <v>105.8</v>
      </c>
      <c r="U3">
        <v>100.3</v>
      </c>
      <c r="V3">
        <v>105.4</v>
      </c>
      <c r="W3">
        <v>104.8</v>
      </c>
      <c r="X3">
        <v>104.1</v>
      </c>
      <c r="Y3">
        <v>103.2</v>
      </c>
      <c r="Z3">
        <v>102.9</v>
      </c>
      <c r="AA3">
        <v>103.5</v>
      </c>
      <c r="AB3">
        <v>104.3</v>
      </c>
      <c r="AC3">
        <v>103.7</v>
      </c>
      <c r="AD3">
        <v>104</v>
      </c>
    </row>
    <row r="4" spans="1:30" x14ac:dyDescent="0.3">
      <c r="A4" t="s">
        <v>34</v>
      </c>
      <c r="B4">
        <v>2013</v>
      </c>
      <c r="C4" t="s">
        <v>31</v>
      </c>
      <c r="D4">
        <v>108.4</v>
      </c>
      <c r="E4">
        <v>107.3</v>
      </c>
      <c r="F4">
        <v>110</v>
      </c>
      <c r="G4">
        <v>104.4</v>
      </c>
      <c r="H4">
        <v>105.1</v>
      </c>
      <c r="I4">
        <v>103.2</v>
      </c>
      <c r="J4">
        <v>102.2</v>
      </c>
      <c r="K4">
        <v>106</v>
      </c>
      <c r="L4">
        <v>106.2</v>
      </c>
      <c r="M4">
        <v>102.7</v>
      </c>
      <c r="N4">
        <v>104.9</v>
      </c>
      <c r="O4">
        <v>107.3</v>
      </c>
      <c r="P4">
        <v>105.6</v>
      </c>
      <c r="Q4">
        <v>105.1</v>
      </c>
      <c r="R4">
        <v>106.3</v>
      </c>
      <c r="S4">
        <v>105.5</v>
      </c>
      <c r="T4">
        <v>106.2</v>
      </c>
      <c r="U4">
        <v>100.3</v>
      </c>
      <c r="V4">
        <v>105.5</v>
      </c>
      <c r="W4">
        <v>104.8</v>
      </c>
      <c r="X4">
        <v>104</v>
      </c>
      <c r="Y4">
        <v>103.2</v>
      </c>
      <c r="Z4">
        <v>103.1</v>
      </c>
      <c r="AA4">
        <v>103.6</v>
      </c>
      <c r="AB4">
        <v>104.5</v>
      </c>
      <c r="AC4">
        <v>103.9</v>
      </c>
      <c r="AD4">
        <v>104.6</v>
      </c>
    </row>
    <row r="5" spans="1:30" x14ac:dyDescent="0.3">
      <c r="A5" t="s">
        <v>30</v>
      </c>
      <c r="B5">
        <v>2013</v>
      </c>
      <c r="C5" t="s">
        <v>35</v>
      </c>
      <c r="D5">
        <v>109.2</v>
      </c>
      <c r="E5">
        <v>108.7</v>
      </c>
      <c r="F5">
        <v>110.2</v>
      </c>
      <c r="G5">
        <v>105.4</v>
      </c>
      <c r="H5">
        <v>106.7</v>
      </c>
      <c r="I5">
        <v>104</v>
      </c>
      <c r="J5">
        <v>102.4</v>
      </c>
      <c r="K5">
        <v>105.9</v>
      </c>
      <c r="L5">
        <v>105.7</v>
      </c>
      <c r="M5">
        <v>103.1</v>
      </c>
      <c r="N5">
        <v>105.1</v>
      </c>
      <c r="O5">
        <v>107.7</v>
      </c>
      <c r="P5">
        <v>106.3</v>
      </c>
      <c r="Q5">
        <v>105.6</v>
      </c>
      <c r="R5">
        <v>107.1</v>
      </c>
      <c r="S5">
        <v>106.3</v>
      </c>
      <c r="T5">
        <v>107</v>
      </c>
      <c r="U5" t="s">
        <v>32</v>
      </c>
      <c r="V5">
        <v>106.2</v>
      </c>
      <c r="W5">
        <v>105.2</v>
      </c>
      <c r="X5">
        <v>104.4</v>
      </c>
      <c r="Y5">
        <v>103.9</v>
      </c>
      <c r="Z5">
        <v>104</v>
      </c>
      <c r="AA5">
        <v>104.1</v>
      </c>
      <c r="AB5">
        <v>104.6</v>
      </c>
      <c r="AC5">
        <v>104.4</v>
      </c>
      <c r="AD5">
        <v>105.8</v>
      </c>
    </row>
    <row r="6" spans="1:30" x14ac:dyDescent="0.3">
      <c r="A6" t="s">
        <v>33</v>
      </c>
      <c r="B6">
        <v>2013</v>
      </c>
      <c r="C6" t="s">
        <v>35</v>
      </c>
      <c r="D6">
        <v>112.9</v>
      </c>
      <c r="E6">
        <v>112.9</v>
      </c>
      <c r="F6">
        <v>116.9</v>
      </c>
      <c r="G6">
        <v>104</v>
      </c>
      <c r="H6">
        <v>103.5</v>
      </c>
      <c r="I6">
        <v>103.1</v>
      </c>
      <c r="J6">
        <v>104.9</v>
      </c>
      <c r="K6">
        <v>104.1</v>
      </c>
      <c r="L6">
        <v>103.8</v>
      </c>
      <c r="M6">
        <v>102.3</v>
      </c>
      <c r="N6">
        <v>106</v>
      </c>
      <c r="O6">
        <v>109</v>
      </c>
      <c r="P6">
        <v>107.2</v>
      </c>
      <c r="Q6">
        <v>106</v>
      </c>
      <c r="R6">
        <v>106.6</v>
      </c>
      <c r="S6">
        <v>105.5</v>
      </c>
      <c r="T6">
        <v>106.4</v>
      </c>
      <c r="U6">
        <v>100.4</v>
      </c>
      <c r="V6">
        <v>105.7</v>
      </c>
      <c r="W6">
        <v>105.2</v>
      </c>
      <c r="X6">
        <v>104.7</v>
      </c>
      <c r="Y6">
        <v>104.4</v>
      </c>
      <c r="Z6">
        <v>103.3</v>
      </c>
      <c r="AA6">
        <v>103.7</v>
      </c>
      <c r="AB6">
        <v>104.3</v>
      </c>
      <c r="AC6">
        <v>104.3</v>
      </c>
      <c r="AD6">
        <v>104.7</v>
      </c>
    </row>
    <row r="7" spans="1:30" x14ac:dyDescent="0.3">
      <c r="A7" t="s">
        <v>34</v>
      </c>
      <c r="B7">
        <v>2013</v>
      </c>
      <c r="C7" t="s">
        <v>35</v>
      </c>
      <c r="D7">
        <v>110.4</v>
      </c>
      <c r="E7">
        <v>110.2</v>
      </c>
      <c r="F7">
        <v>112.8</v>
      </c>
      <c r="G7">
        <v>104.9</v>
      </c>
      <c r="H7">
        <v>105.5</v>
      </c>
      <c r="I7">
        <v>103.6</v>
      </c>
      <c r="J7">
        <v>103.2</v>
      </c>
      <c r="K7">
        <v>105.3</v>
      </c>
      <c r="L7">
        <v>105.1</v>
      </c>
      <c r="M7">
        <v>102.8</v>
      </c>
      <c r="N7">
        <v>105.5</v>
      </c>
      <c r="O7">
        <v>108.3</v>
      </c>
      <c r="P7">
        <v>106.6</v>
      </c>
      <c r="Q7">
        <v>105.7</v>
      </c>
      <c r="R7">
        <v>106.9</v>
      </c>
      <c r="S7">
        <v>106</v>
      </c>
      <c r="T7">
        <v>106.8</v>
      </c>
      <c r="U7">
        <v>100.4</v>
      </c>
      <c r="V7">
        <v>106</v>
      </c>
      <c r="W7">
        <v>105.2</v>
      </c>
      <c r="X7">
        <v>104.5</v>
      </c>
      <c r="Y7">
        <v>104.2</v>
      </c>
      <c r="Z7">
        <v>103.6</v>
      </c>
      <c r="AA7">
        <v>103.9</v>
      </c>
      <c r="AB7">
        <v>104.5</v>
      </c>
      <c r="AC7">
        <v>104.4</v>
      </c>
      <c r="AD7">
        <v>105.3</v>
      </c>
    </row>
    <row r="8" spans="1:30" x14ac:dyDescent="0.3">
      <c r="A8" t="s">
        <v>30</v>
      </c>
      <c r="B8">
        <v>2013</v>
      </c>
      <c r="C8" t="s">
        <v>36</v>
      </c>
      <c r="D8">
        <v>110.2</v>
      </c>
      <c r="E8">
        <v>108.8</v>
      </c>
      <c r="F8">
        <v>109.9</v>
      </c>
      <c r="G8">
        <v>105.6</v>
      </c>
      <c r="H8">
        <v>106.2</v>
      </c>
      <c r="I8">
        <v>105.7</v>
      </c>
      <c r="J8">
        <v>101.4</v>
      </c>
      <c r="K8">
        <v>105.7</v>
      </c>
      <c r="L8">
        <v>105</v>
      </c>
      <c r="M8">
        <v>103.3</v>
      </c>
      <c r="N8">
        <v>105.6</v>
      </c>
      <c r="O8">
        <v>108.2</v>
      </c>
      <c r="P8">
        <v>106.6</v>
      </c>
      <c r="Q8">
        <v>106.5</v>
      </c>
      <c r="R8">
        <v>107.6</v>
      </c>
      <c r="S8">
        <v>106.8</v>
      </c>
      <c r="T8">
        <v>107.5</v>
      </c>
      <c r="U8" t="s">
        <v>32</v>
      </c>
      <c r="V8">
        <v>106.1</v>
      </c>
      <c r="W8">
        <v>105.6</v>
      </c>
      <c r="X8">
        <v>104.7</v>
      </c>
      <c r="Y8">
        <v>104.6</v>
      </c>
      <c r="Z8">
        <v>104</v>
      </c>
      <c r="AA8">
        <v>104.3</v>
      </c>
      <c r="AB8">
        <v>104.3</v>
      </c>
      <c r="AC8">
        <v>104.6</v>
      </c>
      <c r="AD8">
        <v>106</v>
      </c>
    </row>
    <row r="9" spans="1:30" x14ac:dyDescent="0.3">
      <c r="A9" t="s">
        <v>33</v>
      </c>
      <c r="B9">
        <v>2013</v>
      </c>
      <c r="C9" t="s">
        <v>36</v>
      </c>
      <c r="D9">
        <v>113.9</v>
      </c>
      <c r="E9">
        <v>111.4</v>
      </c>
      <c r="F9">
        <v>113.2</v>
      </c>
      <c r="G9">
        <v>104.3</v>
      </c>
      <c r="H9">
        <v>102.7</v>
      </c>
      <c r="I9">
        <v>104.9</v>
      </c>
      <c r="J9">
        <v>103.8</v>
      </c>
      <c r="K9">
        <v>103.5</v>
      </c>
      <c r="L9">
        <v>102.6</v>
      </c>
      <c r="M9">
        <v>102.4</v>
      </c>
      <c r="N9">
        <v>107</v>
      </c>
      <c r="O9">
        <v>109.8</v>
      </c>
      <c r="P9">
        <v>107.3</v>
      </c>
      <c r="Q9">
        <v>106.8</v>
      </c>
      <c r="R9">
        <v>107.2</v>
      </c>
      <c r="S9">
        <v>106</v>
      </c>
      <c r="T9">
        <v>107</v>
      </c>
      <c r="U9">
        <v>100.4</v>
      </c>
      <c r="V9">
        <v>106</v>
      </c>
      <c r="W9">
        <v>105.7</v>
      </c>
      <c r="X9">
        <v>105.2</v>
      </c>
      <c r="Y9">
        <v>105.5</v>
      </c>
      <c r="Z9">
        <v>103.5</v>
      </c>
      <c r="AA9">
        <v>103.8</v>
      </c>
      <c r="AB9">
        <v>104.2</v>
      </c>
      <c r="AC9">
        <v>104.9</v>
      </c>
      <c r="AD9">
        <v>105</v>
      </c>
    </row>
    <row r="10" spans="1:30" x14ac:dyDescent="0.3">
      <c r="A10" t="s">
        <v>34</v>
      </c>
      <c r="B10">
        <v>2013</v>
      </c>
      <c r="C10" t="s">
        <v>36</v>
      </c>
      <c r="D10">
        <v>111.4</v>
      </c>
      <c r="E10">
        <v>109.7</v>
      </c>
      <c r="F10">
        <v>111.2</v>
      </c>
      <c r="G10">
        <v>105.1</v>
      </c>
      <c r="H10">
        <v>104.9</v>
      </c>
      <c r="I10">
        <v>105.3</v>
      </c>
      <c r="J10">
        <v>102.2</v>
      </c>
      <c r="K10">
        <v>105</v>
      </c>
      <c r="L10">
        <v>104.2</v>
      </c>
      <c r="M10">
        <v>103</v>
      </c>
      <c r="N10">
        <v>106.2</v>
      </c>
      <c r="O10">
        <v>108.9</v>
      </c>
      <c r="P10">
        <v>106.9</v>
      </c>
      <c r="Q10">
        <v>106.6</v>
      </c>
      <c r="R10">
        <v>107.4</v>
      </c>
      <c r="S10">
        <v>106.5</v>
      </c>
      <c r="T10">
        <v>107.3</v>
      </c>
      <c r="U10">
        <v>100.4</v>
      </c>
      <c r="V10">
        <v>106.1</v>
      </c>
      <c r="W10">
        <v>105.6</v>
      </c>
      <c r="X10">
        <v>104.9</v>
      </c>
      <c r="Y10">
        <v>105.1</v>
      </c>
      <c r="Z10">
        <v>103.7</v>
      </c>
      <c r="AA10">
        <v>104</v>
      </c>
      <c r="AB10">
        <v>104.3</v>
      </c>
      <c r="AC10">
        <v>104.7</v>
      </c>
      <c r="AD10">
        <v>105.5</v>
      </c>
    </row>
    <row r="11" spans="1:30" x14ac:dyDescent="0.3">
      <c r="A11" t="s">
        <v>30</v>
      </c>
      <c r="B11">
        <v>2013</v>
      </c>
      <c r="C11" t="s">
        <v>37</v>
      </c>
      <c r="D11">
        <v>110.2</v>
      </c>
      <c r="E11">
        <v>109.5</v>
      </c>
      <c r="F11">
        <v>106.9</v>
      </c>
      <c r="G11">
        <v>106.3</v>
      </c>
      <c r="H11">
        <v>105.7</v>
      </c>
      <c r="I11">
        <v>108.3</v>
      </c>
      <c r="J11">
        <v>103.4</v>
      </c>
      <c r="K11">
        <v>105.7</v>
      </c>
      <c r="L11">
        <v>104.2</v>
      </c>
      <c r="M11">
        <v>103.2</v>
      </c>
      <c r="N11">
        <v>106.5</v>
      </c>
      <c r="O11">
        <v>108.8</v>
      </c>
      <c r="P11">
        <v>107.1</v>
      </c>
      <c r="Q11">
        <v>107.1</v>
      </c>
      <c r="R11">
        <v>108.1</v>
      </c>
      <c r="S11">
        <v>107.4</v>
      </c>
      <c r="T11">
        <v>108</v>
      </c>
      <c r="U11" t="s">
        <v>32</v>
      </c>
      <c r="V11">
        <v>106.5</v>
      </c>
      <c r="W11">
        <v>106.1</v>
      </c>
      <c r="X11">
        <v>105.1</v>
      </c>
      <c r="Y11">
        <v>104.4</v>
      </c>
      <c r="Z11">
        <v>104.5</v>
      </c>
      <c r="AA11">
        <v>104.8</v>
      </c>
      <c r="AB11">
        <v>102.7</v>
      </c>
      <c r="AC11">
        <v>104.6</v>
      </c>
      <c r="AD11">
        <v>106.4</v>
      </c>
    </row>
    <row r="12" spans="1:30" x14ac:dyDescent="0.3">
      <c r="A12" t="s">
        <v>33</v>
      </c>
      <c r="B12">
        <v>2013</v>
      </c>
      <c r="C12" t="s">
        <v>37</v>
      </c>
      <c r="D12">
        <v>114.6</v>
      </c>
      <c r="E12">
        <v>113.4</v>
      </c>
      <c r="F12">
        <v>106</v>
      </c>
      <c r="G12">
        <v>104.7</v>
      </c>
      <c r="H12">
        <v>102.1</v>
      </c>
      <c r="I12">
        <v>109.5</v>
      </c>
      <c r="J12">
        <v>109.7</v>
      </c>
      <c r="K12">
        <v>104.6</v>
      </c>
      <c r="L12">
        <v>102</v>
      </c>
      <c r="M12">
        <v>103.5</v>
      </c>
      <c r="N12">
        <v>108.2</v>
      </c>
      <c r="O12">
        <v>110.6</v>
      </c>
      <c r="P12">
        <v>108.8</v>
      </c>
      <c r="Q12">
        <v>108.5</v>
      </c>
      <c r="R12">
        <v>107.9</v>
      </c>
      <c r="S12">
        <v>106.4</v>
      </c>
      <c r="T12">
        <v>107.7</v>
      </c>
      <c r="U12">
        <v>100.5</v>
      </c>
      <c r="V12">
        <v>106.4</v>
      </c>
      <c r="W12">
        <v>106.5</v>
      </c>
      <c r="X12">
        <v>105.7</v>
      </c>
      <c r="Y12">
        <v>105</v>
      </c>
      <c r="Z12">
        <v>104</v>
      </c>
      <c r="AA12">
        <v>105.2</v>
      </c>
      <c r="AB12">
        <v>103.2</v>
      </c>
      <c r="AC12">
        <v>105.1</v>
      </c>
      <c r="AD12">
        <v>105.7</v>
      </c>
    </row>
    <row r="13" spans="1:30" x14ac:dyDescent="0.3">
      <c r="A13" t="s">
        <v>34</v>
      </c>
      <c r="B13">
        <v>2013</v>
      </c>
      <c r="C13" t="s">
        <v>37</v>
      </c>
      <c r="D13">
        <v>111.6</v>
      </c>
      <c r="E13">
        <v>110.9</v>
      </c>
      <c r="F13">
        <v>106.6</v>
      </c>
      <c r="G13">
        <v>105.7</v>
      </c>
      <c r="H13">
        <v>104.4</v>
      </c>
      <c r="I13">
        <v>108.9</v>
      </c>
      <c r="J13">
        <v>105.5</v>
      </c>
      <c r="K13">
        <v>105.3</v>
      </c>
      <c r="L13">
        <v>103.5</v>
      </c>
      <c r="M13">
        <v>103.3</v>
      </c>
      <c r="N13">
        <v>107.2</v>
      </c>
      <c r="O13">
        <v>109.6</v>
      </c>
      <c r="P13">
        <v>107.7</v>
      </c>
      <c r="Q13">
        <v>107.5</v>
      </c>
      <c r="R13">
        <v>108</v>
      </c>
      <c r="S13">
        <v>107</v>
      </c>
      <c r="T13">
        <v>107.9</v>
      </c>
      <c r="U13">
        <v>100.5</v>
      </c>
      <c r="V13">
        <v>106.5</v>
      </c>
      <c r="W13">
        <v>106.3</v>
      </c>
      <c r="X13">
        <v>105.3</v>
      </c>
      <c r="Y13">
        <v>104.7</v>
      </c>
      <c r="Z13">
        <v>104.2</v>
      </c>
      <c r="AA13">
        <v>105</v>
      </c>
      <c r="AB13">
        <v>102.9</v>
      </c>
      <c r="AC13">
        <v>104.8</v>
      </c>
      <c r="AD13">
        <v>106.1</v>
      </c>
    </row>
    <row r="14" spans="1:30" x14ac:dyDescent="0.3">
      <c r="A14" t="s">
        <v>30</v>
      </c>
      <c r="B14">
        <v>2013</v>
      </c>
      <c r="C14" t="s">
        <v>38</v>
      </c>
      <c r="D14">
        <v>110.9</v>
      </c>
      <c r="E14">
        <v>109.8</v>
      </c>
      <c r="F14">
        <v>105.9</v>
      </c>
      <c r="G14">
        <v>107.5</v>
      </c>
      <c r="H14">
        <v>105.3</v>
      </c>
      <c r="I14">
        <v>108.1</v>
      </c>
      <c r="J14">
        <v>107.3</v>
      </c>
      <c r="K14">
        <v>106.1</v>
      </c>
      <c r="L14">
        <v>103.7</v>
      </c>
      <c r="M14">
        <v>104</v>
      </c>
      <c r="N14">
        <v>107.4</v>
      </c>
      <c r="O14">
        <v>109.9</v>
      </c>
      <c r="P14">
        <v>108.1</v>
      </c>
      <c r="Q14">
        <v>108.1</v>
      </c>
      <c r="R14">
        <v>108.8</v>
      </c>
      <c r="S14">
        <v>107.9</v>
      </c>
      <c r="T14">
        <v>108.6</v>
      </c>
      <c r="U14" t="s">
        <v>32</v>
      </c>
      <c r="V14">
        <v>107.5</v>
      </c>
      <c r="W14">
        <v>106.8</v>
      </c>
      <c r="X14">
        <v>105.7</v>
      </c>
      <c r="Y14">
        <v>104.1</v>
      </c>
      <c r="Z14">
        <v>105</v>
      </c>
      <c r="AA14">
        <v>105.5</v>
      </c>
      <c r="AB14">
        <v>102.1</v>
      </c>
      <c r="AC14">
        <v>104.8</v>
      </c>
      <c r="AD14">
        <v>107.2</v>
      </c>
    </row>
    <row r="15" spans="1:30" x14ac:dyDescent="0.3">
      <c r="A15" t="s">
        <v>33</v>
      </c>
      <c r="B15">
        <v>2013</v>
      </c>
      <c r="C15" t="s">
        <v>38</v>
      </c>
      <c r="D15">
        <v>115.4</v>
      </c>
      <c r="E15">
        <v>114.2</v>
      </c>
      <c r="F15">
        <v>102.7</v>
      </c>
      <c r="G15">
        <v>105.5</v>
      </c>
      <c r="H15">
        <v>101.5</v>
      </c>
      <c r="I15">
        <v>110.6</v>
      </c>
      <c r="J15">
        <v>123.7</v>
      </c>
      <c r="K15">
        <v>105.2</v>
      </c>
      <c r="L15">
        <v>101.9</v>
      </c>
      <c r="M15">
        <v>105</v>
      </c>
      <c r="N15">
        <v>109.1</v>
      </c>
      <c r="O15">
        <v>111.3</v>
      </c>
      <c r="P15">
        <v>111.1</v>
      </c>
      <c r="Q15">
        <v>109.8</v>
      </c>
      <c r="R15">
        <v>108.5</v>
      </c>
      <c r="S15">
        <v>106.7</v>
      </c>
      <c r="T15">
        <v>108.3</v>
      </c>
      <c r="U15">
        <v>100.5</v>
      </c>
      <c r="V15">
        <v>107.2</v>
      </c>
      <c r="W15">
        <v>107.1</v>
      </c>
      <c r="X15">
        <v>106.2</v>
      </c>
      <c r="Y15">
        <v>103.9</v>
      </c>
      <c r="Z15">
        <v>104.6</v>
      </c>
      <c r="AA15">
        <v>105.7</v>
      </c>
      <c r="AB15">
        <v>102.6</v>
      </c>
      <c r="AC15">
        <v>104.9</v>
      </c>
      <c r="AD15">
        <v>106.6</v>
      </c>
    </row>
    <row r="16" spans="1:30" x14ac:dyDescent="0.3">
      <c r="A16" t="s">
        <v>34</v>
      </c>
      <c r="B16">
        <v>2013</v>
      </c>
      <c r="C16" t="s">
        <v>38</v>
      </c>
      <c r="D16">
        <v>112.3</v>
      </c>
      <c r="E16">
        <v>111.3</v>
      </c>
      <c r="F16">
        <v>104.7</v>
      </c>
      <c r="G16">
        <v>106.8</v>
      </c>
      <c r="H16">
        <v>103.9</v>
      </c>
      <c r="I16">
        <v>109.3</v>
      </c>
      <c r="J16">
        <v>112.9</v>
      </c>
      <c r="K16">
        <v>105.8</v>
      </c>
      <c r="L16">
        <v>103.1</v>
      </c>
      <c r="M16">
        <v>104.3</v>
      </c>
      <c r="N16">
        <v>108.1</v>
      </c>
      <c r="O16">
        <v>110.5</v>
      </c>
      <c r="P16">
        <v>109.2</v>
      </c>
      <c r="Q16">
        <v>108.6</v>
      </c>
      <c r="R16">
        <v>108.7</v>
      </c>
      <c r="S16">
        <v>107.4</v>
      </c>
      <c r="T16">
        <v>108.5</v>
      </c>
      <c r="U16">
        <v>100.5</v>
      </c>
      <c r="V16">
        <v>107.4</v>
      </c>
      <c r="W16">
        <v>106.9</v>
      </c>
      <c r="X16">
        <v>105.9</v>
      </c>
      <c r="Y16">
        <v>104</v>
      </c>
      <c r="Z16">
        <v>104.8</v>
      </c>
      <c r="AA16">
        <v>105.6</v>
      </c>
      <c r="AB16">
        <v>102.3</v>
      </c>
      <c r="AC16">
        <v>104.8</v>
      </c>
      <c r="AD16">
        <v>106.9</v>
      </c>
    </row>
    <row r="17" spans="1:30" x14ac:dyDescent="0.3">
      <c r="A17" t="s">
        <v>30</v>
      </c>
      <c r="B17">
        <v>2013</v>
      </c>
      <c r="C17" t="s">
        <v>39</v>
      </c>
      <c r="D17">
        <v>112.3</v>
      </c>
      <c r="E17">
        <v>112.1</v>
      </c>
      <c r="F17">
        <v>108.1</v>
      </c>
      <c r="G17">
        <v>108.3</v>
      </c>
      <c r="H17">
        <v>105.9</v>
      </c>
      <c r="I17">
        <v>109.2</v>
      </c>
      <c r="J17">
        <v>118</v>
      </c>
      <c r="K17">
        <v>106.8</v>
      </c>
      <c r="L17">
        <v>104.1</v>
      </c>
      <c r="M17">
        <v>105.4</v>
      </c>
      <c r="N17">
        <v>108.2</v>
      </c>
      <c r="O17">
        <v>111</v>
      </c>
      <c r="P17">
        <v>110.6</v>
      </c>
      <c r="Q17">
        <v>109</v>
      </c>
      <c r="R17">
        <v>109.7</v>
      </c>
      <c r="S17">
        <v>108.8</v>
      </c>
      <c r="T17">
        <v>109.5</v>
      </c>
      <c r="U17" t="s">
        <v>32</v>
      </c>
      <c r="V17">
        <v>108.5</v>
      </c>
      <c r="W17">
        <v>107.5</v>
      </c>
      <c r="X17">
        <v>106.3</v>
      </c>
      <c r="Y17">
        <v>105</v>
      </c>
      <c r="Z17">
        <v>105.6</v>
      </c>
      <c r="AA17">
        <v>106.5</v>
      </c>
      <c r="AB17">
        <v>102.5</v>
      </c>
      <c r="AC17">
        <v>105.5</v>
      </c>
      <c r="AD17">
        <v>108.9</v>
      </c>
    </row>
    <row r="18" spans="1:30" x14ac:dyDescent="0.3">
      <c r="A18" t="s">
        <v>33</v>
      </c>
      <c r="B18">
        <v>2013</v>
      </c>
      <c r="C18" t="s">
        <v>39</v>
      </c>
      <c r="D18">
        <v>117</v>
      </c>
      <c r="E18">
        <v>120.1</v>
      </c>
      <c r="F18">
        <v>112.5</v>
      </c>
      <c r="G18">
        <v>107.3</v>
      </c>
      <c r="H18">
        <v>101.3</v>
      </c>
      <c r="I18">
        <v>112.4</v>
      </c>
      <c r="J18">
        <v>143.6</v>
      </c>
      <c r="K18">
        <v>105.4</v>
      </c>
      <c r="L18">
        <v>101.4</v>
      </c>
      <c r="M18">
        <v>106.4</v>
      </c>
      <c r="N18">
        <v>110</v>
      </c>
      <c r="O18">
        <v>112.2</v>
      </c>
      <c r="P18">
        <v>115</v>
      </c>
      <c r="Q18">
        <v>110.9</v>
      </c>
      <c r="R18">
        <v>109.2</v>
      </c>
      <c r="S18">
        <v>107.2</v>
      </c>
      <c r="T18">
        <v>108.9</v>
      </c>
      <c r="U18">
        <v>106.6</v>
      </c>
      <c r="V18">
        <v>108</v>
      </c>
      <c r="W18">
        <v>107.7</v>
      </c>
      <c r="X18">
        <v>106.5</v>
      </c>
      <c r="Y18">
        <v>105.2</v>
      </c>
      <c r="Z18">
        <v>105.2</v>
      </c>
      <c r="AA18">
        <v>108.1</v>
      </c>
      <c r="AB18">
        <v>103.3</v>
      </c>
      <c r="AC18">
        <v>106.1</v>
      </c>
      <c r="AD18">
        <v>109.7</v>
      </c>
    </row>
    <row r="19" spans="1:30" x14ac:dyDescent="0.3">
      <c r="A19" t="s">
        <v>34</v>
      </c>
      <c r="B19">
        <v>2013</v>
      </c>
      <c r="C19" t="s">
        <v>39</v>
      </c>
      <c r="D19">
        <v>113.8</v>
      </c>
      <c r="E19">
        <v>114.9</v>
      </c>
      <c r="F19">
        <v>109.8</v>
      </c>
      <c r="G19">
        <v>107.9</v>
      </c>
      <c r="H19">
        <v>104.2</v>
      </c>
      <c r="I19">
        <v>110.7</v>
      </c>
      <c r="J19">
        <v>126.7</v>
      </c>
      <c r="K19">
        <v>106.3</v>
      </c>
      <c r="L19">
        <v>103.2</v>
      </c>
      <c r="M19">
        <v>105.7</v>
      </c>
      <c r="N19">
        <v>109</v>
      </c>
      <c r="O19">
        <v>111.6</v>
      </c>
      <c r="P19">
        <v>112.2</v>
      </c>
      <c r="Q19">
        <v>109.5</v>
      </c>
      <c r="R19">
        <v>109.5</v>
      </c>
      <c r="S19">
        <v>108.1</v>
      </c>
      <c r="T19">
        <v>109.3</v>
      </c>
      <c r="U19">
        <v>106.6</v>
      </c>
      <c r="V19">
        <v>108.3</v>
      </c>
      <c r="W19">
        <v>107.6</v>
      </c>
      <c r="X19">
        <v>106.4</v>
      </c>
      <c r="Y19">
        <v>105.1</v>
      </c>
      <c r="Z19">
        <v>105.4</v>
      </c>
      <c r="AA19">
        <v>107.4</v>
      </c>
      <c r="AB19">
        <v>102.8</v>
      </c>
      <c r="AC19">
        <v>105.8</v>
      </c>
      <c r="AD19">
        <v>109.3</v>
      </c>
    </row>
    <row r="20" spans="1:30" x14ac:dyDescent="0.3">
      <c r="A20" t="s">
        <v>30</v>
      </c>
      <c r="B20">
        <v>2013</v>
      </c>
      <c r="C20" t="s">
        <v>40</v>
      </c>
      <c r="D20">
        <v>113.4</v>
      </c>
      <c r="E20">
        <v>114.9</v>
      </c>
      <c r="F20">
        <v>110.5</v>
      </c>
      <c r="G20">
        <v>109.3</v>
      </c>
      <c r="H20">
        <v>106.2</v>
      </c>
      <c r="I20">
        <v>110.3</v>
      </c>
      <c r="J20">
        <v>129.19999999999999</v>
      </c>
      <c r="K20">
        <v>107.1</v>
      </c>
      <c r="L20">
        <v>104.3</v>
      </c>
      <c r="M20">
        <v>106.4</v>
      </c>
      <c r="N20">
        <v>109.1</v>
      </c>
      <c r="O20">
        <v>112.1</v>
      </c>
      <c r="P20">
        <v>113.1</v>
      </c>
      <c r="Q20">
        <v>109.8</v>
      </c>
      <c r="R20">
        <v>110.5</v>
      </c>
      <c r="S20">
        <v>109.5</v>
      </c>
      <c r="T20">
        <v>110.3</v>
      </c>
      <c r="U20" t="s">
        <v>32</v>
      </c>
      <c r="V20">
        <v>109.5</v>
      </c>
      <c r="W20">
        <v>108.3</v>
      </c>
      <c r="X20">
        <v>106.9</v>
      </c>
      <c r="Y20">
        <v>106.8</v>
      </c>
      <c r="Z20">
        <v>106.4</v>
      </c>
      <c r="AA20">
        <v>107.8</v>
      </c>
      <c r="AB20">
        <v>102.5</v>
      </c>
      <c r="AC20">
        <v>106.5</v>
      </c>
      <c r="AD20">
        <v>110.7</v>
      </c>
    </row>
    <row r="21" spans="1:30" x14ac:dyDescent="0.3">
      <c r="A21" t="s">
        <v>33</v>
      </c>
      <c r="B21">
        <v>2013</v>
      </c>
      <c r="C21" t="s">
        <v>40</v>
      </c>
      <c r="D21">
        <v>117.8</v>
      </c>
      <c r="E21">
        <v>119.2</v>
      </c>
      <c r="F21">
        <v>114</v>
      </c>
      <c r="G21">
        <v>108.3</v>
      </c>
      <c r="H21">
        <v>101.1</v>
      </c>
      <c r="I21">
        <v>113.2</v>
      </c>
      <c r="J21">
        <v>160.9</v>
      </c>
      <c r="K21">
        <v>105.1</v>
      </c>
      <c r="L21">
        <v>101.3</v>
      </c>
      <c r="M21">
        <v>107.5</v>
      </c>
      <c r="N21">
        <v>110.4</v>
      </c>
      <c r="O21">
        <v>113.1</v>
      </c>
      <c r="P21">
        <v>117.5</v>
      </c>
      <c r="Q21">
        <v>111.7</v>
      </c>
      <c r="R21">
        <v>109.8</v>
      </c>
      <c r="S21">
        <v>107.8</v>
      </c>
      <c r="T21">
        <v>109.5</v>
      </c>
      <c r="U21">
        <v>107.7</v>
      </c>
      <c r="V21">
        <v>108.6</v>
      </c>
      <c r="W21">
        <v>108.1</v>
      </c>
      <c r="X21">
        <v>107.1</v>
      </c>
      <c r="Y21">
        <v>107.3</v>
      </c>
      <c r="Z21">
        <v>105.9</v>
      </c>
      <c r="AA21">
        <v>110.1</v>
      </c>
      <c r="AB21">
        <v>103.2</v>
      </c>
      <c r="AC21">
        <v>107.3</v>
      </c>
      <c r="AD21">
        <v>111.4</v>
      </c>
    </row>
    <row r="22" spans="1:30" x14ac:dyDescent="0.3">
      <c r="A22" t="s">
        <v>34</v>
      </c>
      <c r="B22">
        <v>2013</v>
      </c>
      <c r="C22" t="s">
        <v>40</v>
      </c>
      <c r="D22">
        <v>114.8</v>
      </c>
      <c r="E22">
        <v>116.4</v>
      </c>
      <c r="F22">
        <v>111.9</v>
      </c>
      <c r="G22">
        <v>108.9</v>
      </c>
      <c r="H22">
        <v>104.3</v>
      </c>
      <c r="I22">
        <v>111.7</v>
      </c>
      <c r="J22">
        <v>140</v>
      </c>
      <c r="K22">
        <v>106.4</v>
      </c>
      <c r="L22">
        <v>103.3</v>
      </c>
      <c r="M22">
        <v>106.8</v>
      </c>
      <c r="N22">
        <v>109.6</v>
      </c>
      <c r="O22">
        <v>112.6</v>
      </c>
      <c r="P22">
        <v>114.7</v>
      </c>
      <c r="Q22">
        <v>110.3</v>
      </c>
      <c r="R22">
        <v>110.2</v>
      </c>
      <c r="S22">
        <v>108.8</v>
      </c>
      <c r="T22">
        <v>110</v>
      </c>
      <c r="U22">
        <v>107.7</v>
      </c>
      <c r="V22">
        <v>109.2</v>
      </c>
      <c r="W22">
        <v>108.2</v>
      </c>
      <c r="X22">
        <v>107</v>
      </c>
      <c r="Y22">
        <v>107.1</v>
      </c>
      <c r="Z22">
        <v>106.1</v>
      </c>
      <c r="AA22">
        <v>109.1</v>
      </c>
      <c r="AB22">
        <v>102.8</v>
      </c>
      <c r="AC22">
        <v>106.9</v>
      </c>
      <c r="AD22">
        <v>111</v>
      </c>
    </row>
    <row r="23" spans="1:30" x14ac:dyDescent="0.3">
      <c r="A23" t="s">
        <v>30</v>
      </c>
      <c r="B23">
        <v>2013</v>
      </c>
      <c r="C23" t="s">
        <v>41</v>
      </c>
      <c r="D23">
        <v>114.3</v>
      </c>
      <c r="E23">
        <v>115.4</v>
      </c>
      <c r="F23">
        <v>111.1</v>
      </c>
      <c r="G23">
        <v>110</v>
      </c>
      <c r="H23">
        <v>106.4</v>
      </c>
      <c r="I23">
        <v>110.8</v>
      </c>
      <c r="J23">
        <v>138.9</v>
      </c>
      <c r="K23">
        <v>107.4</v>
      </c>
      <c r="L23">
        <v>104.1</v>
      </c>
      <c r="M23">
        <v>106.9</v>
      </c>
      <c r="N23">
        <v>109.7</v>
      </c>
      <c r="O23">
        <v>112.6</v>
      </c>
      <c r="P23">
        <v>114.9</v>
      </c>
      <c r="Q23">
        <v>110.7</v>
      </c>
      <c r="R23">
        <v>111.3</v>
      </c>
      <c r="S23">
        <v>110.2</v>
      </c>
      <c r="T23">
        <v>111.1</v>
      </c>
      <c r="U23" t="s">
        <v>32</v>
      </c>
      <c r="V23">
        <v>109.9</v>
      </c>
      <c r="W23">
        <v>108.7</v>
      </c>
      <c r="X23">
        <v>107.5</v>
      </c>
      <c r="Y23">
        <v>107.8</v>
      </c>
      <c r="Z23">
        <v>106.8</v>
      </c>
      <c r="AA23">
        <v>108.7</v>
      </c>
      <c r="AB23">
        <v>105</v>
      </c>
      <c r="AC23">
        <v>107.5</v>
      </c>
      <c r="AD23">
        <v>112.1</v>
      </c>
    </row>
    <row r="24" spans="1:30" x14ac:dyDescent="0.3">
      <c r="A24" t="s">
        <v>33</v>
      </c>
      <c r="B24">
        <v>2013</v>
      </c>
      <c r="C24" t="s">
        <v>41</v>
      </c>
      <c r="D24">
        <v>118.3</v>
      </c>
      <c r="E24">
        <v>120.4</v>
      </c>
      <c r="F24">
        <v>112.7</v>
      </c>
      <c r="G24">
        <v>108.9</v>
      </c>
      <c r="H24">
        <v>101.1</v>
      </c>
      <c r="I24">
        <v>108.7</v>
      </c>
      <c r="J24">
        <v>177</v>
      </c>
      <c r="K24">
        <v>104.7</v>
      </c>
      <c r="L24">
        <v>101</v>
      </c>
      <c r="M24">
        <v>108.5</v>
      </c>
      <c r="N24">
        <v>110.9</v>
      </c>
      <c r="O24">
        <v>114.3</v>
      </c>
      <c r="P24">
        <v>119.6</v>
      </c>
      <c r="Q24">
        <v>112.4</v>
      </c>
      <c r="R24">
        <v>110.6</v>
      </c>
      <c r="S24">
        <v>108.3</v>
      </c>
      <c r="T24">
        <v>110.2</v>
      </c>
      <c r="U24">
        <v>108.9</v>
      </c>
      <c r="V24">
        <v>109.3</v>
      </c>
      <c r="W24">
        <v>108.7</v>
      </c>
      <c r="X24">
        <v>107.6</v>
      </c>
      <c r="Y24">
        <v>108.1</v>
      </c>
      <c r="Z24">
        <v>106.5</v>
      </c>
      <c r="AA24">
        <v>110.8</v>
      </c>
      <c r="AB24">
        <v>106</v>
      </c>
      <c r="AC24">
        <v>108.3</v>
      </c>
      <c r="AD24">
        <v>112.7</v>
      </c>
    </row>
    <row r="25" spans="1:30" x14ac:dyDescent="0.3">
      <c r="A25" t="s">
        <v>34</v>
      </c>
      <c r="B25">
        <v>2013</v>
      </c>
      <c r="C25" t="s">
        <v>41</v>
      </c>
      <c r="D25">
        <v>115.6</v>
      </c>
      <c r="E25">
        <v>117.2</v>
      </c>
      <c r="F25">
        <v>111.7</v>
      </c>
      <c r="G25">
        <v>109.6</v>
      </c>
      <c r="H25">
        <v>104.5</v>
      </c>
      <c r="I25">
        <v>109.8</v>
      </c>
      <c r="J25">
        <v>151.80000000000001</v>
      </c>
      <c r="K25">
        <v>106.5</v>
      </c>
      <c r="L25">
        <v>103.1</v>
      </c>
      <c r="M25">
        <v>107.4</v>
      </c>
      <c r="N25">
        <v>110.2</v>
      </c>
      <c r="O25">
        <v>113.4</v>
      </c>
      <c r="P25">
        <v>116.6</v>
      </c>
      <c r="Q25">
        <v>111.2</v>
      </c>
      <c r="R25">
        <v>111</v>
      </c>
      <c r="S25">
        <v>109.4</v>
      </c>
      <c r="T25">
        <v>110.7</v>
      </c>
      <c r="U25">
        <v>108.9</v>
      </c>
      <c r="V25">
        <v>109.7</v>
      </c>
      <c r="W25">
        <v>108.7</v>
      </c>
      <c r="X25">
        <v>107.5</v>
      </c>
      <c r="Y25">
        <v>108</v>
      </c>
      <c r="Z25">
        <v>106.6</v>
      </c>
      <c r="AA25">
        <v>109.9</v>
      </c>
      <c r="AB25">
        <v>105.4</v>
      </c>
      <c r="AC25">
        <v>107.9</v>
      </c>
      <c r="AD25">
        <v>112.4</v>
      </c>
    </row>
    <row r="26" spans="1:30" x14ac:dyDescent="0.3">
      <c r="A26" t="s">
        <v>30</v>
      </c>
      <c r="B26">
        <v>2013</v>
      </c>
      <c r="C26" t="s">
        <v>42</v>
      </c>
      <c r="D26">
        <v>115.4</v>
      </c>
      <c r="E26">
        <v>115.7</v>
      </c>
      <c r="F26">
        <v>111.7</v>
      </c>
      <c r="G26">
        <v>111</v>
      </c>
      <c r="H26">
        <v>107.4</v>
      </c>
      <c r="I26">
        <v>110.9</v>
      </c>
      <c r="J26">
        <v>154</v>
      </c>
      <c r="K26">
        <v>108.1</v>
      </c>
      <c r="L26">
        <v>104.2</v>
      </c>
      <c r="M26">
        <v>107.9</v>
      </c>
      <c r="N26">
        <v>110.4</v>
      </c>
      <c r="O26">
        <v>114</v>
      </c>
      <c r="P26">
        <v>117.8</v>
      </c>
      <c r="Q26">
        <v>111.7</v>
      </c>
      <c r="R26">
        <v>112.7</v>
      </c>
      <c r="S26">
        <v>111.4</v>
      </c>
      <c r="T26">
        <v>112.5</v>
      </c>
      <c r="U26" t="s">
        <v>32</v>
      </c>
      <c r="V26">
        <v>111.1</v>
      </c>
      <c r="W26">
        <v>109.6</v>
      </c>
      <c r="X26">
        <v>108.3</v>
      </c>
      <c r="Y26">
        <v>109.3</v>
      </c>
      <c r="Z26">
        <v>107.7</v>
      </c>
      <c r="AA26">
        <v>109.8</v>
      </c>
      <c r="AB26">
        <v>106.7</v>
      </c>
      <c r="AC26">
        <v>108.7</v>
      </c>
      <c r="AD26">
        <v>114.2</v>
      </c>
    </row>
    <row r="27" spans="1:30" x14ac:dyDescent="0.3">
      <c r="A27" t="s">
        <v>33</v>
      </c>
      <c r="B27">
        <v>2013</v>
      </c>
      <c r="C27" t="s">
        <v>42</v>
      </c>
      <c r="D27">
        <v>118.6</v>
      </c>
      <c r="E27">
        <v>119.1</v>
      </c>
      <c r="F27">
        <v>113.2</v>
      </c>
      <c r="G27">
        <v>109.6</v>
      </c>
      <c r="H27">
        <v>101.7</v>
      </c>
      <c r="I27">
        <v>103.2</v>
      </c>
      <c r="J27">
        <v>174.3</v>
      </c>
      <c r="K27">
        <v>105.1</v>
      </c>
      <c r="L27">
        <v>100.8</v>
      </c>
      <c r="M27">
        <v>109.1</v>
      </c>
      <c r="N27">
        <v>111.1</v>
      </c>
      <c r="O27">
        <v>115.4</v>
      </c>
      <c r="P27">
        <v>119.2</v>
      </c>
      <c r="Q27">
        <v>112.9</v>
      </c>
      <c r="R27">
        <v>111.4</v>
      </c>
      <c r="S27">
        <v>109</v>
      </c>
      <c r="T27">
        <v>111.1</v>
      </c>
      <c r="U27">
        <v>109.7</v>
      </c>
      <c r="V27">
        <v>109.5</v>
      </c>
      <c r="W27">
        <v>109.6</v>
      </c>
      <c r="X27">
        <v>107.9</v>
      </c>
      <c r="Y27">
        <v>110.4</v>
      </c>
      <c r="Z27">
        <v>107.4</v>
      </c>
      <c r="AA27">
        <v>111.2</v>
      </c>
      <c r="AB27">
        <v>106.9</v>
      </c>
      <c r="AC27">
        <v>109.4</v>
      </c>
      <c r="AD27">
        <v>113.2</v>
      </c>
    </row>
    <row r="28" spans="1:30" x14ac:dyDescent="0.3">
      <c r="A28" t="s">
        <v>34</v>
      </c>
      <c r="B28">
        <v>2013</v>
      </c>
      <c r="C28" t="s">
        <v>42</v>
      </c>
      <c r="D28">
        <v>116.4</v>
      </c>
      <c r="E28">
        <v>116.9</v>
      </c>
      <c r="F28">
        <v>112.3</v>
      </c>
      <c r="G28">
        <v>110.5</v>
      </c>
      <c r="H28">
        <v>105.3</v>
      </c>
      <c r="I28">
        <v>107.3</v>
      </c>
      <c r="J28">
        <v>160.9</v>
      </c>
      <c r="K28">
        <v>107.1</v>
      </c>
      <c r="L28">
        <v>103.1</v>
      </c>
      <c r="M28">
        <v>108.3</v>
      </c>
      <c r="N28">
        <v>110.7</v>
      </c>
      <c r="O28">
        <v>114.6</v>
      </c>
      <c r="P28">
        <v>118.3</v>
      </c>
      <c r="Q28">
        <v>112</v>
      </c>
      <c r="R28">
        <v>112.2</v>
      </c>
      <c r="S28">
        <v>110.4</v>
      </c>
      <c r="T28">
        <v>111.9</v>
      </c>
      <c r="U28">
        <v>109.7</v>
      </c>
      <c r="V28">
        <v>110.5</v>
      </c>
      <c r="W28">
        <v>109.6</v>
      </c>
      <c r="X28">
        <v>108.1</v>
      </c>
      <c r="Y28">
        <v>109.9</v>
      </c>
      <c r="Z28">
        <v>107.5</v>
      </c>
      <c r="AA28">
        <v>110.6</v>
      </c>
      <c r="AB28">
        <v>106.8</v>
      </c>
      <c r="AC28">
        <v>109</v>
      </c>
      <c r="AD28">
        <v>113.7</v>
      </c>
    </row>
    <row r="29" spans="1:30" x14ac:dyDescent="0.3">
      <c r="A29" t="s">
        <v>30</v>
      </c>
      <c r="B29">
        <v>2013</v>
      </c>
      <c r="C29" t="s">
        <v>43</v>
      </c>
      <c r="D29">
        <v>116.3</v>
      </c>
      <c r="E29">
        <v>115.4</v>
      </c>
      <c r="F29">
        <v>112.6</v>
      </c>
      <c r="G29">
        <v>111.7</v>
      </c>
      <c r="H29">
        <v>107.7</v>
      </c>
      <c r="I29">
        <v>113.2</v>
      </c>
      <c r="J29">
        <v>164.9</v>
      </c>
      <c r="K29">
        <v>108.3</v>
      </c>
      <c r="L29">
        <v>103.9</v>
      </c>
      <c r="M29">
        <v>108.2</v>
      </c>
      <c r="N29">
        <v>111.1</v>
      </c>
      <c r="O29">
        <v>114.9</v>
      </c>
      <c r="P29">
        <v>119.8</v>
      </c>
      <c r="Q29">
        <v>112.2</v>
      </c>
      <c r="R29">
        <v>113.6</v>
      </c>
      <c r="S29">
        <v>112.3</v>
      </c>
      <c r="T29">
        <v>113.4</v>
      </c>
      <c r="U29" t="s">
        <v>32</v>
      </c>
      <c r="V29">
        <v>111.6</v>
      </c>
      <c r="W29">
        <v>110.4</v>
      </c>
      <c r="X29">
        <v>108.9</v>
      </c>
      <c r="Y29">
        <v>109.3</v>
      </c>
      <c r="Z29">
        <v>108.3</v>
      </c>
      <c r="AA29">
        <v>110.2</v>
      </c>
      <c r="AB29">
        <v>107.5</v>
      </c>
      <c r="AC29">
        <v>109.1</v>
      </c>
      <c r="AD29">
        <v>115.5</v>
      </c>
    </row>
    <row r="30" spans="1:30" x14ac:dyDescent="0.3">
      <c r="A30" t="s">
        <v>33</v>
      </c>
      <c r="B30">
        <v>2013</v>
      </c>
      <c r="C30" t="s">
        <v>43</v>
      </c>
      <c r="D30">
        <v>118.9</v>
      </c>
      <c r="E30">
        <v>118.1</v>
      </c>
      <c r="F30">
        <v>114.5</v>
      </c>
      <c r="G30">
        <v>110.4</v>
      </c>
      <c r="H30">
        <v>102.3</v>
      </c>
      <c r="I30">
        <v>106.2</v>
      </c>
      <c r="J30">
        <v>183.5</v>
      </c>
      <c r="K30">
        <v>105.3</v>
      </c>
      <c r="L30">
        <v>100.2</v>
      </c>
      <c r="M30">
        <v>109.6</v>
      </c>
      <c r="N30">
        <v>111.4</v>
      </c>
      <c r="O30">
        <v>116</v>
      </c>
      <c r="P30">
        <v>120.8</v>
      </c>
      <c r="Q30">
        <v>113.5</v>
      </c>
      <c r="R30">
        <v>112.5</v>
      </c>
      <c r="S30">
        <v>109.7</v>
      </c>
      <c r="T30">
        <v>112</v>
      </c>
      <c r="U30">
        <v>110.5</v>
      </c>
      <c r="V30">
        <v>109.7</v>
      </c>
      <c r="W30">
        <v>110.2</v>
      </c>
      <c r="X30">
        <v>108.2</v>
      </c>
      <c r="Y30">
        <v>109.7</v>
      </c>
      <c r="Z30">
        <v>108</v>
      </c>
      <c r="AA30">
        <v>111.3</v>
      </c>
      <c r="AB30">
        <v>107.3</v>
      </c>
      <c r="AC30">
        <v>109.4</v>
      </c>
      <c r="AD30">
        <v>114</v>
      </c>
    </row>
    <row r="31" spans="1:30" x14ac:dyDescent="0.3">
      <c r="A31" t="s">
        <v>34</v>
      </c>
      <c r="B31">
        <v>2013</v>
      </c>
      <c r="C31" t="s">
        <v>43</v>
      </c>
      <c r="D31">
        <v>117.1</v>
      </c>
      <c r="E31">
        <v>116.3</v>
      </c>
      <c r="F31">
        <v>113.3</v>
      </c>
      <c r="G31">
        <v>111.2</v>
      </c>
      <c r="H31">
        <v>105.7</v>
      </c>
      <c r="I31">
        <v>109.9</v>
      </c>
      <c r="J31">
        <v>171.2</v>
      </c>
      <c r="K31">
        <v>107.3</v>
      </c>
      <c r="L31">
        <v>102.7</v>
      </c>
      <c r="M31">
        <v>108.7</v>
      </c>
      <c r="N31">
        <v>111.2</v>
      </c>
      <c r="O31">
        <v>115.4</v>
      </c>
      <c r="P31">
        <v>120.2</v>
      </c>
      <c r="Q31">
        <v>112.5</v>
      </c>
      <c r="R31">
        <v>113.2</v>
      </c>
      <c r="S31">
        <v>111.2</v>
      </c>
      <c r="T31">
        <v>112.8</v>
      </c>
      <c r="U31">
        <v>110.5</v>
      </c>
      <c r="V31">
        <v>110.9</v>
      </c>
      <c r="W31">
        <v>110.3</v>
      </c>
      <c r="X31">
        <v>108.6</v>
      </c>
      <c r="Y31">
        <v>109.5</v>
      </c>
      <c r="Z31">
        <v>108.1</v>
      </c>
      <c r="AA31">
        <v>110.8</v>
      </c>
      <c r="AB31">
        <v>107.4</v>
      </c>
      <c r="AC31">
        <v>109.2</v>
      </c>
      <c r="AD31">
        <v>114.8</v>
      </c>
    </row>
    <row r="32" spans="1:30" x14ac:dyDescent="0.3">
      <c r="A32" t="s">
        <v>30</v>
      </c>
      <c r="B32">
        <v>2013</v>
      </c>
      <c r="C32" t="s">
        <v>44</v>
      </c>
      <c r="D32">
        <v>117.3</v>
      </c>
      <c r="E32">
        <v>114.9</v>
      </c>
      <c r="F32">
        <v>116.2</v>
      </c>
      <c r="G32">
        <v>112.8</v>
      </c>
      <c r="H32">
        <v>108.9</v>
      </c>
      <c r="I32">
        <v>116.6</v>
      </c>
      <c r="J32">
        <v>178.1</v>
      </c>
      <c r="K32">
        <v>109.1</v>
      </c>
      <c r="L32">
        <v>103.6</v>
      </c>
      <c r="M32">
        <v>109</v>
      </c>
      <c r="N32">
        <v>111.8</v>
      </c>
      <c r="O32">
        <v>116</v>
      </c>
      <c r="P32">
        <v>122.5</v>
      </c>
      <c r="Q32">
        <v>112.8</v>
      </c>
      <c r="R32">
        <v>114.6</v>
      </c>
      <c r="S32">
        <v>113.1</v>
      </c>
      <c r="T32">
        <v>114.4</v>
      </c>
      <c r="U32" t="s">
        <v>32</v>
      </c>
      <c r="V32">
        <v>112.6</v>
      </c>
      <c r="W32">
        <v>111.3</v>
      </c>
      <c r="X32">
        <v>109.7</v>
      </c>
      <c r="Y32">
        <v>109.6</v>
      </c>
      <c r="Z32">
        <v>108.7</v>
      </c>
      <c r="AA32">
        <v>111</v>
      </c>
      <c r="AB32">
        <v>108.2</v>
      </c>
      <c r="AC32">
        <v>109.8</v>
      </c>
      <c r="AD32">
        <v>117.4</v>
      </c>
    </row>
    <row r="33" spans="1:30" x14ac:dyDescent="0.3">
      <c r="A33" t="s">
        <v>33</v>
      </c>
      <c r="B33">
        <v>2013</v>
      </c>
      <c r="C33" t="s">
        <v>45</v>
      </c>
      <c r="D33">
        <v>119.8</v>
      </c>
      <c r="E33">
        <v>116.3</v>
      </c>
      <c r="F33">
        <v>122.6</v>
      </c>
      <c r="G33">
        <v>112</v>
      </c>
      <c r="H33">
        <v>103.2</v>
      </c>
      <c r="I33">
        <v>110</v>
      </c>
      <c r="J33">
        <v>192.8</v>
      </c>
      <c r="K33">
        <v>106.3</v>
      </c>
      <c r="L33">
        <v>99.5</v>
      </c>
      <c r="M33">
        <v>110.3</v>
      </c>
      <c r="N33">
        <v>111.8</v>
      </c>
      <c r="O33">
        <v>117.1</v>
      </c>
      <c r="P33">
        <v>122.9</v>
      </c>
      <c r="Q33">
        <v>114.1</v>
      </c>
      <c r="R33">
        <v>113.5</v>
      </c>
      <c r="S33">
        <v>110.3</v>
      </c>
      <c r="T33">
        <v>113</v>
      </c>
      <c r="U33">
        <v>111.1</v>
      </c>
      <c r="V33">
        <v>110</v>
      </c>
      <c r="W33">
        <v>110.9</v>
      </c>
      <c r="X33">
        <v>108.6</v>
      </c>
      <c r="Y33">
        <v>109.5</v>
      </c>
      <c r="Z33">
        <v>108.5</v>
      </c>
      <c r="AA33">
        <v>111.3</v>
      </c>
      <c r="AB33">
        <v>107.9</v>
      </c>
      <c r="AC33">
        <v>109.6</v>
      </c>
      <c r="AD33">
        <v>115</v>
      </c>
    </row>
    <row r="34" spans="1:30" x14ac:dyDescent="0.3">
      <c r="A34" t="s">
        <v>34</v>
      </c>
      <c r="B34">
        <v>2013</v>
      </c>
      <c r="C34" t="s">
        <v>45</v>
      </c>
      <c r="D34">
        <v>118.1</v>
      </c>
      <c r="E34">
        <v>115.4</v>
      </c>
      <c r="F34">
        <v>118.7</v>
      </c>
      <c r="G34">
        <v>112.5</v>
      </c>
      <c r="H34">
        <v>106.8</v>
      </c>
      <c r="I34">
        <v>113.5</v>
      </c>
      <c r="J34">
        <v>183.1</v>
      </c>
      <c r="K34">
        <v>108.2</v>
      </c>
      <c r="L34">
        <v>102.2</v>
      </c>
      <c r="M34">
        <v>109.4</v>
      </c>
      <c r="N34">
        <v>111.8</v>
      </c>
      <c r="O34">
        <v>116.5</v>
      </c>
      <c r="P34">
        <v>122.6</v>
      </c>
      <c r="Q34">
        <v>113.1</v>
      </c>
      <c r="R34">
        <v>114.2</v>
      </c>
      <c r="S34">
        <v>111.9</v>
      </c>
      <c r="T34">
        <v>113.8</v>
      </c>
      <c r="U34">
        <v>111.1</v>
      </c>
      <c r="V34">
        <v>111.6</v>
      </c>
      <c r="W34">
        <v>111.1</v>
      </c>
      <c r="X34">
        <v>109.3</v>
      </c>
      <c r="Y34">
        <v>109.5</v>
      </c>
      <c r="Z34">
        <v>108.6</v>
      </c>
      <c r="AA34">
        <v>111.2</v>
      </c>
      <c r="AB34">
        <v>108.1</v>
      </c>
      <c r="AC34">
        <v>109.7</v>
      </c>
      <c r="AD34">
        <v>116.3</v>
      </c>
    </row>
    <row r="35" spans="1:30" x14ac:dyDescent="0.3">
      <c r="A35" t="s">
        <v>30</v>
      </c>
      <c r="B35">
        <v>2013</v>
      </c>
      <c r="C35" t="s">
        <v>46</v>
      </c>
      <c r="D35">
        <v>118.4</v>
      </c>
      <c r="E35">
        <v>115.9</v>
      </c>
      <c r="F35">
        <v>120.4</v>
      </c>
      <c r="G35">
        <v>113.8</v>
      </c>
      <c r="H35">
        <v>109.5</v>
      </c>
      <c r="I35">
        <v>115.5</v>
      </c>
      <c r="J35">
        <v>145.69999999999999</v>
      </c>
      <c r="K35">
        <v>109.5</v>
      </c>
      <c r="L35">
        <v>102.9</v>
      </c>
      <c r="M35">
        <v>109.8</v>
      </c>
      <c r="N35">
        <v>112.1</v>
      </c>
      <c r="O35">
        <v>116.8</v>
      </c>
      <c r="P35">
        <v>118.7</v>
      </c>
      <c r="Q35">
        <v>113.6</v>
      </c>
      <c r="R35">
        <v>115.8</v>
      </c>
      <c r="S35">
        <v>114</v>
      </c>
      <c r="T35">
        <v>115.5</v>
      </c>
      <c r="U35" t="s">
        <v>32</v>
      </c>
      <c r="V35">
        <v>112.8</v>
      </c>
      <c r="W35">
        <v>112.1</v>
      </c>
      <c r="X35">
        <v>110.1</v>
      </c>
      <c r="Y35">
        <v>109.9</v>
      </c>
      <c r="Z35">
        <v>109.2</v>
      </c>
      <c r="AA35">
        <v>111.6</v>
      </c>
      <c r="AB35">
        <v>108.1</v>
      </c>
      <c r="AC35">
        <v>110.1</v>
      </c>
      <c r="AD35">
        <v>115.5</v>
      </c>
    </row>
    <row r="36" spans="1:30" x14ac:dyDescent="0.3">
      <c r="A36" t="s">
        <v>33</v>
      </c>
      <c r="B36">
        <v>2013</v>
      </c>
      <c r="C36" t="s">
        <v>46</v>
      </c>
      <c r="D36">
        <v>120.5</v>
      </c>
      <c r="E36">
        <v>118.1</v>
      </c>
      <c r="F36">
        <v>128.5</v>
      </c>
      <c r="G36">
        <v>112.8</v>
      </c>
      <c r="H36">
        <v>103.4</v>
      </c>
      <c r="I36">
        <v>110.7</v>
      </c>
      <c r="J36">
        <v>144.80000000000001</v>
      </c>
      <c r="K36">
        <v>107.1</v>
      </c>
      <c r="L36">
        <v>98.6</v>
      </c>
      <c r="M36">
        <v>111.9</v>
      </c>
      <c r="N36">
        <v>112.1</v>
      </c>
      <c r="O36">
        <v>118.1</v>
      </c>
      <c r="P36">
        <v>117.8</v>
      </c>
      <c r="Q36">
        <v>115</v>
      </c>
      <c r="R36">
        <v>114.2</v>
      </c>
      <c r="S36">
        <v>110.9</v>
      </c>
      <c r="T36">
        <v>113.7</v>
      </c>
      <c r="U36">
        <v>110.7</v>
      </c>
      <c r="V36">
        <v>110.4</v>
      </c>
      <c r="W36">
        <v>111.3</v>
      </c>
      <c r="X36">
        <v>109</v>
      </c>
      <c r="Y36">
        <v>109.7</v>
      </c>
      <c r="Z36">
        <v>108.9</v>
      </c>
      <c r="AA36">
        <v>111.4</v>
      </c>
      <c r="AB36">
        <v>107.7</v>
      </c>
      <c r="AC36">
        <v>109.8</v>
      </c>
      <c r="AD36">
        <v>113.3</v>
      </c>
    </row>
    <row r="37" spans="1:30" x14ac:dyDescent="0.3">
      <c r="A37" t="s">
        <v>34</v>
      </c>
      <c r="B37">
        <v>2013</v>
      </c>
      <c r="C37" t="s">
        <v>46</v>
      </c>
      <c r="D37">
        <v>119.1</v>
      </c>
      <c r="E37">
        <v>116.7</v>
      </c>
      <c r="F37">
        <v>123.5</v>
      </c>
      <c r="G37">
        <v>113.4</v>
      </c>
      <c r="H37">
        <v>107.3</v>
      </c>
      <c r="I37">
        <v>113.3</v>
      </c>
      <c r="J37">
        <v>145.4</v>
      </c>
      <c r="K37">
        <v>108.7</v>
      </c>
      <c r="L37">
        <v>101.5</v>
      </c>
      <c r="M37">
        <v>110.5</v>
      </c>
      <c r="N37">
        <v>112.1</v>
      </c>
      <c r="O37">
        <v>117.4</v>
      </c>
      <c r="P37">
        <v>118.4</v>
      </c>
      <c r="Q37">
        <v>114</v>
      </c>
      <c r="R37">
        <v>115.2</v>
      </c>
      <c r="S37">
        <v>112.7</v>
      </c>
      <c r="T37">
        <v>114.8</v>
      </c>
      <c r="U37">
        <v>110.7</v>
      </c>
      <c r="V37">
        <v>111.9</v>
      </c>
      <c r="W37">
        <v>111.7</v>
      </c>
      <c r="X37">
        <v>109.7</v>
      </c>
      <c r="Y37">
        <v>109.8</v>
      </c>
      <c r="Z37">
        <v>109</v>
      </c>
      <c r="AA37">
        <v>111.5</v>
      </c>
      <c r="AB37">
        <v>107.9</v>
      </c>
      <c r="AC37">
        <v>110</v>
      </c>
      <c r="AD37">
        <v>114.5</v>
      </c>
    </row>
    <row r="38" spans="1:30" x14ac:dyDescent="0.3">
      <c r="A38" t="s">
        <v>30</v>
      </c>
      <c r="B38">
        <v>2014</v>
      </c>
      <c r="C38" t="s">
        <v>31</v>
      </c>
      <c r="D38">
        <v>118.9</v>
      </c>
      <c r="E38">
        <v>117.1</v>
      </c>
      <c r="F38">
        <v>120.5</v>
      </c>
      <c r="G38">
        <v>114.4</v>
      </c>
      <c r="H38">
        <v>109</v>
      </c>
      <c r="I38">
        <v>115.5</v>
      </c>
      <c r="J38">
        <v>123.9</v>
      </c>
      <c r="K38">
        <v>109.6</v>
      </c>
      <c r="L38">
        <v>101.8</v>
      </c>
      <c r="M38">
        <v>110.2</v>
      </c>
      <c r="N38">
        <v>112.4</v>
      </c>
      <c r="O38">
        <v>117.3</v>
      </c>
      <c r="P38">
        <v>116</v>
      </c>
      <c r="Q38">
        <v>114</v>
      </c>
      <c r="R38">
        <v>116.5</v>
      </c>
      <c r="S38">
        <v>114.5</v>
      </c>
      <c r="T38">
        <v>116.2</v>
      </c>
      <c r="U38" t="s">
        <v>32</v>
      </c>
      <c r="V38">
        <v>113</v>
      </c>
      <c r="W38">
        <v>112.6</v>
      </c>
      <c r="X38">
        <v>110.6</v>
      </c>
      <c r="Y38">
        <v>110.5</v>
      </c>
      <c r="Z38">
        <v>109.6</v>
      </c>
      <c r="AA38">
        <v>111.8</v>
      </c>
      <c r="AB38">
        <v>108.3</v>
      </c>
      <c r="AC38">
        <v>110.6</v>
      </c>
      <c r="AD38">
        <v>114.2</v>
      </c>
    </row>
    <row r="39" spans="1:30" x14ac:dyDescent="0.3">
      <c r="A39" t="s">
        <v>33</v>
      </c>
      <c r="B39">
        <v>2014</v>
      </c>
      <c r="C39" t="s">
        <v>31</v>
      </c>
      <c r="D39">
        <v>121.2</v>
      </c>
      <c r="E39">
        <v>122</v>
      </c>
      <c r="F39">
        <v>129.9</v>
      </c>
      <c r="G39">
        <v>113.6</v>
      </c>
      <c r="H39">
        <v>102.9</v>
      </c>
      <c r="I39">
        <v>112.1</v>
      </c>
      <c r="J39">
        <v>118.9</v>
      </c>
      <c r="K39">
        <v>107.5</v>
      </c>
      <c r="L39">
        <v>96.9</v>
      </c>
      <c r="M39">
        <v>112.7</v>
      </c>
      <c r="N39">
        <v>112.1</v>
      </c>
      <c r="O39">
        <v>119</v>
      </c>
      <c r="P39">
        <v>115.5</v>
      </c>
      <c r="Q39">
        <v>115.7</v>
      </c>
      <c r="R39">
        <v>114.8</v>
      </c>
      <c r="S39">
        <v>111.3</v>
      </c>
      <c r="T39">
        <v>114.3</v>
      </c>
      <c r="U39">
        <v>111.6</v>
      </c>
      <c r="V39">
        <v>111</v>
      </c>
      <c r="W39">
        <v>111.9</v>
      </c>
      <c r="X39">
        <v>109.7</v>
      </c>
      <c r="Y39">
        <v>110.8</v>
      </c>
      <c r="Z39">
        <v>109.8</v>
      </c>
      <c r="AA39">
        <v>111.5</v>
      </c>
      <c r="AB39">
        <v>108</v>
      </c>
      <c r="AC39">
        <v>110.5</v>
      </c>
      <c r="AD39">
        <v>112.9</v>
      </c>
    </row>
    <row r="40" spans="1:30" x14ac:dyDescent="0.3">
      <c r="A40" t="s">
        <v>34</v>
      </c>
      <c r="B40">
        <v>2014</v>
      </c>
      <c r="C40" t="s">
        <v>31</v>
      </c>
      <c r="D40">
        <v>119.6</v>
      </c>
      <c r="E40">
        <v>118.8</v>
      </c>
      <c r="F40">
        <v>124.1</v>
      </c>
      <c r="G40">
        <v>114.1</v>
      </c>
      <c r="H40">
        <v>106.8</v>
      </c>
      <c r="I40">
        <v>113.9</v>
      </c>
      <c r="J40">
        <v>122.2</v>
      </c>
      <c r="K40">
        <v>108.9</v>
      </c>
      <c r="L40">
        <v>100.2</v>
      </c>
      <c r="M40">
        <v>111</v>
      </c>
      <c r="N40">
        <v>112.3</v>
      </c>
      <c r="O40">
        <v>118.1</v>
      </c>
      <c r="P40">
        <v>115.8</v>
      </c>
      <c r="Q40">
        <v>114.5</v>
      </c>
      <c r="R40">
        <v>115.8</v>
      </c>
      <c r="S40">
        <v>113.2</v>
      </c>
      <c r="T40">
        <v>115.4</v>
      </c>
      <c r="U40">
        <v>111.6</v>
      </c>
      <c r="V40">
        <v>112.2</v>
      </c>
      <c r="W40">
        <v>112.3</v>
      </c>
      <c r="X40">
        <v>110.3</v>
      </c>
      <c r="Y40">
        <v>110.7</v>
      </c>
      <c r="Z40">
        <v>109.7</v>
      </c>
      <c r="AA40">
        <v>111.6</v>
      </c>
      <c r="AB40">
        <v>108.2</v>
      </c>
      <c r="AC40">
        <v>110.6</v>
      </c>
      <c r="AD40">
        <v>113.6</v>
      </c>
    </row>
    <row r="41" spans="1:30" x14ac:dyDescent="0.3">
      <c r="A41" t="s">
        <v>30</v>
      </c>
      <c r="B41">
        <v>2014</v>
      </c>
      <c r="C41" t="s">
        <v>35</v>
      </c>
      <c r="D41">
        <v>119.4</v>
      </c>
      <c r="E41">
        <v>117.7</v>
      </c>
      <c r="F41">
        <v>121.2</v>
      </c>
      <c r="G41">
        <v>115</v>
      </c>
      <c r="H41">
        <v>109</v>
      </c>
      <c r="I41">
        <v>116.6</v>
      </c>
      <c r="J41">
        <v>116</v>
      </c>
      <c r="K41">
        <v>109.8</v>
      </c>
      <c r="L41">
        <v>101.1</v>
      </c>
      <c r="M41">
        <v>110.4</v>
      </c>
      <c r="N41">
        <v>112.9</v>
      </c>
      <c r="O41">
        <v>117.8</v>
      </c>
      <c r="P41">
        <v>115.3</v>
      </c>
      <c r="Q41">
        <v>114.2</v>
      </c>
      <c r="R41">
        <v>117.1</v>
      </c>
      <c r="S41">
        <v>114.5</v>
      </c>
      <c r="T41">
        <v>116.7</v>
      </c>
      <c r="U41" t="s">
        <v>32</v>
      </c>
      <c r="V41">
        <v>113.2</v>
      </c>
      <c r="W41">
        <v>112.9</v>
      </c>
      <c r="X41">
        <v>110.9</v>
      </c>
      <c r="Y41">
        <v>110.8</v>
      </c>
      <c r="Z41">
        <v>109.9</v>
      </c>
      <c r="AA41">
        <v>112</v>
      </c>
      <c r="AB41">
        <v>108.7</v>
      </c>
      <c r="AC41">
        <v>110.9</v>
      </c>
      <c r="AD41">
        <v>114</v>
      </c>
    </row>
    <row r="42" spans="1:30" x14ac:dyDescent="0.3">
      <c r="A42" t="s">
        <v>33</v>
      </c>
      <c r="B42">
        <v>2014</v>
      </c>
      <c r="C42" t="s">
        <v>35</v>
      </c>
      <c r="D42">
        <v>121.9</v>
      </c>
      <c r="E42">
        <v>122</v>
      </c>
      <c r="F42">
        <v>124.5</v>
      </c>
      <c r="G42">
        <v>115.2</v>
      </c>
      <c r="H42">
        <v>102.5</v>
      </c>
      <c r="I42">
        <v>114.1</v>
      </c>
      <c r="J42">
        <v>111.5</v>
      </c>
      <c r="K42">
        <v>108.2</v>
      </c>
      <c r="L42">
        <v>95.4</v>
      </c>
      <c r="M42">
        <v>113.5</v>
      </c>
      <c r="N42">
        <v>112.1</v>
      </c>
      <c r="O42">
        <v>119.9</v>
      </c>
      <c r="P42">
        <v>115.2</v>
      </c>
      <c r="Q42">
        <v>116.2</v>
      </c>
      <c r="R42">
        <v>115.3</v>
      </c>
      <c r="S42">
        <v>111.7</v>
      </c>
      <c r="T42">
        <v>114.7</v>
      </c>
      <c r="U42">
        <v>112.5</v>
      </c>
      <c r="V42">
        <v>111.1</v>
      </c>
      <c r="W42">
        <v>112.6</v>
      </c>
      <c r="X42">
        <v>110.4</v>
      </c>
      <c r="Y42">
        <v>111.3</v>
      </c>
      <c r="Z42">
        <v>110.3</v>
      </c>
      <c r="AA42">
        <v>111.6</v>
      </c>
      <c r="AB42">
        <v>108.7</v>
      </c>
      <c r="AC42">
        <v>111</v>
      </c>
      <c r="AD42">
        <v>113.1</v>
      </c>
    </row>
    <row r="43" spans="1:30" x14ac:dyDescent="0.3">
      <c r="A43" t="s">
        <v>34</v>
      </c>
      <c r="B43">
        <v>2014</v>
      </c>
      <c r="C43" t="s">
        <v>35</v>
      </c>
      <c r="D43">
        <v>120.2</v>
      </c>
      <c r="E43">
        <v>119.2</v>
      </c>
      <c r="F43">
        <v>122.5</v>
      </c>
      <c r="G43">
        <v>115.1</v>
      </c>
      <c r="H43">
        <v>106.6</v>
      </c>
      <c r="I43">
        <v>115.4</v>
      </c>
      <c r="J43">
        <v>114.5</v>
      </c>
      <c r="K43">
        <v>109.3</v>
      </c>
      <c r="L43">
        <v>99.2</v>
      </c>
      <c r="M43">
        <v>111.4</v>
      </c>
      <c r="N43">
        <v>112.6</v>
      </c>
      <c r="O43">
        <v>118.8</v>
      </c>
      <c r="P43">
        <v>115.3</v>
      </c>
      <c r="Q43">
        <v>114.7</v>
      </c>
      <c r="R43">
        <v>116.4</v>
      </c>
      <c r="S43">
        <v>113.3</v>
      </c>
      <c r="T43">
        <v>115.9</v>
      </c>
      <c r="U43">
        <v>112.5</v>
      </c>
      <c r="V43">
        <v>112.4</v>
      </c>
      <c r="W43">
        <v>112.8</v>
      </c>
      <c r="X43">
        <v>110.7</v>
      </c>
      <c r="Y43">
        <v>111.1</v>
      </c>
      <c r="Z43">
        <v>110.1</v>
      </c>
      <c r="AA43">
        <v>111.8</v>
      </c>
      <c r="AB43">
        <v>108.7</v>
      </c>
      <c r="AC43">
        <v>110.9</v>
      </c>
      <c r="AD43">
        <v>113.6</v>
      </c>
    </row>
    <row r="44" spans="1:30" x14ac:dyDescent="0.3">
      <c r="A44" t="s">
        <v>30</v>
      </c>
      <c r="B44">
        <v>2014</v>
      </c>
      <c r="C44" t="s">
        <v>36</v>
      </c>
      <c r="D44">
        <v>120.1</v>
      </c>
      <c r="E44">
        <v>118.1</v>
      </c>
      <c r="F44">
        <v>120.7</v>
      </c>
      <c r="G44">
        <v>116.1</v>
      </c>
      <c r="H44">
        <v>109.3</v>
      </c>
      <c r="I44">
        <v>119.6</v>
      </c>
      <c r="J44">
        <v>117.9</v>
      </c>
      <c r="K44">
        <v>110.2</v>
      </c>
      <c r="L44">
        <v>101.2</v>
      </c>
      <c r="M44">
        <v>110.7</v>
      </c>
      <c r="N44">
        <v>113</v>
      </c>
      <c r="O44">
        <v>118.3</v>
      </c>
      <c r="P44">
        <v>116.2</v>
      </c>
      <c r="Q44">
        <v>114.6</v>
      </c>
      <c r="R44">
        <v>117.5</v>
      </c>
      <c r="S44">
        <v>114.9</v>
      </c>
      <c r="T44">
        <v>117.2</v>
      </c>
      <c r="U44" t="s">
        <v>32</v>
      </c>
      <c r="V44">
        <v>113.4</v>
      </c>
      <c r="W44">
        <v>113.4</v>
      </c>
      <c r="X44">
        <v>111.4</v>
      </c>
      <c r="Y44">
        <v>111.2</v>
      </c>
      <c r="Z44">
        <v>110.2</v>
      </c>
      <c r="AA44">
        <v>112.4</v>
      </c>
      <c r="AB44">
        <v>108.9</v>
      </c>
      <c r="AC44">
        <v>111.3</v>
      </c>
      <c r="AD44">
        <v>114.6</v>
      </c>
    </row>
    <row r="45" spans="1:30" x14ac:dyDescent="0.3">
      <c r="A45" t="s">
        <v>33</v>
      </c>
      <c r="B45">
        <v>2014</v>
      </c>
      <c r="C45" t="s">
        <v>36</v>
      </c>
      <c r="D45">
        <v>122.1</v>
      </c>
      <c r="E45">
        <v>121.4</v>
      </c>
      <c r="F45">
        <v>121.5</v>
      </c>
      <c r="G45">
        <v>116.2</v>
      </c>
      <c r="H45">
        <v>102.8</v>
      </c>
      <c r="I45">
        <v>117.7</v>
      </c>
      <c r="J45">
        <v>113.3</v>
      </c>
      <c r="K45">
        <v>108.9</v>
      </c>
      <c r="L45">
        <v>96.3</v>
      </c>
      <c r="M45">
        <v>114.1</v>
      </c>
      <c r="N45">
        <v>112.2</v>
      </c>
      <c r="O45">
        <v>120.5</v>
      </c>
      <c r="P45">
        <v>116</v>
      </c>
      <c r="Q45">
        <v>116.7</v>
      </c>
      <c r="R45">
        <v>115.8</v>
      </c>
      <c r="S45">
        <v>112.1</v>
      </c>
      <c r="T45">
        <v>115.2</v>
      </c>
      <c r="U45">
        <v>113.2</v>
      </c>
      <c r="V45">
        <v>110.9</v>
      </c>
      <c r="W45">
        <v>113</v>
      </c>
      <c r="X45">
        <v>110.8</v>
      </c>
      <c r="Y45">
        <v>111.6</v>
      </c>
      <c r="Z45">
        <v>110.9</v>
      </c>
      <c r="AA45">
        <v>111.8</v>
      </c>
      <c r="AB45">
        <v>109.2</v>
      </c>
      <c r="AC45">
        <v>111.4</v>
      </c>
      <c r="AD45">
        <v>113.7</v>
      </c>
    </row>
    <row r="46" spans="1:30" x14ac:dyDescent="0.3">
      <c r="A46" t="s">
        <v>34</v>
      </c>
      <c r="B46">
        <v>2014</v>
      </c>
      <c r="C46" t="s">
        <v>47</v>
      </c>
      <c r="D46">
        <v>120.7</v>
      </c>
      <c r="E46">
        <v>119.3</v>
      </c>
      <c r="F46">
        <v>121</v>
      </c>
      <c r="G46">
        <v>116.1</v>
      </c>
      <c r="H46">
        <v>106.9</v>
      </c>
      <c r="I46">
        <v>118.7</v>
      </c>
      <c r="J46">
        <v>116.3</v>
      </c>
      <c r="K46">
        <v>109.8</v>
      </c>
      <c r="L46">
        <v>99.6</v>
      </c>
      <c r="M46">
        <v>111.8</v>
      </c>
      <c r="N46">
        <v>112.7</v>
      </c>
      <c r="O46">
        <v>119.3</v>
      </c>
      <c r="P46">
        <v>116.1</v>
      </c>
      <c r="Q46">
        <v>115.2</v>
      </c>
      <c r="R46">
        <v>116.8</v>
      </c>
      <c r="S46">
        <v>113.7</v>
      </c>
      <c r="T46">
        <v>116.4</v>
      </c>
      <c r="U46">
        <v>113.2</v>
      </c>
      <c r="V46">
        <v>112.5</v>
      </c>
      <c r="W46">
        <v>113.2</v>
      </c>
      <c r="X46">
        <v>111.2</v>
      </c>
      <c r="Y46">
        <v>111.4</v>
      </c>
      <c r="Z46">
        <v>110.6</v>
      </c>
      <c r="AA46">
        <v>112</v>
      </c>
      <c r="AB46">
        <v>109</v>
      </c>
      <c r="AC46">
        <v>111.3</v>
      </c>
      <c r="AD46">
        <v>114.2</v>
      </c>
    </row>
    <row r="47" spans="1:30" x14ac:dyDescent="0.3">
      <c r="A47" t="s">
        <v>30</v>
      </c>
      <c r="B47">
        <v>2014</v>
      </c>
      <c r="C47" t="s">
        <v>37</v>
      </c>
      <c r="D47">
        <v>120.2</v>
      </c>
      <c r="E47">
        <v>118.9</v>
      </c>
      <c r="F47">
        <v>118.1</v>
      </c>
      <c r="G47">
        <v>117</v>
      </c>
      <c r="H47">
        <v>109.7</v>
      </c>
      <c r="I47">
        <v>125.5</v>
      </c>
      <c r="J47">
        <v>120.5</v>
      </c>
      <c r="K47">
        <v>111</v>
      </c>
      <c r="L47">
        <v>102.6</v>
      </c>
      <c r="M47">
        <v>111.2</v>
      </c>
      <c r="N47">
        <v>113.5</v>
      </c>
      <c r="O47">
        <v>118.7</v>
      </c>
      <c r="P47">
        <v>117.2</v>
      </c>
      <c r="Q47">
        <v>115.4</v>
      </c>
      <c r="R47">
        <v>118.1</v>
      </c>
      <c r="S47">
        <v>116.1</v>
      </c>
      <c r="T47">
        <v>117.8</v>
      </c>
      <c r="U47" t="s">
        <v>32</v>
      </c>
      <c r="V47">
        <v>113.4</v>
      </c>
      <c r="W47">
        <v>113.7</v>
      </c>
      <c r="X47">
        <v>111.8</v>
      </c>
      <c r="Y47">
        <v>111.2</v>
      </c>
      <c r="Z47">
        <v>110.5</v>
      </c>
      <c r="AA47">
        <v>113</v>
      </c>
      <c r="AB47">
        <v>108.9</v>
      </c>
      <c r="AC47">
        <v>111.5</v>
      </c>
      <c r="AD47">
        <v>115.4</v>
      </c>
    </row>
    <row r="48" spans="1:30" x14ac:dyDescent="0.3">
      <c r="A48" t="s">
        <v>33</v>
      </c>
      <c r="B48">
        <v>2014</v>
      </c>
      <c r="C48" t="s">
        <v>37</v>
      </c>
      <c r="D48">
        <v>122.5</v>
      </c>
      <c r="E48">
        <v>121.7</v>
      </c>
      <c r="F48">
        <v>113.3</v>
      </c>
      <c r="G48">
        <v>117</v>
      </c>
      <c r="H48">
        <v>103.1</v>
      </c>
      <c r="I48">
        <v>126.7</v>
      </c>
      <c r="J48">
        <v>121.2</v>
      </c>
      <c r="K48">
        <v>111</v>
      </c>
      <c r="L48">
        <v>100.3</v>
      </c>
      <c r="M48">
        <v>115.3</v>
      </c>
      <c r="N48">
        <v>112.7</v>
      </c>
      <c r="O48">
        <v>121</v>
      </c>
      <c r="P48">
        <v>118.2</v>
      </c>
      <c r="Q48">
        <v>117.6</v>
      </c>
      <c r="R48">
        <v>116.3</v>
      </c>
      <c r="S48">
        <v>112.5</v>
      </c>
      <c r="T48">
        <v>115.7</v>
      </c>
      <c r="U48">
        <v>113.9</v>
      </c>
      <c r="V48">
        <v>110.9</v>
      </c>
      <c r="W48">
        <v>113.4</v>
      </c>
      <c r="X48">
        <v>111</v>
      </c>
      <c r="Y48">
        <v>111.2</v>
      </c>
      <c r="Z48">
        <v>111.2</v>
      </c>
      <c r="AA48">
        <v>112.5</v>
      </c>
      <c r="AB48">
        <v>109.1</v>
      </c>
      <c r="AC48">
        <v>111.4</v>
      </c>
      <c r="AD48">
        <v>114.7</v>
      </c>
    </row>
    <row r="49" spans="1:30" x14ac:dyDescent="0.3">
      <c r="A49" t="s">
        <v>34</v>
      </c>
      <c r="B49">
        <v>2014</v>
      </c>
      <c r="C49" t="s">
        <v>37</v>
      </c>
      <c r="D49">
        <v>120.9</v>
      </c>
      <c r="E49">
        <v>119.9</v>
      </c>
      <c r="F49">
        <v>116.2</v>
      </c>
      <c r="G49">
        <v>117</v>
      </c>
      <c r="H49">
        <v>107.3</v>
      </c>
      <c r="I49">
        <v>126.1</v>
      </c>
      <c r="J49">
        <v>120.7</v>
      </c>
      <c r="K49">
        <v>111</v>
      </c>
      <c r="L49">
        <v>101.8</v>
      </c>
      <c r="M49">
        <v>112.6</v>
      </c>
      <c r="N49">
        <v>113.2</v>
      </c>
      <c r="O49">
        <v>119.8</v>
      </c>
      <c r="P49">
        <v>117.6</v>
      </c>
      <c r="Q49">
        <v>116</v>
      </c>
      <c r="R49">
        <v>117.4</v>
      </c>
      <c r="S49">
        <v>114.6</v>
      </c>
      <c r="T49">
        <v>117</v>
      </c>
      <c r="U49">
        <v>113.9</v>
      </c>
      <c r="V49">
        <v>112.5</v>
      </c>
      <c r="W49">
        <v>113.6</v>
      </c>
      <c r="X49">
        <v>111.5</v>
      </c>
      <c r="Y49">
        <v>111.2</v>
      </c>
      <c r="Z49">
        <v>110.9</v>
      </c>
      <c r="AA49">
        <v>112.7</v>
      </c>
      <c r="AB49">
        <v>109</v>
      </c>
      <c r="AC49">
        <v>111.5</v>
      </c>
      <c r="AD49">
        <v>115.1</v>
      </c>
    </row>
    <row r="50" spans="1:30" x14ac:dyDescent="0.3">
      <c r="A50" t="s">
        <v>30</v>
      </c>
      <c r="B50">
        <v>2014</v>
      </c>
      <c r="C50" t="s">
        <v>38</v>
      </c>
      <c r="D50">
        <v>120.3</v>
      </c>
      <c r="E50">
        <v>120.2</v>
      </c>
      <c r="F50">
        <v>116.9</v>
      </c>
      <c r="G50">
        <v>118</v>
      </c>
      <c r="H50">
        <v>110.1</v>
      </c>
      <c r="I50">
        <v>126.3</v>
      </c>
      <c r="J50">
        <v>123.9</v>
      </c>
      <c r="K50">
        <v>111.5</v>
      </c>
      <c r="L50">
        <v>103.5</v>
      </c>
      <c r="M50">
        <v>111.6</v>
      </c>
      <c r="N50">
        <v>114.2</v>
      </c>
      <c r="O50">
        <v>119.2</v>
      </c>
      <c r="P50">
        <v>118.2</v>
      </c>
      <c r="Q50">
        <v>116.3</v>
      </c>
      <c r="R50">
        <v>118.7</v>
      </c>
      <c r="S50">
        <v>116.8</v>
      </c>
      <c r="T50">
        <v>118.5</v>
      </c>
      <c r="U50" t="s">
        <v>32</v>
      </c>
      <c r="V50">
        <v>113.4</v>
      </c>
      <c r="W50">
        <v>114.1</v>
      </c>
      <c r="X50">
        <v>112.1</v>
      </c>
      <c r="Y50">
        <v>111.4</v>
      </c>
      <c r="Z50">
        <v>110.9</v>
      </c>
      <c r="AA50">
        <v>113.1</v>
      </c>
      <c r="AB50">
        <v>108.9</v>
      </c>
      <c r="AC50">
        <v>111.8</v>
      </c>
      <c r="AD50">
        <v>116</v>
      </c>
    </row>
    <row r="51" spans="1:30" x14ac:dyDescent="0.3">
      <c r="A51" t="s">
        <v>33</v>
      </c>
      <c r="B51">
        <v>2014</v>
      </c>
      <c r="C51" t="s">
        <v>38</v>
      </c>
      <c r="D51">
        <v>122.7</v>
      </c>
      <c r="E51">
        <v>124.1</v>
      </c>
      <c r="F51">
        <v>114.2</v>
      </c>
      <c r="G51">
        <v>119.1</v>
      </c>
      <c r="H51">
        <v>103.5</v>
      </c>
      <c r="I51">
        <v>129.19999999999999</v>
      </c>
      <c r="J51">
        <v>127</v>
      </c>
      <c r="K51">
        <v>112.6</v>
      </c>
      <c r="L51">
        <v>101.3</v>
      </c>
      <c r="M51">
        <v>117</v>
      </c>
      <c r="N51">
        <v>112.9</v>
      </c>
      <c r="O51">
        <v>121.7</v>
      </c>
      <c r="P51">
        <v>120</v>
      </c>
      <c r="Q51">
        <v>118.3</v>
      </c>
      <c r="R51">
        <v>116.8</v>
      </c>
      <c r="S51">
        <v>112.9</v>
      </c>
      <c r="T51">
        <v>116.2</v>
      </c>
      <c r="U51">
        <v>114.3</v>
      </c>
      <c r="V51">
        <v>111.1</v>
      </c>
      <c r="W51">
        <v>114.1</v>
      </c>
      <c r="X51">
        <v>111.2</v>
      </c>
      <c r="Y51">
        <v>111.3</v>
      </c>
      <c r="Z51">
        <v>111.5</v>
      </c>
      <c r="AA51">
        <v>112.9</v>
      </c>
      <c r="AB51">
        <v>109.3</v>
      </c>
      <c r="AC51">
        <v>111.7</v>
      </c>
      <c r="AD51">
        <v>115.6</v>
      </c>
    </row>
    <row r="52" spans="1:30" x14ac:dyDescent="0.3">
      <c r="A52" t="s">
        <v>34</v>
      </c>
      <c r="B52">
        <v>2014</v>
      </c>
      <c r="C52" t="s">
        <v>38</v>
      </c>
      <c r="D52">
        <v>121.1</v>
      </c>
      <c r="E52">
        <v>121.6</v>
      </c>
      <c r="F52">
        <v>115.9</v>
      </c>
      <c r="G52">
        <v>118.4</v>
      </c>
      <c r="H52">
        <v>107.7</v>
      </c>
      <c r="I52">
        <v>127.7</v>
      </c>
      <c r="J52">
        <v>125</v>
      </c>
      <c r="K52">
        <v>111.9</v>
      </c>
      <c r="L52">
        <v>102.8</v>
      </c>
      <c r="M52">
        <v>113.4</v>
      </c>
      <c r="N52">
        <v>113.7</v>
      </c>
      <c r="O52">
        <v>120.4</v>
      </c>
      <c r="P52">
        <v>118.9</v>
      </c>
      <c r="Q52">
        <v>116.8</v>
      </c>
      <c r="R52">
        <v>118</v>
      </c>
      <c r="S52">
        <v>115.2</v>
      </c>
      <c r="T52">
        <v>117.6</v>
      </c>
      <c r="U52">
        <v>114.3</v>
      </c>
      <c r="V52">
        <v>112.5</v>
      </c>
      <c r="W52">
        <v>114.1</v>
      </c>
      <c r="X52">
        <v>111.8</v>
      </c>
      <c r="Y52">
        <v>111.3</v>
      </c>
      <c r="Z52">
        <v>111.2</v>
      </c>
      <c r="AA52">
        <v>113</v>
      </c>
      <c r="AB52">
        <v>109.1</v>
      </c>
      <c r="AC52">
        <v>111.8</v>
      </c>
      <c r="AD52">
        <v>115.8</v>
      </c>
    </row>
    <row r="53" spans="1:30" x14ac:dyDescent="0.3">
      <c r="A53" t="s">
        <v>30</v>
      </c>
      <c r="B53">
        <v>2014</v>
      </c>
      <c r="C53" t="s">
        <v>39</v>
      </c>
      <c r="D53">
        <v>120.7</v>
      </c>
      <c r="E53">
        <v>121.6</v>
      </c>
      <c r="F53">
        <v>116.1</v>
      </c>
      <c r="G53">
        <v>119.3</v>
      </c>
      <c r="H53">
        <v>110.3</v>
      </c>
      <c r="I53">
        <v>125.8</v>
      </c>
      <c r="J53">
        <v>129.30000000000001</v>
      </c>
      <c r="K53">
        <v>112.2</v>
      </c>
      <c r="L53">
        <v>103.6</v>
      </c>
      <c r="M53">
        <v>112.3</v>
      </c>
      <c r="N53">
        <v>114.9</v>
      </c>
      <c r="O53">
        <v>120.1</v>
      </c>
      <c r="P53">
        <v>119.5</v>
      </c>
      <c r="Q53">
        <v>117.3</v>
      </c>
      <c r="R53">
        <v>119.7</v>
      </c>
      <c r="S53">
        <v>117.3</v>
      </c>
      <c r="T53">
        <v>119.3</v>
      </c>
      <c r="U53" t="s">
        <v>32</v>
      </c>
      <c r="V53">
        <v>114.4</v>
      </c>
      <c r="W53">
        <v>114.9</v>
      </c>
      <c r="X53">
        <v>112.8</v>
      </c>
      <c r="Y53">
        <v>112.2</v>
      </c>
      <c r="Z53">
        <v>111.4</v>
      </c>
      <c r="AA53">
        <v>114.3</v>
      </c>
      <c r="AB53">
        <v>108</v>
      </c>
      <c r="AC53">
        <v>112.3</v>
      </c>
      <c r="AD53">
        <v>117</v>
      </c>
    </row>
    <row r="54" spans="1:30" x14ac:dyDescent="0.3">
      <c r="A54" t="s">
        <v>33</v>
      </c>
      <c r="B54">
        <v>2014</v>
      </c>
      <c r="C54" t="s">
        <v>39</v>
      </c>
      <c r="D54">
        <v>123.1</v>
      </c>
      <c r="E54">
        <v>125.9</v>
      </c>
      <c r="F54">
        <v>115.4</v>
      </c>
      <c r="G54">
        <v>120.4</v>
      </c>
      <c r="H54">
        <v>103.4</v>
      </c>
      <c r="I54">
        <v>131.19999999999999</v>
      </c>
      <c r="J54">
        <v>137.5</v>
      </c>
      <c r="K54">
        <v>112.8</v>
      </c>
      <c r="L54">
        <v>101.4</v>
      </c>
      <c r="M54">
        <v>118.3</v>
      </c>
      <c r="N54">
        <v>113.2</v>
      </c>
      <c r="O54">
        <v>122.4</v>
      </c>
      <c r="P54">
        <v>122</v>
      </c>
      <c r="Q54">
        <v>119</v>
      </c>
      <c r="R54">
        <v>117.4</v>
      </c>
      <c r="S54">
        <v>113.2</v>
      </c>
      <c r="T54">
        <v>116.7</v>
      </c>
      <c r="U54">
        <v>113.9</v>
      </c>
      <c r="V54">
        <v>111.2</v>
      </c>
      <c r="W54">
        <v>114.3</v>
      </c>
      <c r="X54">
        <v>111.4</v>
      </c>
      <c r="Y54">
        <v>111.5</v>
      </c>
      <c r="Z54">
        <v>111.8</v>
      </c>
      <c r="AA54">
        <v>115.1</v>
      </c>
      <c r="AB54">
        <v>108.7</v>
      </c>
      <c r="AC54">
        <v>112.2</v>
      </c>
      <c r="AD54">
        <v>116.4</v>
      </c>
    </row>
    <row r="55" spans="1:30" x14ac:dyDescent="0.3">
      <c r="A55" t="s">
        <v>34</v>
      </c>
      <c r="B55">
        <v>2014</v>
      </c>
      <c r="C55" t="s">
        <v>39</v>
      </c>
      <c r="D55">
        <v>121.5</v>
      </c>
      <c r="E55">
        <v>123.1</v>
      </c>
      <c r="F55">
        <v>115.8</v>
      </c>
      <c r="G55">
        <v>119.7</v>
      </c>
      <c r="H55">
        <v>107.8</v>
      </c>
      <c r="I55">
        <v>128.30000000000001</v>
      </c>
      <c r="J55">
        <v>132.1</v>
      </c>
      <c r="K55">
        <v>112.4</v>
      </c>
      <c r="L55">
        <v>102.9</v>
      </c>
      <c r="M55">
        <v>114.3</v>
      </c>
      <c r="N55">
        <v>114.2</v>
      </c>
      <c r="O55">
        <v>121.2</v>
      </c>
      <c r="P55">
        <v>120.4</v>
      </c>
      <c r="Q55">
        <v>117.8</v>
      </c>
      <c r="R55">
        <v>118.8</v>
      </c>
      <c r="S55">
        <v>115.6</v>
      </c>
      <c r="T55">
        <v>118.3</v>
      </c>
      <c r="U55">
        <v>113.9</v>
      </c>
      <c r="V55">
        <v>113.2</v>
      </c>
      <c r="W55">
        <v>114.6</v>
      </c>
      <c r="X55">
        <v>112.3</v>
      </c>
      <c r="Y55">
        <v>111.8</v>
      </c>
      <c r="Z55">
        <v>111.6</v>
      </c>
      <c r="AA55">
        <v>114.8</v>
      </c>
      <c r="AB55">
        <v>108.3</v>
      </c>
      <c r="AC55">
        <v>112.3</v>
      </c>
      <c r="AD55">
        <v>116.7</v>
      </c>
    </row>
    <row r="56" spans="1:30" x14ac:dyDescent="0.3">
      <c r="A56" t="s">
        <v>30</v>
      </c>
      <c r="B56">
        <v>2014</v>
      </c>
      <c r="C56" t="s">
        <v>40</v>
      </c>
      <c r="D56">
        <v>121.7</v>
      </c>
      <c r="E56">
        <v>122.5</v>
      </c>
      <c r="F56">
        <v>117.7</v>
      </c>
      <c r="G56">
        <v>120.6</v>
      </c>
      <c r="H56">
        <v>110.4</v>
      </c>
      <c r="I56">
        <v>129.1</v>
      </c>
      <c r="J56">
        <v>150.1</v>
      </c>
      <c r="K56">
        <v>113.2</v>
      </c>
      <c r="L56">
        <v>104.8</v>
      </c>
      <c r="M56">
        <v>113.3</v>
      </c>
      <c r="N56">
        <v>115.6</v>
      </c>
      <c r="O56">
        <v>120.9</v>
      </c>
      <c r="P56">
        <v>123.3</v>
      </c>
      <c r="Q56">
        <v>118</v>
      </c>
      <c r="R56">
        <v>120.7</v>
      </c>
      <c r="S56">
        <v>118.3</v>
      </c>
      <c r="T56">
        <v>120.3</v>
      </c>
      <c r="U56" t="s">
        <v>32</v>
      </c>
      <c r="V56">
        <v>115.3</v>
      </c>
      <c r="W56">
        <v>115.4</v>
      </c>
      <c r="X56">
        <v>113.4</v>
      </c>
      <c r="Y56">
        <v>113.2</v>
      </c>
      <c r="Z56">
        <v>111.8</v>
      </c>
      <c r="AA56">
        <v>115.5</v>
      </c>
      <c r="AB56">
        <v>108.8</v>
      </c>
      <c r="AC56">
        <v>113.1</v>
      </c>
      <c r="AD56">
        <v>119.5</v>
      </c>
    </row>
    <row r="57" spans="1:30" x14ac:dyDescent="0.3">
      <c r="A57" t="s">
        <v>33</v>
      </c>
      <c r="B57">
        <v>2014</v>
      </c>
      <c r="C57" t="s">
        <v>40</v>
      </c>
      <c r="D57">
        <v>123.8</v>
      </c>
      <c r="E57">
        <v>126.4</v>
      </c>
      <c r="F57">
        <v>118</v>
      </c>
      <c r="G57">
        <v>121.6</v>
      </c>
      <c r="H57">
        <v>103.5</v>
      </c>
      <c r="I57">
        <v>133.69999999999999</v>
      </c>
      <c r="J57">
        <v>172.4</v>
      </c>
      <c r="K57">
        <v>113.1</v>
      </c>
      <c r="L57">
        <v>102.7</v>
      </c>
      <c r="M57">
        <v>120</v>
      </c>
      <c r="N57">
        <v>113.8</v>
      </c>
      <c r="O57">
        <v>123.4</v>
      </c>
      <c r="P57">
        <v>127.1</v>
      </c>
      <c r="Q57">
        <v>121</v>
      </c>
      <c r="R57">
        <v>118</v>
      </c>
      <c r="S57">
        <v>113.6</v>
      </c>
      <c r="T57">
        <v>117.4</v>
      </c>
      <c r="U57">
        <v>114.8</v>
      </c>
      <c r="V57">
        <v>111.6</v>
      </c>
      <c r="W57">
        <v>114.9</v>
      </c>
      <c r="X57">
        <v>111.5</v>
      </c>
      <c r="Y57">
        <v>113</v>
      </c>
      <c r="Z57">
        <v>112.4</v>
      </c>
      <c r="AA57">
        <v>117.8</v>
      </c>
      <c r="AB57">
        <v>109.7</v>
      </c>
      <c r="AC57">
        <v>113.5</v>
      </c>
      <c r="AD57">
        <v>118.9</v>
      </c>
    </row>
    <row r="58" spans="1:30" x14ac:dyDescent="0.3">
      <c r="A58" t="s">
        <v>34</v>
      </c>
      <c r="B58">
        <v>2014</v>
      </c>
      <c r="C58" t="s">
        <v>40</v>
      </c>
      <c r="D58">
        <v>122.4</v>
      </c>
      <c r="E58">
        <v>123.9</v>
      </c>
      <c r="F58">
        <v>117.8</v>
      </c>
      <c r="G58">
        <v>121</v>
      </c>
      <c r="H58">
        <v>107.9</v>
      </c>
      <c r="I58">
        <v>131.19999999999999</v>
      </c>
      <c r="J58">
        <v>157.69999999999999</v>
      </c>
      <c r="K58">
        <v>113.2</v>
      </c>
      <c r="L58">
        <v>104.1</v>
      </c>
      <c r="M58">
        <v>115.5</v>
      </c>
      <c r="N58">
        <v>114.8</v>
      </c>
      <c r="O58">
        <v>122.1</v>
      </c>
      <c r="P58">
        <v>124.7</v>
      </c>
      <c r="Q58">
        <v>118.8</v>
      </c>
      <c r="R58">
        <v>119.6</v>
      </c>
      <c r="S58">
        <v>116.3</v>
      </c>
      <c r="T58">
        <v>119.1</v>
      </c>
      <c r="U58">
        <v>114.8</v>
      </c>
      <c r="V58">
        <v>113.9</v>
      </c>
      <c r="W58">
        <v>115.2</v>
      </c>
      <c r="X58">
        <v>112.7</v>
      </c>
      <c r="Y58">
        <v>113.1</v>
      </c>
      <c r="Z58">
        <v>112.1</v>
      </c>
      <c r="AA58">
        <v>116.8</v>
      </c>
      <c r="AB58">
        <v>109.2</v>
      </c>
      <c r="AC58">
        <v>113.3</v>
      </c>
      <c r="AD58">
        <v>119.2</v>
      </c>
    </row>
    <row r="59" spans="1:30" x14ac:dyDescent="0.3">
      <c r="A59" t="s">
        <v>30</v>
      </c>
      <c r="B59">
        <v>2014</v>
      </c>
      <c r="C59" t="s">
        <v>41</v>
      </c>
      <c r="D59">
        <v>121.8</v>
      </c>
      <c r="E59">
        <v>122.8</v>
      </c>
      <c r="F59">
        <v>117.8</v>
      </c>
      <c r="G59">
        <v>121.9</v>
      </c>
      <c r="H59">
        <v>110.6</v>
      </c>
      <c r="I59">
        <v>129.69999999999999</v>
      </c>
      <c r="J59">
        <v>161.1</v>
      </c>
      <c r="K59">
        <v>114.1</v>
      </c>
      <c r="L59">
        <v>105.1</v>
      </c>
      <c r="M59">
        <v>114.6</v>
      </c>
      <c r="N59">
        <v>115.8</v>
      </c>
      <c r="O59">
        <v>121.7</v>
      </c>
      <c r="P59">
        <v>125.3</v>
      </c>
      <c r="Q59">
        <v>118.8</v>
      </c>
      <c r="R59">
        <v>120.9</v>
      </c>
      <c r="S59">
        <v>118.8</v>
      </c>
      <c r="T59">
        <v>120.7</v>
      </c>
      <c r="U59" t="s">
        <v>32</v>
      </c>
      <c r="V59">
        <v>115.4</v>
      </c>
      <c r="W59">
        <v>115.9</v>
      </c>
      <c r="X59">
        <v>114</v>
      </c>
      <c r="Y59">
        <v>113.2</v>
      </c>
      <c r="Z59">
        <v>112.2</v>
      </c>
      <c r="AA59">
        <v>116.2</v>
      </c>
      <c r="AB59">
        <v>109.4</v>
      </c>
      <c r="AC59">
        <v>113.5</v>
      </c>
      <c r="AD59">
        <v>120.7</v>
      </c>
    </row>
    <row r="60" spans="1:30" x14ac:dyDescent="0.3">
      <c r="A60" t="s">
        <v>33</v>
      </c>
      <c r="B60">
        <v>2014</v>
      </c>
      <c r="C60" t="s">
        <v>41</v>
      </c>
      <c r="D60">
        <v>124.8</v>
      </c>
      <c r="E60">
        <v>127.3</v>
      </c>
      <c r="F60">
        <v>116.5</v>
      </c>
      <c r="G60">
        <v>122.2</v>
      </c>
      <c r="H60">
        <v>103.6</v>
      </c>
      <c r="I60">
        <v>132.69999999999999</v>
      </c>
      <c r="J60">
        <v>181.9</v>
      </c>
      <c r="K60">
        <v>115.2</v>
      </c>
      <c r="L60">
        <v>102.7</v>
      </c>
      <c r="M60">
        <v>122.1</v>
      </c>
      <c r="N60">
        <v>114.4</v>
      </c>
      <c r="O60">
        <v>124.7</v>
      </c>
      <c r="P60">
        <v>128.9</v>
      </c>
      <c r="Q60">
        <v>123</v>
      </c>
      <c r="R60">
        <v>118.6</v>
      </c>
      <c r="S60">
        <v>114.1</v>
      </c>
      <c r="T60">
        <v>117.9</v>
      </c>
      <c r="U60">
        <v>115.5</v>
      </c>
      <c r="V60">
        <v>111.8</v>
      </c>
      <c r="W60">
        <v>115.3</v>
      </c>
      <c r="X60">
        <v>112.2</v>
      </c>
      <c r="Y60">
        <v>112.5</v>
      </c>
      <c r="Z60">
        <v>112.9</v>
      </c>
      <c r="AA60">
        <v>119.2</v>
      </c>
      <c r="AB60">
        <v>110.5</v>
      </c>
      <c r="AC60">
        <v>113.9</v>
      </c>
      <c r="AD60">
        <v>119.9</v>
      </c>
    </row>
    <row r="61" spans="1:30" x14ac:dyDescent="0.3">
      <c r="A61" t="s">
        <v>34</v>
      </c>
      <c r="B61">
        <v>2014</v>
      </c>
      <c r="C61" t="s">
        <v>41</v>
      </c>
      <c r="D61">
        <v>122.7</v>
      </c>
      <c r="E61">
        <v>124.4</v>
      </c>
      <c r="F61">
        <v>117.3</v>
      </c>
      <c r="G61">
        <v>122</v>
      </c>
      <c r="H61">
        <v>108</v>
      </c>
      <c r="I61">
        <v>131.1</v>
      </c>
      <c r="J61">
        <v>168.2</v>
      </c>
      <c r="K61">
        <v>114.5</v>
      </c>
      <c r="L61">
        <v>104.3</v>
      </c>
      <c r="M61">
        <v>117.1</v>
      </c>
      <c r="N61">
        <v>115.2</v>
      </c>
      <c r="O61">
        <v>123.1</v>
      </c>
      <c r="P61">
        <v>126.6</v>
      </c>
      <c r="Q61">
        <v>119.9</v>
      </c>
      <c r="R61">
        <v>120</v>
      </c>
      <c r="S61">
        <v>116.8</v>
      </c>
      <c r="T61">
        <v>119.6</v>
      </c>
      <c r="U61">
        <v>115.5</v>
      </c>
      <c r="V61">
        <v>114</v>
      </c>
      <c r="W61">
        <v>115.6</v>
      </c>
      <c r="X61">
        <v>113.3</v>
      </c>
      <c r="Y61">
        <v>112.8</v>
      </c>
      <c r="Z61">
        <v>112.6</v>
      </c>
      <c r="AA61">
        <v>118</v>
      </c>
      <c r="AB61">
        <v>109.9</v>
      </c>
      <c r="AC61">
        <v>113.7</v>
      </c>
      <c r="AD61">
        <v>120.3</v>
      </c>
    </row>
    <row r="62" spans="1:30" x14ac:dyDescent="0.3">
      <c r="A62" t="s">
        <v>30</v>
      </c>
      <c r="B62">
        <v>2014</v>
      </c>
      <c r="C62" t="s">
        <v>42</v>
      </c>
      <c r="D62">
        <v>122.3</v>
      </c>
      <c r="E62">
        <v>122.4</v>
      </c>
      <c r="F62">
        <v>117.8</v>
      </c>
      <c r="G62">
        <v>122.7</v>
      </c>
      <c r="H62">
        <v>110.4</v>
      </c>
      <c r="I62">
        <v>129.80000000000001</v>
      </c>
      <c r="J62">
        <v>158.80000000000001</v>
      </c>
      <c r="K62">
        <v>115</v>
      </c>
      <c r="L62">
        <v>104.7</v>
      </c>
      <c r="M62">
        <v>114.9</v>
      </c>
      <c r="N62">
        <v>116.5</v>
      </c>
      <c r="O62">
        <v>122.6</v>
      </c>
      <c r="P62">
        <v>125.3</v>
      </c>
      <c r="Q62">
        <v>119.5</v>
      </c>
      <c r="R62">
        <v>121.7</v>
      </c>
      <c r="S62">
        <v>119.2</v>
      </c>
      <c r="T62">
        <v>121.3</v>
      </c>
      <c r="U62" t="s">
        <v>32</v>
      </c>
      <c r="V62">
        <v>115.8</v>
      </c>
      <c r="W62">
        <v>116.7</v>
      </c>
      <c r="X62">
        <v>114.5</v>
      </c>
      <c r="Y62">
        <v>112.8</v>
      </c>
      <c r="Z62">
        <v>112.6</v>
      </c>
      <c r="AA62">
        <v>116.6</v>
      </c>
      <c r="AB62">
        <v>109.1</v>
      </c>
      <c r="AC62">
        <v>113.7</v>
      </c>
      <c r="AD62">
        <v>120.9</v>
      </c>
    </row>
    <row r="63" spans="1:30" x14ac:dyDescent="0.3">
      <c r="A63" t="s">
        <v>33</v>
      </c>
      <c r="B63">
        <v>2014</v>
      </c>
      <c r="C63" t="s">
        <v>42</v>
      </c>
      <c r="D63">
        <v>124.2</v>
      </c>
      <c r="E63">
        <v>125.4</v>
      </c>
      <c r="F63">
        <v>116.4</v>
      </c>
      <c r="G63">
        <v>122.7</v>
      </c>
      <c r="H63">
        <v>103.5</v>
      </c>
      <c r="I63">
        <v>124.5</v>
      </c>
      <c r="J63">
        <v>168.6</v>
      </c>
      <c r="K63">
        <v>116.9</v>
      </c>
      <c r="L63">
        <v>101.9</v>
      </c>
      <c r="M63">
        <v>122.9</v>
      </c>
      <c r="N63">
        <v>114.8</v>
      </c>
      <c r="O63">
        <v>125.2</v>
      </c>
      <c r="P63">
        <v>126.7</v>
      </c>
      <c r="Q63">
        <v>124.3</v>
      </c>
      <c r="R63">
        <v>119.2</v>
      </c>
      <c r="S63">
        <v>114.5</v>
      </c>
      <c r="T63">
        <v>118.4</v>
      </c>
      <c r="U63">
        <v>116.1</v>
      </c>
      <c r="V63">
        <v>111.8</v>
      </c>
      <c r="W63">
        <v>115.5</v>
      </c>
      <c r="X63">
        <v>112.3</v>
      </c>
      <c r="Y63">
        <v>111.2</v>
      </c>
      <c r="Z63">
        <v>113.4</v>
      </c>
      <c r="AA63">
        <v>120</v>
      </c>
      <c r="AB63">
        <v>110</v>
      </c>
      <c r="AC63">
        <v>113.6</v>
      </c>
      <c r="AD63">
        <v>119.2</v>
      </c>
    </row>
    <row r="64" spans="1:30" x14ac:dyDescent="0.3">
      <c r="A64" t="s">
        <v>34</v>
      </c>
      <c r="B64">
        <v>2014</v>
      </c>
      <c r="C64" t="s">
        <v>42</v>
      </c>
      <c r="D64">
        <v>122.9</v>
      </c>
      <c r="E64">
        <v>123.5</v>
      </c>
      <c r="F64">
        <v>117.3</v>
      </c>
      <c r="G64">
        <v>122.7</v>
      </c>
      <c r="H64">
        <v>107.9</v>
      </c>
      <c r="I64">
        <v>127.3</v>
      </c>
      <c r="J64">
        <v>162.1</v>
      </c>
      <c r="K64">
        <v>115.6</v>
      </c>
      <c r="L64">
        <v>103.8</v>
      </c>
      <c r="M64">
        <v>117.6</v>
      </c>
      <c r="N64">
        <v>115.8</v>
      </c>
      <c r="O64">
        <v>123.8</v>
      </c>
      <c r="P64">
        <v>125.8</v>
      </c>
      <c r="Q64">
        <v>120.8</v>
      </c>
      <c r="R64">
        <v>120.7</v>
      </c>
      <c r="S64">
        <v>117.2</v>
      </c>
      <c r="T64">
        <v>120.1</v>
      </c>
      <c r="U64">
        <v>116.1</v>
      </c>
      <c r="V64">
        <v>114.3</v>
      </c>
      <c r="W64">
        <v>116.1</v>
      </c>
      <c r="X64">
        <v>113.7</v>
      </c>
      <c r="Y64">
        <v>112</v>
      </c>
      <c r="Z64">
        <v>113.1</v>
      </c>
      <c r="AA64">
        <v>118.6</v>
      </c>
      <c r="AB64">
        <v>109.5</v>
      </c>
      <c r="AC64">
        <v>113.7</v>
      </c>
      <c r="AD64">
        <v>120.1</v>
      </c>
    </row>
    <row r="65" spans="1:30" x14ac:dyDescent="0.3">
      <c r="A65" t="s">
        <v>30</v>
      </c>
      <c r="B65">
        <v>2014</v>
      </c>
      <c r="C65" t="s">
        <v>43</v>
      </c>
      <c r="D65">
        <v>122.6</v>
      </c>
      <c r="E65">
        <v>122.5</v>
      </c>
      <c r="F65">
        <v>118.3</v>
      </c>
      <c r="G65">
        <v>123.2</v>
      </c>
      <c r="H65">
        <v>110.5</v>
      </c>
      <c r="I65">
        <v>128.9</v>
      </c>
      <c r="J65">
        <v>155.30000000000001</v>
      </c>
      <c r="K65">
        <v>115.5</v>
      </c>
      <c r="L65">
        <v>104</v>
      </c>
      <c r="M65">
        <v>115.3</v>
      </c>
      <c r="N65">
        <v>116.8</v>
      </c>
      <c r="O65">
        <v>123.2</v>
      </c>
      <c r="P65">
        <v>125.1</v>
      </c>
      <c r="Q65">
        <v>120</v>
      </c>
      <c r="R65">
        <v>122.7</v>
      </c>
      <c r="S65">
        <v>120.3</v>
      </c>
      <c r="T65">
        <v>122.3</v>
      </c>
      <c r="U65" t="s">
        <v>32</v>
      </c>
      <c r="V65">
        <v>116.4</v>
      </c>
      <c r="W65">
        <v>117.5</v>
      </c>
      <c r="X65">
        <v>115.3</v>
      </c>
      <c r="Y65">
        <v>112.6</v>
      </c>
      <c r="Z65">
        <v>113</v>
      </c>
      <c r="AA65">
        <v>116.9</v>
      </c>
      <c r="AB65">
        <v>109.3</v>
      </c>
      <c r="AC65">
        <v>114</v>
      </c>
      <c r="AD65">
        <v>121</v>
      </c>
    </row>
    <row r="66" spans="1:30" x14ac:dyDescent="0.3">
      <c r="A66" t="s">
        <v>33</v>
      </c>
      <c r="B66">
        <v>2014</v>
      </c>
      <c r="C66" t="s">
        <v>43</v>
      </c>
      <c r="D66">
        <v>124.6</v>
      </c>
      <c r="E66">
        <v>126.1</v>
      </c>
      <c r="F66">
        <v>117.8</v>
      </c>
      <c r="G66">
        <v>123.1</v>
      </c>
      <c r="H66">
        <v>103.5</v>
      </c>
      <c r="I66">
        <v>123.5</v>
      </c>
      <c r="J66">
        <v>159.6</v>
      </c>
      <c r="K66">
        <v>117.4</v>
      </c>
      <c r="L66">
        <v>101.2</v>
      </c>
      <c r="M66">
        <v>123.8</v>
      </c>
      <c r="N66">
        <v>115.2</v>
      </c>
      <c r="O66">
        <v>125.9</v>
      </c>
      <c r="P66">
        <v>125.8</v>
      </c>
      <c r="Q66">
        <v>124.3</v>
      </c>
      <c r="R66">
        <v>119.6</v>
      </c>
      <c r="S66">
        <v>114.9</v>
      </c>
      <c r="T66">
        <v>118.9</v>
      </c>
      <c r="U66">
        <v>116.7</v>
      </c>
      <c r="V66">
        <v>112</v>
      </c>
      <c r="W66">
        <v>115.8</v>
      </c>
      <c r="X66">
        <v>112.6</v>
      </c>
      <c r="Y66">
        <v>111</v>
      </c>
      <c r="Z66">
        <v>113.6</v>
      </c>
      <c r="AA66">
        <v>120.2</v>
      </c>
      <c r="AB66">
        <v>110.1</v>
      </c>
      <c r="AC66">
        <v>113.7</v>
      </c>
      <c r="AD66">
        <v>119.1</v>
      </c>
    </row>
    <row r="67" spans="1:30" x14ac:dyDescent="0.3">
      <c r="A67" t="s">
        <v>34</v>
      </c>
      <c r="B67">
        <v>2014</v>
      </c>
      <c r="C67" t="s">
        <v>43</v>
      </c>
      <c r="D67">
        <v>123.2</v>
      </c>
      <c r="E67">
        <v>123.8</v>
      </c>
      <c r="F67">
        <v>118.1</v>
      </c>
      <c r="G67">
        <v>123.2</v>
      </c>
      <c r="H67">
        <v>107.9</v>
      </c>
      <c r="I67">
        <v>126.4</v>
      </c>
      <c r="J67">
        <v>156.80000000000001</v>
      </c>
      <c r="K67">
        <v>116.1</v>
      </c>
      <c r="L67">
        <v>103.1</v>
      </c>
      <c r="M67">
        <v>118.1</v>
      </c>
      <c r="N67">
        <v>116.1</v>
      </c>
      <c r="O67">
        <v>124.5</v>
      </c>
      <c r="P67">
        <v>125.4</v>
      </c>
      <c r="Q67">
        <v>121.1</v>
      </c>
      <c r="R67">
        <v>121.5</v>
      </c>
      <c r="S67">
        <v>118.1</v>
      </c>
      <c r="T67">
        <v>121</v>
      </c>
      <c r="U67">
        <v>116.7</v>
      </c>
      <c r="V67">
        <v>114.7</v>
      </c>
      <c r="W67">
        <v>116.7</v>
      </c>
      <c r="X67">
        <v>114.3</v>
      </c>
      <c r="Y67">
        <v>111.8</v>
      </c>
      <c r="Z67">
        <v>113.3</v>
      </c>
      <c r="AA67">
        <v>118.8</v>
      </c>
      <c r="AB67">
        <v>109.6</v>
      </c>
      <c r="AC67">
        <v>113.9</v>
      </c>
      <c r="AD67">
        <v>120.1</v>
      </c>
    </row>
    <row r="68" spans="1:30" x14ac:dyDescent="0.3">
      <c r="A68" t="s">
        <v>30</v>
      </c>
      <c r="B68">
        <v>2014</v>
      </c>
      <c r="C68" t="s">
        <v>45</v>
      </c>
      <c r="D68">
        <v>122.7</v>
      </c>
      <c r="E68">
        <v>122.6</v>
      </c>
      <c r="F68">
        <v>119.9</v>
      </c>
      <c r="G68">
        <v>124</v>
      </c>
      <c r="H68">
        <v>110.5</v>
      </c>
      <c r="I68">
        <v>128.80000000000001</v>
      </c>
      <c r="J68">
        <v>152</v>
      </c>
      <c r="K68">
        <v>116.2</v>
      </c>
      <c r="L68">
        <v>103.3</v>
      </c>
      <c r="M68">
        <v>115.8</v>
      </c>
      <c r="N68">
        <v>116.8</v>
      </c>
      <c r="O68">
        <v>124.5</v>
      </c>
      <c r="P68">
        <v>124.9</v>
      </c>
      <c r="Q68">
        <v>120.8</v>
      </c>
      <c r="R68">
        <v>123.3</v>
      </c>
      <c r="S68">
        <v>120.5</v>
      </c>
      <c r="T68">
        <v>122.9</v>
      </c>
      <c r="U68" t="s">
        <v>32</v>
      </c>
      <c r="V68">
        <v>117.3</v>
      </c>
      <c r="W68">
        <v>118.1</v>
      </c>
      <c r="X68">
        <v>115.9</v>
      </c>
      <c r="Y68">
        <v>112</v>
      </c>
      <c r="Z68">
        <v>113.3</v>
      </c>
      <c r="AA68">
        <v>117.2</v>
      </c>
      <c r="AB68">
        <v>108.8</v>
      </c>
      <c r="AC68">
        <v>114.1</v>
      </c>
      <c r="AD68">
        <v>121.1</v>
      </c>
    </row>
    <row r="69" spans="1:30" x14ac:dyDescent="0.3">
      <c r="A69" t="s">
        <v>33</v>
      </c>
      <c r="B69">
        <v>2014</v>
      </c>
      <c r="C69" t="s">
        <v>45</v>
      </c>
      <c r="D69">
        <v>124.5</v>
      </c>
      <c r="E69">
        <v>125.6</v>
      </c>
      <c r="F69">
        <v>122.7</v>
      </c>
      <c r="G69">
        <v>124.6</v>
      </c>
      <c r="H69">
        <v>103.2</v>
      </c>
      <c r="I69">
        <v>122.2</v>
      </c>
      <c r="J69">
        <v>153.19999999999999</v>
      </c>
      <c r="K69">
        <v>119.3</v>
      </c>
      <c r="L69">
        <v>99.8</v>
      </c>
      <c r="M69">
        <v>124.6</v>
      </c>
      <c r="N69">
        <v>115.8</v>
      </c>
      <c r="O69">
        <v>126.9</v>
      </c>
      <c r="P69">
        <v>125.4</v>
      </c>
      <c r="Q69">
        <v>125.8</v>
      </c>
      <c r="R69">
        <v>120.3</v>
      </c>
      <c r="S69">
        <v>115.4</v>
      </c>
      <c r="T69">
        <v>119.5</v>
      </c>
      <c r="U69">
        <v>117.1</v>
      </c>
      <c r="V69">
        <v>112.6</v>
      </c>
      <c r="W69">
        <v>116.4</v>
      </c>
      <c r="X69">
        <v>113</v>
      </c>
      <c r="Y69">
        <v>109.7</v>
      </c>
      <c r="Z69">
        <v>114</v>
      </c>
      <c r="AA69">
        <v>120.3</v>
      </c>
      <c r="AB69">
        <v>109.6</v>
      </c>
      <c r="AC69">
        <v>113.4</v>
      </c>
      <c r="AD69">
        <v>119</v>
      </c>
    </row>
    <row r="70" spans="1:30" x14ac:dyDescent="0.3">
      <c r="A70" t="s">
        <v>34</v>
      </c>
      <c r="B70">
        <v>2014</v>
      </c>
      <c r="C70" t="s">
        <v>45</v>
      </c>
      <c r="D70">
        <v>123.3</v>
      </c>
      <c r="E70">
        <v>123.7</v>
      </c>
      <c r="F70">
        <v>121</v>
      </c>
      <c r="G70">
        <v>124.2</v>
      </c>
      <c r="H70">
        <v>107.8</v>
      </c>
      <c r="I70">
        <v>125.7</v>
      </c>
      <c r="J70">
        <v>152.4</v>
      </c>
      <c r="K70">
        <v>117.2</v>
      </c>
      <c r="L70">
        <v>102.1</v>
      </c>
      <c r="M70">
        <v>118.7</v>
      </c>
      <c r="N70">
        <v>116.4</v>
      </c>
      <c r="O70">
        <v>125.6</v>
      </c>
      <c r="P70">
        <v>125.1</v>
      </c>
      <c r="Q70">
        <v>122.1</v>
      </c>
      <c r="R70">
        <v>122.1</v>
      </c>
      <c r="S70">
        <v>118.4</v>
      </c>
      <c r="T70">
        <v>121.6</v>
      </c>
      <c r="U70">
        <v>117.1</v>
      </c>
      <c r="V70">
        <v>115.5</v>
      </c>
      <c r="W70">
        <v>117.3</v>
      </c>
      <c r="X70">
        <v>114.8</v>
      </c>
      <c r="Y70">
        <v>110.8</v>
      </c>
      <c r="Z70">
        <v>113.7</v>
      </c>
      <c r="AA70">
        <v>119</v>
      </c>
      <c r="AB70">
        <v>109.1</v>
      </c>
      <c r="AC70">
        <v>113.8</v>
      </c>
      <c r="AD70">
        <v>120.1</v>
      </c>
    </row>
    <row r="71" spans="1:30" x14ac:dyDescent="0.3">
      <c r="A71" t="s">
        <v>30</v>
      </c>
      <c r="B71">
        <v>2014</v>
      </c>
      <c r="C71" t="s">
        <v>46</v>
      </c>
      <c r="D71">
        <v>122.4</v>
      </c>
      <c r="E71">
        <v>122.4</v>
      </c>
      <c r="F71">
        <v>121.8</v>
      </c>
      <c r="G71">
        <v>124.2</v>
      </c>
      <c r="H71">
        <v>110.2</v>
      </c>
      <c r="I71">
        <v>128.6</v>
      </c>
      <c r="J71">
        <v>140.30000000000001</v>
      </c>
      <c r="K71">
        <v>116.3</v>
      </c>
      <c r="L71">
        <v>102</v>
      </c>
      <c r="M71">
        <v>116</v>
      </c>
      <c r="N71">
        <v>117.3</v>
      </c>
      <c r="O71">
        <v>124.8</v>
      </c>
      <c r="P71">
        <v>123.3</v>
      </c>
      <c r="Q71">
        <v>121.7</v>
      </c>
      <c r="R71">
        <v>123.8</v>
      </c>
      <c r="S71">
        <v>120.6</v>
      </c>
      <c r="T71">
        <v>123.3</v>
      </c>
      <c r="U71" t="s">
        <v>32</v>
      </c>
      <c r="V71">
        <v>117.4</v>
      </c>
      <c r="W71">
        <v>118.2</v>
      </c>
      <c r="X71">
        <v>116.2</v>
      </c>
      <c r="Y71">
        <v>111.5</v>
      </c>
      <c r="Z71">
        <v>113.3</v>
      </c>
      <c r="AA71">
        <v>117.7</v>
      </c>
      <c r="AB71">
        <v>109.4</v>
      </c>
      <c r="AC71">
        <v>114.2</v>
      </c>
      <c r="AD71">
        <v>120.3</v>
      </c>
    </row>
    <row r="72" spans="1:30" x14ac:dyDescent="0.3">
      <c r="A72" t="s">
        <v>33</v>
      </c>
      <c r="B72">
        <v>2014</v>
      </c>
      <c r="C72" t="s">
        <v>46</v>
      </c>
      <c r="D72">
        <v>124</v>
      </c>
      <c r="E72">
        <v>124.7</v>
      </c>
      <c r="F72">
        <v>126.3</v>
      </c>
      <c r="G72">
        <v>124.9</v>
      </c>
      <c r="H72">
        <v>103</v>
      </c>
      <c r="I72">
        <v>122.3</v>
      </c>
      <c r="J72">
        <v>141</v>
      </c>
      <c r="K72">
        <v>120.1</v>
      </c>
      <c r="L72">
        <v>97.8</v>
      </c>
      <c r="M72">
        <v>125.4</v>
      </c>
      <c r="N72">
        <v>116.1</v>
      </c>
      <c r="O72">
        <v>127.6</v>
      </c>
      <c r="P72">
        <v>124</v>
      </c>
      <c r="Q72">
        <v>126.4</v>
      </c>
      <c r="R72">
        <v>120.7</v>
      </c>
      <c r="S72">
        <v>115.8</v>
      </c>
      <c r="T72">
        <v>120</v>
      </c>
      <c r="U72">
        <v>116.5</v>
      </c>
      <c r="V72">
        <v>113</v>
      </c>
      <c r="W72">
        <v>116.8</v>
      </c>
      <c r="X72">
        <v>113.2</v>
      </c>
      <c r="Y72">
        <v>108.8</v>
      </c>
      <c r="Z72">
        <v>114.3</v>
      </c>
      <c r="AA72">
        <v>120.7</v>
      </c>
      <c r="AB72">
        <v>110.4</v>
      </c>
      <c r="AC72">
        <v>113.4</v>
      </c>
      <c r="AD72">
        <v>118.4</v>
      </c>
    </row>
    <row r="73" spans="1:30" x14ac:dyDescent="0.3">
      <c r="A73" t="s">
        <v>34</v>
      </c>
      <c r="B73">
        <v>2014</v>
      </c>
      <c r="C73" t="s">
        <v>46</v>
      </c>
      <c r="D73">
        <v>122.9</v>
      </c>
      <c r="E73">
        <v>123.2</v>
      </c>
      <c r="F73">
        <v>123.5</v>
      </c>
      <c r="G73">
        <v>124.5</v>
      </c>
      <c r="H73">
        <v>107.6</v>
      </c>
      <c r="I73">
        <v>125.7</v>
      </c>
      <c r="J73">
        <v>140.5</v>
      </c>
      <c r="K73">
        <v>117.6</v>
      </c>
      <c r="L73">
        <v>100.6</v>
      </c>
      <c r="M73">
        <v>119.1</v>
      </c>
      <c r="N73">
        <v>116.8</v>
      </c>
      <c r="O73">
        <v>126.1</v>
      </c>
      <c r="P73">
        <v>123.6</v>
      </c>
      <c r="Q73">
        <v>123</v>
      </c>
      <c r="R73">
        <v>122.6</v>
      </c>
      <c r="S73">
        <v>118.6</v>
      </c>
      <c r="T73">
        <v>122</v>
      </c>
      <c r="U73">
        <v>116.5</v>
      </c>
      <c r="V73">
        <v>115.7</v>
      </c>
      <c r="W73">
        <v>117.5</v>
      </c>
      <c r="X73">
        <v>115.1</v>
      </c>
      <c r="Y73">
        <v>110.1</v>
      </c>
      <c r="Z73">
        <v>113.9</v>
      </c>
      <c r="AA73">
        <v>119.5</v>
      </c>
      <c r="AB73">
        <v>109.8</v>
      </c>
      <c r="AC73">
        <v>113.8</v>
      </c>
      <c r="AD73">
        <v>119.4</v>
      </c>
    </row>
    <row r="74" spans="1:30" x14ac:dyDescent="0.3">
      <c r="A74" t="s">
        <v>30</v>
      </c>
      <c r="B74">
        <v>2015</v>
      </c>
      <c r="C74" t="s">
        <v>31</v>
      </c>
      <c r="D74">
        <v>123.1</v>
      </c>
      <c r="E74">
        <v>123.1</v>
      </c>
      <c r="F74">
        <v>122.1</v>
      </c>
      <c r="G74">
        <v>124.9</v>
      </c>
      <c r="H74">
        <v>111</v>
      </c>
      <c r="I74">
        <v>130.4</v>
      </c>
      <c r="J74">
        <v>132.30000000000001</v>
      </c>
      <c r="K74">
        <v>117.2</v>
      </c>
      <c r="L74">
        <v>100.5</v>
      </c>
      <c r="M74">
        <v>117.2</v>
      </c>
      <c r="N74">
        <v>117.9</v>
      </c>
      <c r="O74">
        <v>125.6</v>
      </c>
      <c r="P74">
        <v>122.8</v>
      </c>
      <c r="Q74">
        <v>122.7</v>
      </c>
      <c r="R74">
        <v>124.4</v>
      </c>
      <c r="S74">
        <v>121.6</v>
      </c>
      <c r="T74">
        <v>124</v>
      </c>
      <c r="U74" t="s">
        <v>32</v>
      </c>
      <c r="V74">
        <v>118.4</v>
      </c>
      <c r="W74">
        <v>118.9</v>
      </c>
      <c r="X74">
        <v>116.6</v>
      </c>
      <c r="Y74">
        <v>111</v>
      </c>
      <c r="Z74">
        <v>114</v>
      </c>
      <c r="AA74">
        <v>118.2</v>
      </c>
      <c r="AB74">
        <v>110.2</v>
      </c>
      <c r="AC74">
        <v>114.5</v>
      </c>
      <c r="AD74">
        <v>120.3</v>
      </c>
    </row>
    <row r="75" spans="1:30" x14ac:dyDescent="0.3">
      <c r="A75" t="s">
        <v>33</v>
      </c>
      <c r="B75">
        <v>2015</v>
      </c>
      <c r="C75" t="s">
        <v>31</v>
      </c>
      <c r="D75">
        <v>124</v>
      </c>
      <c r="E75">
        <v>125.5</v>
      </c>
      <c r="F75">
        <v>126.6</v>
      </c>
      <c r="G75">
        <v>125.2</v>
      </c>
      <c r="H75">
        <v>104.3</v>
      </c>
      <c r="I75">
        <v>121.3</v>
      </c>
      <c r="J75">
        <v>134.4</v>
      </c>
      <c r="K75">
        <v>122.9</v>
      </c>
      <c r="L75">
        <v>96.1</v>
      </c>
      <c r="M75">
        <v>126.6</v>
      </c>
      <c r="N75">
        <v>116.5</v>
      </c>
      <c r="O75">
        <v>128</v>
      </c>
      <c r="P75">
        <v>123.5</v>
      </c>
      <c r="Q75">
        <v>127.4</v>
      </c>
      <c r="R75">
        <v>121</v>
      </c>
      <c r="S75">
        <v>116.1</v>
      </c>
      <c r="T75">
        <v>120.2</v>
      </c>
      <c r="U75">
        <v>117.3</v>
      </c>
      <c r="V75">
        <v>113.4</v>
      </c>
      <c r="W75">
        <v>117.2</v>
      </c>
      <c r="X75">
        <v>113.7</v>
      </c>
      <c r="Y75">
        <v>107.9</v>
      </c>
      <c r="Z75">
        <v>114.6</v>
      </c>
      <c r="AA75">
        <v>120.8</v>
      </c>
      <c r="AB75">
        <v>111.4</v>
      </c>
      <c r="AC75">
        <v>113.4</v>
      </c>
      <c r="AD75">
        <v>118.5</v>
      </c>
    </row>
    <row r="76" spans="1:30" x14ac:dyDescent="0.3">
      <c r="A76" t="s">
        <v>34</v>
      </c>
      <c r="B76">
        <v>2015</v>
      </c>
      <c r="C76" t="s">
        <v>31</v>
      </c>
      <c r="D76">
        <v>123.4</v>
      </c>
      <c r="E76">
        <v>123.9</v>
      </c>
      <c r="F76">
        <v>123.8</v>
      </c>
      <c r="G76">
        <v>125</v>
      </c>
      <c r="H76">
        <v>108.5</v>
      </c>
      <c r="I76">
        <v>126.2</v>
      </c>
      <c r="J76">
        <v>133</v>
      </c>
      <c r="K76">
        <v>119.1</v>
      </c>
      <c r="L76">
        <v>99</v>
      </c>
      <c r="M76">
        <v>120.3</v>
      </c>
      <c r="N76">
        <v>117.3</v>
      </c>
      <c r="O76">
        <v>126.7</v>
      </c>
      <c r="P76">
        <v>123.1</v>
      </c>
      <c r="Q76">
        <v>124</v>
      </c>
      <c r="R76">
        <v>123.1</v>
      </c>
      <c r="S76">
        <v>119.3</v>
      </c>
      <c r="T76">
        <v>122.5</v>
      </c>
      <c r="U76">
        <v>117.3</v>
      </c>
      <c r="V76">
        <v>116.5</v>
      </c>
      <c r="W76">
        <v>118.1</v>
      </c>
      <c r="X76">
        <v>115.5</v>
      </c>
      <c r="Y76">
        <v>109.4</v>
      </c>
      <c r="Z76">
        <v>114.3</v>
      </c>
      <c r="AA76">
        <v>119.7</v>
      </c>
      <c r="AB76">
        <v>110.7</v>
      </c>
      <c r="AC76">
        <v>114</v>
      </c>
      <c r="AD76">
        <v>119.5</v>
      </c>
    </row>
    <row r="77" spans="1:30" x14ac:dyDescent="0.3">
      <c r="A77" t="s">
        <v>30</v>
      </c>
      <c r="B77">
        <v>2015</v>
      </c>
      <c r="C77" t="s">
        <v>35</v>
      </c>
      <c r="D77">
        <v>123.4</v>
      </c>
      <c r="E77">
        <v>124.4</v>
      </c>
      <c r="F77">
        <v>122.1</v>
      </c>
      <c r="G77">
        <v>125.8</v>
      </c>
      <c r="H77">
        <v>111.5</v>
      </c>
      <c r="I77">
        <v>129.4</v>
      </c>
      <c r="J77">
        <v>128.19999999999999</v>
      </c>
      <c r="K77">
        <v>118.8</v>
      </c>
      <c r="L77">
        <v>100</v>
      </c>
      <c r="M77">
        <v>118.6</v>
      </c>
      <c r="N77">
        <v>118.8</v>
      </c>
      <c r="O77">
        <v>126.8</v>
      </c>
      <c r="P77">
        <v>122.8</v>
      </c>
      <c r="Q77">
        <v>124.2</v>
      </c>
      <c r="R77">
        <v>125.4</v>
      </c>
      <c r="S77">
        <v>122.7</v>
      </c>
      <c r="T77">
        <v>125</v>
      </c>
      <c r="U77" t="s">
        <v>32</v>
      </c>
      <c r="V77">
        <v>120</v>
      </c>
      <c r="W77">
        <v>119.6</v>
      </c>
      <c r="X77">
        <v>117.7</v>
      </c>
      <c r="Y77">
        <v>110.9</v>
      </c>
      <c r="Z77">
        <v>114.8</v>
      </c>
      <c r="AA77">
        <v>118.7</v>
      </c>
      <c r="AB77">
        <v>110.8</v>
      </c>
      <c r="AC77">
        <v>115</v>
      </c>
      <c r="AD77">
        <v>120.6</v>
      </c>
    </row>
    <row r="78" spans="1:30" x14ac:dyDescent="0.3">
      <c r="A78" t="s">
        <v>33</v>
      </c>
      <c r="B78">
        <v>2015</v>
      </c>
      <c r="C78" t="s">
        <v>35</v>
      </c>
      <c r="D78">
        <v>124.3</v>
      </c>
      <c r="E78">
        <v>126.5</v>
      </c>
      <c r="F78">
        <v>119.5</v>
      </c>
      <c r="G78">
        <v>125.6</v>
      </c>
      <c r="H78">
        <v>104.9</v>
      </c>
      <c r="I78">
        <v>121.6</v>
      </c>
      <c r="J78">
        <v>131.80000000000001</v>
      </c>
      <c r="K78">
        <v>125.1</v>
      </c>
      <c r="L78">
        <v>95</v>
      </c>
      <c r="M78">
        <v>127.7</v>
      </c>
      <c r="N78">
        <v>116.8</v>
      </c>
      <c r="O78">
        <v>128.6</v>
      </c>
      <c r="P78">
        <v>123.7</v>
      </c>
      <c r="Q78">
        <v>128.1</v>
      </c>
      <c r="R78">
        <v>121.3</v>
      </c>
      <c r="S78">
        <v>116.5</v>
      </c>
      <c r="T78">
        <v>120.6</v>
      </c>
      <c r="U78">
        <v>118.1</v>
      </c>
      <c r="V78">
        <v>114</v>
      </c>
      <c r="W78">
        <v>117.7</v>
      </c>
      <c r="X78">
        <v>114.1</v>
      </c>
      <c r="Y78">
        <v>106.8</v>
      </c>
      <c r="Z78">
        <v>114.9</v>
      </c>
      <c r="AA78">
        <v>120.4</v>
      </c>
      <c r="AB78">
        <v>111.7</v>
      </c>
      <c r="AC78">
        <v>113.2</v>
      </c>
      <c r="AD78">
        <v>118.7</v>
      </c>
    </row>
    <row r="79" spans="1:30" x14ac:dyDescent="0.3">
      <c r="A79" t="s">
        <v>34</v>
      </c>
      <c r="B79">
        <v>2015</v>
      </c>
      <c r="C79" t="s">
        <v>35</v>
      </c>
      <c r="D79">
        <v>123.7</v>
      </c>
      <c r="E79">
        <v>125.1</v>
      </c>
      <c r="F79">
        <v>121.1</v>
      </c>
      <c r="G79">
        <v>125.7</v>
      </c>
      <c r="H79">
        <v>109.1</v>
      </c>
      <c r="I79">
        <v>125.8</v>
      </c>
      <c r="J79">
        <v>129.4</v>
      </c>
      <c r="K79">
        <v>120.9</v>
      </c>
      <c r="L79">
        <v>98.3</v>
      </c>
      <c r="M79">
        <v>121.6</v>
      </c>
      <c r="N79">
        <v>118</v>
      </c>
      <c r="O79">
        <v>127.6</v>
      </c>
      <c r="P79">
        <v>123.1</v>
      </c>
      <c r="Q79">
        <v>125.2</v>
      </c>
      <c r="R79">
        <v>123.8</v>
      </c>
      <c r="S79">
        <v>120.1</v>
      </c>
      <c r="T79">
        <v>123.3</v>
      </c>
      <c r="U79">
        <v>118.1</v>
      </c>
      <c r="V79">
        <v>117.7</v>
      </c>
      <c r="W79">
        <v>118.7</v>
      </c>
      <c r="X79">
        <v>116.3</v>
      </c>
      <c r="Y79">
        <v>108.7</v>
      </c>
      <c r="Z79">
        <v>114.9</v>
      </c>
      <c r="AA79">
        <v>119.7</v>
      </c>
      <c r="AB79">
        <v>111.2</v>
      </c>
      <c r="AC79">
        <v>114.1</v>
      </c>
      <c r="AD79">
        <v>119.7</v>
      </c>
    </row>
    <row r="80" spans="1:30" x14ac:dyDescent="0.3">
      <c r="A80" t="s">
        <v>30</v>
      </c>
      <c r="B80">
        <v>2015</v>
      </c>
      <c r="C80" t="s">
        <v>36</v>
      </c>
      <c r="D80">
        <v>123.3</v>
      </c>
      <c r="E80">
        <v>124.7</v>
      </c>
      <c r="F80">
        <v>118.9</v>
      </c>
      <c r="G80">
        <v>126</v>
      </c>
      <c r="H80">
        <v>111.8</v>
      </c>
      <c r="I80">
        <v>130.9</v>
      </c>
      <c r="J80">
        <v>128</v>
      </c>
      <c r="K80">
        <v>119.9</v>
      </c>
      <c r="L80">
        <v>98.9</v>
      </c>
      <c r="M80">
        <v>119.4</v>
      </c>
      <c r="N80">
        <v>118.9</v>
      </c>
      <c r="O80">
        <v>127.7</v>
      </c>
      <c r="P80">
        <v>123.1</v>
      </c>
      <c r="Q80">
        <v>124.7</v>
      </c>
      <c r="R80">
        <v>126</v>
      </c>
      <c r="S80">
        <v>122.9</v>
      </c>
      <c r="T80">
        <v>125.5</v>
      </c>
      <c r="U80" t="s">
        <v>32</v>
      </c>
      <c r="V80">
        <v>120.6</v>
      </c>
      <c r="W80">
        <v>120.2</v>
      </c>
      <c r="X80">
        <v>118.2</v>
      </c>
      <c r="Y80">
        <v>111.6</v>
      </c>
      <c r="Z80">
        <v>115.5</v>
      </c>
      <c r="AA80">
        <v>119.4</v>
      </c>
      <c r="AB80">
        <v>110.8</v>
      </c>
      <c r="AC80">
        <v>115.5</v>
      </c>
      <c r="AD80">
        <v>121.1</v>
      </c>
    </row>
    <row r="81" spans="1:30" x14ac:dyDescent="0.3">
      <c r="A81" t="s">
        <v>33</v>
      </c>
      <c r="B81">
        <v>2015</v>
      </c>
      <c r="C81" t="s">
        <v>36</v>
      </c>
      <c r="D81">
        <v>124</v>
      </c>
      <c r="E81">
        <v>126.7</v>
      </c>
      <c r="F81">
        <v>113.5</v>
      </c>
      <c r="G81">
        <v>125.9</v>
      </c>
      <c r="H81">
        <v>104.8</v>
      </c>
      <c r="I81">
        <v>123.8</v>
      </c>
      <c r="J81">
        <v>131.4</v>
      </c>
      <c r="K81">
        <v>127.2</v>
      </c>
      <c r="L81">
        <v>93.2</v>
      </c>
      <c r="M81">
        <v>127.4</v>
      </c>
      <c r="N81">
        <v>117</v>
      </c>
      <c r="O81">
        <v>129.19999999999999</v>
      </c>
      <c r="P81">
        <v>123.9</v>
      </c>
      <c r="Q81">
        <v>128.80000000000001</v>
      </c>
      <c r="R81">
        <v>121.7</v>
      </c>
      <c r="S81">
        <v>116.9</v>
      </c>
      <c r="T81">
        <v>120.9</v>
      </c>
      <c r="U81">
        <v>118.6</v>
      </c>
      <c r="V81">
        <v>114.4</v>
      </c>
      <c r="W81">
        <v>118</v>
      </c>
      <c r="X81">
        <v>114.3</v>
      </c>
      <c r="Y81">
        <v>108.4</v>
      </c>
      <c r="Z81">
        <v>115.4</v>
      </c>
      <c r="AA81">
        <v>120.6</v>
      </c>
      <c r="AB81">
        <v>111.3</v>
      </c>
      <c r="AC81">
        <v>113.8</v>
      </c>
      <c r="AD81">
        <v>119.1</v>
      </c>
    </row>
    <row r="82" spans="1:30" x14ac:dyDescent="0.3">
      <c r="A82" t="s">
        <v>34</v>
      </c>
      <c r="B82">
        <v>2015</v>
      </c>
      <c r="C82" t="s">
        <v>36</v>
      </c>
      <c r="D82">
        <v>123.5</v>
      </c>
      <c r="E82">
        <v>125.4</v>
      </c>
      <c r="F82">
        <v>116.8</v>
      </c>
      <c r="G82">
        <v>126</v>
      </c>
      <c r="H82">
        <v>109.2</v>
      </c>
      <c r="I82">
        <v>127.6</v>
      </c>
      <c r="J82">
        <v>129.19999999999999</v>
      </c>
      <c r="K82">
        <v>122.4</v>
      </c>
      <c r="L82">
        <v>97</v>
      </c>
      <c r="M82">
        <v>122.1</v>
      </c>
      <c r="N82">
        <v>118.1</v>
      </c>
      <c r="O82">
        <v>128.4</v>
      </c>
      <c r="P82">
        <v>123.4</v>
      </c>
      <c r="Q82">
        <v>125.8</v>
      </c>
      <c r="R82">
        <v>124.3</v>
      </c>
      <c r="S82">
        <v>120.4</v>
      </c>
      <c r="T82">
        <v>123.7</v>
      </c>
      <c r="U82">
        <v>118.6</v>
      </c>
      <c r="V82">
        <v>118.3</v>
      </c>
      <c r="W82">
        <v>119.2</v>
      </c>
      <c r="X82">
        <v>116.7</v>
      </c>
      <c r="Y82">
        <v>109.9</v>
      </c>
      <c r="Z82">
        <v>115.4</v>
      </c>
      <c r="AA82">
        <v>120.1</v>
      </c>
      <c r="AB82">
        <v>111</v>
      </c>
      <c r="AC82">
        <v>114.7</v>
      </c>
      <c r="AD82">
        <v>120.2</v>
      </c>
    </row>
    <row r="83" spans="1:30" x14ac:dyDescent="0.3">
      <c r="A83" t="s">
        <v>30</v>
      </c>
      <c r="B83">
        <v>2015</v>
      </c>
      <c r="C83" t="s">
        <v>37</v>
      </c>
      <c r="D83">
        <v>123.3</v>
      </c>
      <c r="E83">
        <v>125.5</v>
      </c>
      <c r="F83">
        <v>117.2</v>
      </c>
      <c r="G83">
        <v>126.8</v>
      </c>
      <c r="H83">
        <v>111.9</v>
      </c>
      <c r="I83">
        <v>134.19999999999999</v>
      </c>
      <c r="J83">
        <v>127.5</v>
      </c>
      <c r="K83">
        <v>121.5</v>
      </c>
      <c r="L83">
        <v>97.8</v>
      </c>
      <c r="M83">
        <v>119.8</v>
      </c>
      <c r="N83">
        <v>119.4</v>
      </c>
      <c r="O83">
        <v>128.69999999999999</v>
      </c>
      <c r="P83">
        <v>123.6</v>
      </c>
      <c r="Q83">
        <v>125.7</v>
      </c>
      <c r="R83">
        <v>126.4</v>
      </c>
      <c r="S83">
        <v>123.3</v>
      </c>
      <c r="T83">
        <v>126</v>
      </c>
      <c r="U83" t="s">
        <v>32</v>
      </c>
      <c r="V83">
        <v>121.2</v>
      </c>
      <c r="W83">
        <v>120.9</v>
      </c>
      <c r="X83">
        <v>118.6</v>
      </c>
      <c r="Y83">
        <v>111.9</v>
      </c>
      <c r="Z83">
        <v>116.2</v>
      </c>
      <c r="AA83">
        <v>119.9</v>
      </c>
      <c r="AB83">
        <v>111.6</v>
      </c>
      <c r="AC83">
        <v>116</v>
      </c>
      <c r="AD83">
        <v>121.5</v>
      </c>
    </row>
    <row r="84" spans="1:30" x14ac:dyDescent="0.3">
      <c r="A84" t="s">
        <v>33</v>
      </c>
      <c r="B84">
        <v>2015</v>
      </c>
      <c r="C84" t="s">
        <v>37</v>
      </c>
      <c r="D84">
        <v>123.8</v>
      </c>
      <c r="E84">
        <v>128.19999999999999</v>
      </c>
      <c r="F84">
        <v>110</v>
      </c>
      <c r="G84">
        <v>126.3</v>
      </c>
      <c r="H84">
        <v>104.5</v>
      </c>
      <c r="I84">
        <v>130.6</v>
      </c>
      <c r="J84">
        <v>130.80000000000001</v>
      </c>
      <c r="K84">
        <v>131.30000000000001</v>
      </c>
      <c r="L84">
        <v>91.6</v>
      </c>
      <c r="M84">
        <v>127.7</v>
      </c>
      <c r="N84">
        <v>117.2</v>
      </c>
      <c r="O84">
        <v>129.5</v>
      </c>
      <c r="P84">
        <v>124.6</v>
      </c>
      <c r="Q84">
        <v>130.1</v>
      </c>
      <c r="R84">
        <v>122.1</v>
      </c>
      <c r="S84">
        <v>117.2</v>
      </c>
      <c r="T84">
        <v>121.3</v>
      </c>
      <c r="U84">
        <v>119.2</v>
      </c>
      <c r="V84">
        <v>114.7</v>
      </c>
      <c r="W84">
        <v>118.4</v>
      </c>
      <c r="X84">
        <v>114.6</v>
      </c>
      <c r="Y84">
        <v>108.4</v>
      </c>
      <c r="Z84">
        <v>115.6</v>
      </c>
      <c r="AA84">
        <v>121.7</v>
      </c>
      <c r="AB84">
        <v>111.8</v>
      </c>
      <c r="AC84">
        <v>114.2</v>
      </c>
      <c r="AD84">
        <v>119.7</v>
      </c>
    </row>
    <row r="85" spans="1:30" x14ac:dyDescent="0.3">
      <c r="A85" t="s">
        <v>34</v>
      </c>
      <c r="B85">
        <v>2015</v>
      </c>
      <c r="C85" t="s">
        <v>37</v>
      </c>
      <c r="D85">
        <v>123.5</v>
      </c>
      <c r="E85">
        <v>126.4</v>
      </c>
      <c r="F85">
        <v>114.4</v>
      </c>
      <c r="G85">
        <v>126.6</v>
      </c>
      <c r="H85">
        <v>109.2</v>
      </c>
      <c r="I85">
        <v>132.5</v>
      </c>
      <c r="J85">
        <v>128.6</v>
      </c>
      <c r="K85">
        <v>124.8</v>
      </c>
      <c r="L85">
        <v>95.7</v>
      </c>
      <c r="M85">
        <v>122.4</v>
      </c>
      <c r="N85">
        <v>118.5</v>
      </c>
      <c r="O85">
        <v>129.1</v>
      </c>
      <c r="P85">
        <v>124</v>
      </c>
      <c r="Q85">
        <v>126.9</v>
      </c>
      <c r="R85">
        <v>124.7</v>
      </c>
      <c r="S85">
        <v>120.8</v>
      </c>
      <c r="T85">
        <v>124.1</v>
      </c>
      <c r="U85">
        <v>119.2</v>
      </c>
      <c r="V85">
        <v>118.7</v>
      </c>
      <c r="W85">
        <v>119.7</v>
      </c>
      <c r="X85">
        <v>117.1</v>
      </c>
      <c r="Y85">
        <v>110.1</v>
      </c>
      <c r="Z85">
        <v>115.9</v>
      </c>
      <c r="AA85">
        <v>121</v>
      </c>
      <c r="AB85">
        <v>111.7</v>
      </c>
      <c r="AC85">
        <v>115.1</v>
      </c>
      <c r="AD85">
        <v>120.7</v>
      </c>
    </row>
    <row r="86" spans="1:30" x14ac:dyDescent="0.3">
      <c r="A86" t="s">
        <v>30</v>
      </c>
      <c r="B86">
        <v>2015</v>
      </c>
      <c r="C86" t="s">
        <v>38</v>
      </c>
      <c r="D86">
        <v>123.5</v>
      </c>
      <c r="E86">
        <v>127.1</v>
      </c>
      <c r="F86">
        <v>117.3</v>
      </c>
      <c r="G86">
        <v>127.7</v>
      </c>
      <c r="H86">
        <v>112.5</v>
      </c>
      <c r="I86">
        <v>134.1</v>
      </c>
      <c r="J86">
        <v>128.5</v>
      </c>
      <c r="K86">
        <v>124.3</v>
      </c>
      <c r="L86">
        <v>97.6</v>
      </c>
      <c r="M86">
        <v>120.7</v>
      </c>
      <c r="N86">
        <v>120.2</v>
      </c>
      <c r="O86">
        <v>129.80000000000001</v>
      </c>
      <c r="P86">
        <v>124.4</v>
      </c>
      <c r="Q86">
        <v>126.7</v>
      </c>
      <c r="R86">
        <v>127.3</v>
      </c>
      <c r="S86">
        <v>124.1</v>
      </c>
      <c r="T86">
        <v>126.8</v>
      </c>
      <c r="U86" t="s">
        <v>32</v>
      </c>
      <c r="V86">
        <v>121.9</v>
      </c>
      <c r="W86">
        <v>121.5</v>
      </c>
      <c r="X86">
        <v>119.4</v>
      </c>
      <c r="Y86">
        <v>113.3</v>
      </c>
      <c r="Z86">
        <v>116.7</v>
      </c>
      <c r="AA86">
        <v>120.5</v>
      </c>
      <c r="AB86">
        <v>112.3</v>
      </c>
      <c r="AC86">
        <v>116.9</v>
      </c>
      <c r="AD86">
        <v>122.4</v>
      </c>
    </row>
    <row r="87" spans="1:30" x14ac:dyDescent="0.3">
      <c r="A87" t="s">
        <v>33</v>
      </c>
      <c r="B87">
        <v>2015</v>
      </c>
      <c r="C87" t="s">
        <v>38</v>
      </c>
      <c r="D87">
        <v>123.8</v>
      </c>
      <c r="E87">
        <v>129.69999999999999</v>
      </c>
      <c r="F87">
        <v>111.3</v>
      </c>
      <c r="G87">
        <v>126.6</v>
      </c>
      <c r="H87">
        <v>105.2</v>
      </c>
      <c r="I87">
        <v>130.80000000000001</v>
      </c>
      <c r="J87">
        <v>135.6</v>
      </c>
      <c r="K87">
        <v>142.6</v>
      </c>
      <c r="L87">
        <v>90.8</v>
      </c>
      <c r="M87">
        <v>128.80000000000001</v>
      </c>
      <c r="N87">
        <v>117.7</v>
      </c>
      <c r="O87">
        <v>129.9</v>
      </c>
      <c r="P87">
        <v>126.1</v>
      </c>
      <c r="Q87">
        <v>131.30000000000001</v>
      </c>
      <c r="R87">
        <v>122.4</v>
      </c>
      <c r="S87">
        <v>117.4</v>
      </c>
      <c r="T87">
        <v>121.6</v>
      </c>
      <c r="U87">
        <v>119.6</v>
      </c>
      <c r="V87">
        <v>114.9</v>
      </c>
      <c r="W87">
        <v>118.7</v>
      </c>
      <c r="X87">
        <v>114.9</v>
      </c>
      <c r="Y87">
        <v>110.8</v>
      </c>
      <c r="Z87">
        <v>116</v>
      </c>
      <c r="AA87">
        <v>122</v>
      </c>
      <c r="AB87">
        <v>112.4</v>
      </c>
      <c r="AC87">
        <v>115.2</v>
      </c>
      <c r="AD87">
        <v>120.7</v>
      </c>
    </row>
    <row r="88" spans="1:30" x14ac:dyDescent="0.3">
      <c r="A88" t="s">
        <v>34</v>
      </c>
      <c r="B88">
        <v>2015</v>
      </c>
      <c r="C88" t="s">
        <v>38</v>
      </c>
      <c r="D88">
        <v>123.6</v>
      </c>
      <c r="E88">
        <v>128</v>
      </c>
      <c r="F88">
        <v>115</v>
      </c>
      <c r="G88">
        <v>127.3</v>
      </c>
      <c r="H88">
        <v>109.8</v>
      </c>
      <c r="I88">
        <v>132.6</v>
      </c>
      <c r="J88">
        <v>130.9</v>
      </c>
      <c r="K88">
        <v>130.5</v>
      </c>
      <c r="L88">
        <v>95.3</v>
      </c>
      <c r="M88">
        <v>123.4</v>
      </c>
      <c r="N88">
        <v>119.2</v>
      </c>
      <c r="O88">
        <v>129.80000000000001</v>
      </c>
      <c r="P88">
        <v>125</v>
      </c>
      <c r="Q88">
        <v>127.9</v>
      </c>
      <c r="R88">
        <v>125.4</v>
      </c>
      <c r="S88">
        <v>121.3</v>
      </c>
      <c r="T88">
        <v>124.7</v>
      </c>
      <c r="U88">
        <v>119.6</v>
      </c>
      <c r="V88">
        <v>119.2</v>
      </c>
      <c r="W88">
        <v>120.2</v>
      </c>
      <c r="X88">
        <v>117.7</v>
      </c>
      <c r="Y88">
        <v>112</v>
      </c>
      <c r="Z88">
        <v>116.3</v>
      </c>
      <c r="AA88">
        <v>121.4</v>
      </c>
      <c r="AB88">
        <v>112.3</v>
      </c>
      <c r="AC88">
        <v>116.1</v>
      </c>
      <c r="AD88">
        <v>121.6</v>
      </c>
    </row>
    <row r="89" spans="1:30" x14ac:dyDescent="0.3">
      <c r="A89" t="s">
        <v>30</v>
      </c>
      <c r="B89">
        <v>2015</v>
      </c>
      <c r="C89" t="s">
        <v>39</v>
      </c>
      <c r="D89">
        <v>124.1</v>
      </c>
      <c r="E89">
        <v>130.4</v>
      </c>
      <c r="F89">
        <v>122.1</v>
      </c>
      <c r="G89">
        <v>128.69999999999999</v>
      </c>
      <c r="H89">
        <v>114.1</v>
      </c>
      <c r="I89">
        <v>133.19999999999999</v>
      </c>
      <c r="J89">
        <v>135.19999999999999</v>
      </c>
      <c r="K89">
        <v>131.9</v>
      </c>
      <c r="L89">
        <v>96.3</v>
      </c>
      <c r="M89">
        <v>123</v>
      </c>
      <c r="N89">
        <v>121.1</v>
      </c>
      <c r="O89">
        <v>131.19999999999999</v>
      </c>
      <c r="P89">
        <v>126.6</v>
      </c>
      <c r="Q89">
        <v>128.19999999999999</v>
      </c>
      <c r="R89">
        <v>128.4</v>
      </c>
      <c r="S89">
        <v>125.1</v>
      </c>
      <c r="T89">
        <v>128</v>
      </c>
      <c r="U89" t="s">
        <v>32</v>
      </c>
      <c r="V89">
        <v>122.6</v>
      </c>
      <c r="W89">
        <v>122.8</v>
      </c>
      <c r="X89">
        <v>120.4</v>
      </c>
      <c r="Y89">
        <v>114.2</v>
      </c>
      <c r="Z89">
        <v>117.9</v>
      </c>
      <c r="AA89">
        <v>122</v>
      </c>
      <c r="AB89">
        <v>113</v>
      </c>
      <c r="AC89">
        <v>117.9</v>
      </c>
      <c r="AD89">
        <v>124.1</v>
      </c>
    </row>
    <row r="90" spans="1:30" x14ac:dyDescent="0.3">
      <c r="A90" t="s">
        <v>33</v>
      </c>
      <c r="B90">
        <v>2015</v>
      </c>
      <c r="C90" t="s">
        <v>39</v>
      </c>
      <c r="D90">
        <v>123.6</v>
      </c>
      <c r="E90">
        <v>134.4</v>
      </c>
      <c r="F90">
        <v>120.9</v>
      </c>
      <c r="G90">
        <v>127.3</v>
      </c>
      <c r="H90">
        <v>106</v>
      </c>
      <c r="I90">
        <v>132.30000000000001</v>
      </c>
      <c r="J90">
        <v>146.69999999999999</v>
      </c>
      <c r="K90">
        <v>148.1</v>
      </c>
      <c r="L90">
        <v>89.8</v>
      </c>
      <c r="M90">
        <v>130.5</v>
      </c>
      <c r="N90">
        <v>118</v>
      </c>
      <c r="O90">
        <v>130.5</v>
      </c>
      <c r="P90">
        <v>128.5</v>
      </c>
      <c r="Q90">
        <v>132.1</v>
      </c>
      <c r="R90">
        <v>123.2</v>
      </c>
      <c r="S90">
        <v>117.6</v>
      </c>
      <c r="T90">
        <v>122.3</v>
      </c>
      <c r="U90">
        <v>119</v>
      </c>
      <c r="V90">
        <v>115.1</v>
      </c>
      <c r="W90">
        <v>119.2</v>
      </c>
      <c r="X90">
        <v>115.4</v>
      </c>
      <c r="Y90">
        <v>111.7</v>
      </c>
      <c r="Z90">
        <v>116.2</v>
      </c>
      <c r="AA90">
        <v>123.8</v>
      </c>
      <c r="AB90">
        <v>112.5</v>
      </c>
      <c r="AC90">
        <v>116</v>
      </c>
      <c r="AD90">
        <v>121.7</v>
      </c>
    </row>
    <row r="91" spans="1:30" x14ac:dyDescent="0.3">
      <c r="A91" t="s">
        <v>34</v>
      </c>
      <c r="B91">
        <v>2015</v>
      </c>
      <c r="C91" t="s">
        <v>39</v>
      </c>
      <c r="D91">
        <v>123.9</v>
      </c>
      <c r="E91">
        <v>131.80000000000001</v>
      </c>
      <c r="F91">
        <v>121.6</v>
      </c>
      <c r="G91">
        <v>128.19999999999999</v>
      </c>
      <c r="H91">
        <v>111.1</v>
      </c>
      <c r="I91">
        <v>132.80000000000001</v>
      </c>
      <c r="J91">
        <v>139.1</v>
      </c>
      <c r="K91">
        <v>137.4</v>
      </c>
      <c r="L91">
        <v>94.1</v>
      </c>
      <c r="M91">
        <v>125.5</v>
      </c>
      <c r="N91">
        <v>119.8</v>
      </c>
      <c r="O91">
        <v>130.9</v>
      </c>
      <c r="P91">
        <v>127.3</v>
      </c>
      <c r="Q91">
        <v>129.19999999999999</v>
      </c>
      <c r="R91">
        <v>126.4</v>
      </c>
      <c r="S91">
        <v>122</v>
      </c>
      <c r="T91">
        <v>125.7</v>
      </c>
      <c r="U91">
        <v>119</v>
      </c>
      <c r="V91">
        <v>119.8</v>
      </c>
      <c r="W91">
        <v>121.1</v>
      </c>
      <c r="X91">
        <v>118.5</v>
      </c>
      <c r="Y91">
        <v>112.9</v>
      </c>
      <c r="Z91">
        <v>116.9</v>
      </c>
      <c r="AA91">
        <v>123.1</v>
      </c>
      <c r="AB91">
        <v>112.8</v>
      </c>
      <c r="AC91">
        <v>117</v>
      </c>
      <c r="AD91">
        <v>123</v>
      </c>
    </row>
    <row r="92" spans="1:30" x14ac:dyDescent="0.3">
      <c r="A92" t="s">
        <v>30</v>
      </c>
      <c r="B92">
        <v>2015</v>
      </c>
      <c r="C92" t="s">
        <v>40</v>
      </c>
      <c r="D92">
        <v>124</v>
      </c>
      <c r="E92">
        <v>131.5</v>
      </c>
      <c r="F92">
        <v>122</v>
      </c>
      <c r="G92">
        <v>128.69999999999999</v>
      </c>
      <c r="H92">
        <v>113.5</v>
      </c>
      <c r="I92">
        <v>133.30000000000001</v>
      </c>
      <c r="J92">
        <v>140.80000000000001</v>
      </c>
      <c r="K92">
        <v>133.80000000000001</v>
      </c>
      <c r="L92">
        <v>94.1</v>
      </c>
      <c r="M92">
        <v>123.4</v>
      </c>
      <c r="N92">
        <v>121</v>
      </c>
      <c r="O92">
        <v>131.69999999999999</v>
      </c>
      <c r="P92">
        <v>127.5</v>
      </c>
      <c r="Q92">
        <v>129.4</v>
      </c>
      <c r="R92">
        <v>128.80000000000001</v>
      </c>
      <c r="S92">
        <v>125.5</v>
      </c>
      <c r="T92">
        <v>128.30000000000001</v>
      </c>
      <c r="U92" t="s">
        <v>32</v>
      </c>
      <c r="V92">
        <v>123</v>
      </c>
      <c r="W92">
        <v>123</v>
      </c>
      <c r="X92">
        <v>120.8</v>
      </c>
      <c r="Y92">
        <v>114.1</v>
      </c>
      <c r="Z92">
        <v>118</v>
      </c>
      <c r="AA92">
        <v>122.9</v>
      </c>
      <c r="AB92">
        <v>112.7</v>
      </c>
      <c r="AC92">
        <v>118.1</v>
      </c>
      <c r="AD92">
        <v>124.7</v>
      </c>
    </row>
    <row r="93" spans="1:30" x14ac:dyDescent="0.3">
      <c r="A93" t="s">
        <v>33</v>
      </c>
      <c r="B93">
        <v>2015</v>
      </c>
      <c r="C93" t="s">
        <v>40</v>
      </c>
      <c r="D93">
        <v>123.2</v>
      </c>
      <c r="E93">
        <v>134.30000000000001</v>
      </c>
      <c r="F93">
        <v>119.5</v>
      </c>
      <c r="G93">
        <v>127.7</v>
      </c>
      <c r="H93">
        <v>106.3</v>
      </c>
      <c r="I93">
        <v>132.80000000000001</v>
      </c>
      <c r="J93">
        <v>153.5</v>
      </c>
      <c r="K93">
        <v>149.5</v>
      </c>
      <c r="L93">
        <v>85.7</v>
      </c>
      <c r="M93">
        <v>131.5</v>
      </c>
      <c r="N93">
        <v>118.3</v>
      </c>
      <c r="O93">
        <v>131.1</v>
      </c>
      <c r="P93">
        <v>129.5</v>
      </c>
      <c r="Q93">
        <v>133.1</v>
      </c>
      <c r="R93">
        <v>123.5</v>
      </c>
      <c r="S93">
        <v>117.9</v>
      </c>
      <c r="T93">
        <v>122.7</v>
      </c>
      <c r="U93">
        <v>119.9</v>
      </c>
      <c r="V93">
        <v>115.3</v>
      </c>
      <c r="W93">
        <v>119.5</v>
      </c>
      <c r="X93">
        <v>116</v>
      </c>
      <c r="Y93">
        <v>111.5</v>
      </c>
      <c r="Z93">
        <v>116.6</v>
      </c>
      <c r="AA93">
        <v>125.4</v>
      </c>
      <c r="AB93">
        <v>111.7</v>
      </c>
      <c r="AC93">
        <v>116.3</v>
      </c>
      <c r="AD93">
        <v>122.4</v>
      </c>
    </row>
    <row r="94" spans="1:30" x14ac:dyDescent="0.3">
      <c r="A94" t="s">
        <v>34</v>
      </c>
      <c r="B94">
        <v>2015</v>
      </c>
      <c r="C94" t="s">
        <v>40</v>
      </c>
      <c r="D94">
        <v>123.7</v>
      </c>
      <c r="E94">
        <v>132.5</v>
      </c>
      <c r="F94">
        <v>121</v>
      </c>
      <c r="G94">
        <v>128.30000000000001</v>
      </c>
      <c r="H94">
        <v>110.9</v>
      </c>
      <c r="I94">
        <v>133.1</v>
      </c>
      <c r="J94">
        <v>145.1</v>
      </c>
      <c r="K94">
        <v>139.1</v>
      </c>
      <c r="L94">
        <v>91.3</v>
      </c>
      <c r="M94">
        <v>126.1</v>
      </c>
      <c r="N94">
        <v>119.9</v>
      </c>
      <c r="O94">
        <v>131.4</v>
      </c>
      <c r="P94">
        <v>128.19999999999999</v>
      </c>
      <c r="Q94">
        <v>130.4</v>
      </c>
      <c r="R94">
        <v>126.7</v>
      </c>
      <c r="S94">
        <v>122.3</v>
      </c>
      <c r="T94">
        <v>126.1</v>
      </c>
      <c r="U94">
        <v>119.9</v>
      </c>
      <c r="V94">
        <v>120.1</v>
      </c>
      <c r="W94">
        <v>121.3</v>
      </c>
      <c r="X94">
        <v>119</v>
      </c>
      <c r="Y94">
        <v>112.7</v>
      </c>
      <c r="Z94">
        <v>117.2</v>
      </c>
      <c r="AA94">
        <v>124.4</v>
      </c>
      <c r="AB94">
        <v>112.3</v>
      </c>
      <c r="AC94">
        <v>117.2</v>
      </c>
      <c r="AD94">
        <v>123.6</v>
      </c>
    </row>
    <row r="95" spans="1:30" x14ac:dyDescent="0.3">
      <c r="A95" t="s">
        <v>30</v>
      </c>
      <c r="B95">
        <v>2015</v>
      </c>
      <c r="C95" t="s">
        <v>41</v>
      </c>
      <c r="D95">
        <v>124.7</v>
      </c>
      <c r="E95">
        <v>131.30000000000001</v>
      </c>
      <c r="F95">
        <v>121.3</v>
      </c>
      <c r="G95">
        <v>128.80000000000001</v>
      </c>
      <c r="H95">
        <v>114</v>
      </c>
      <c r="I95">
        <v>134.19999999999999</v>
      </c>
      <c r="J95">
        <v>153.6</v>
      </c>
      <c r="K95">
        <v>137.9</v>
      </c>
      <c r="L95">
        <v>93.1</v>
      </c>
      <c r="M95">
        <v>123.9</v>
      </c>
      <c r="N95">
        <v>121.5</v>
      </c>
      <c r="O95">
        <v>132.5</v>
      </c>
      <c r="P95">
        <v>129.80000000000001</v>
      </c>
      <c r="Q95">
        <v>130.1</v>
      </c>
      <c r="R95">
        <v>129.5</v>
      </c>
      <c r="S95">
        <v>126.3</v>
      </c>
      <c r="T95">
        <v>129</v>
      </c>
      <c r="U95" t="s">
        <v>32</v>
      </c>
      <c r="V95">
        <v>123.8</v>
      </c>
      <c r="W95">
        <v>123.7</v>
      </c>
      <c r="X95">
        <v>121.1</v>
      </c>
      <c r="Y95">
        <v>113.6</v>
      </c>
      <c r="Z95">
        <v>118.5</v>
      </c>
      <c r="AA95">
        <v>123.6</v>
      </c>
      <c r="AB95">
        <v>112.5</v>
      </c>
      <c r="AC95">
        <v>118.2</v>
      </c>
      <c r="AD95">
        <v>126.1</v>
      </c>
    </row>
    <row r="96" spans="1:30" x14ac:dyDescent="0.3">
      <c r="A96" t="s">
        <v>33</v>
      </c>
      <c r="B96">
        <v>2015</v>
      </c>
      <c r="C96" t="s">
        <v>41</v>
      </c>
      <c r="D96">
        <v>123.1</v>
      </c>
      <c r="E96">
        <v>131.69999999999999</v>
      </c>
      <c r="F96">
        <v>118.1</v>
      </c>
      <c r="G96">
        <v>128</v>
      </c>
      <c r="H96">
        <v>106.8</v>
      </c>
      <c r="I96">
        <v>130.1</v>
      </c>
      <c r="J96">
        <v>165.5</v>
      </c>
      <c r="K96">
        <v>156</v>
      </c>
      <c r="L96">
        <v>85.3</v>
      </c>
      <c r="M96">
        <v>132.69999999999999</v>
      </c>
      <c r="N96">
        <v>118.8</v>
      </c>
      <c r="O96">
        <v>131.69999999999999</v>
      </c>
      <c r="P96">
        <v>131.1</v>
      </c>
      <c r="Q96">
        <v>134.19999999999999</v>
      </c>
      <c r="R96">
        <v>123.7</v>
      </c>
      <c r="S96">
        <v>118.2</v>
      </c>
      <c r="T96">
        <v>122.9</v>
      </c>
      <c r="U96">
        <v>120.9</v>
      </c>
      <c r="V96">
        <v>115.3</v>
      </c>
      <c r="W96">
        <v>120</v>
      </c>
      <c r="X96">
        <v>116.6</v>
      </c>
      <c r="Y96">
        <v>109.9</v>
      </c>
      <c r="Z96">
        <v>117.2</v>
      </c>
      <c r="AA96">
        <v>126.2</v>
      </c>
      <c r="AB96">
        <v>112</v>
      </c>
      <c r="AC96">
        <v>116.2</v>
      </c>
      <c r="AD96">
        <v>123.2</v>
      </c>
    </row>
    <row r="97" spans="1:30" x14ac:dyDescent="0.3">
      <c r="A97" t="s">
        <v>34</v>
      </c>
      <c r="B97">
        <v>2015</v>
      </c>
      <c r="C97" t="s">
        <v>41</v>
      </c>
      <c r="D97">
        <v>124.2</v>
      </c>
      <c r="E97">
        <v>131.4</v>
      </c>
      <c r="F97">
        <v>120.1</v>
      </c>
      <c r="G97">
        <v>128.5</v>
      </c>
      <c r="H97">
        <v>111.4</v>
      </c>
      <c r="I97">
        <v>132.30000000000001</v>
      </c>
      <c r="J97">
        <v>157.6</v>
      </c>
      <c r="K97">
        <v>144</v>
      </c>
      <c r="L97">
        <v>90.5</v>
      </c>
      <c r="M97">
        <v>126.8</v>
      </c>
      <c r="N97">
        <v>120.4</v>
      </c>
      <c r="O97">
        <v>132.1</v>
      </c>
      <c r="P97">
        <v>130.30000000000001</v>
      </c>
      <c r="Q97">
        <v>131.19999999999999</v>
      </c>
      <c r="R97">
        <v>127.2</v>
      </c>
      <c r="S97">
        <v>122.9</v>
      </c>
      <c r="T97">
        <v>126.6</v>
      </c>
      <c r="U97">
        <v>120.9</v>
      </c>
      <c r="V97">
        <v>120.6</v>
      </c>
      <c r="W97">
        <v>122</v>
      </c>
      <c r="X97">
        <v>119.4</v>
      </c>
      <c r="Y97">
        <v>111.7</v>
      </c>
      <c r="Z97">
        <v>117.8</v>
      </c>
      <c r="AA97">
        <v>125.1</v>
      </c>
      <c r="AB97">
        <v>112.3</v>
      </c>
      <c r="AC97">
        <v>117.2</v>
      </c>
      <c r="AD97">
        <v>124.8</v>
      </c>
    </row>
    <row r="98" spans="1:30" x14ac:dyDescent="0.3">
      <c r="A98" t="s">
        <v>30</v>
      </c>
      <c r="B98">
        <v>2015</v>
      </c>
      <c r="C98" t="s">
        <v>42</v>
      </c>
      <c r="D98">
        <v>125.1</v>
      </c>
      <c r="E98">
        <v>131.1</v>
      </c>
      <c r="F98">
        <v>120.7</v>
      </c>
      <c r="G98">
        <v>129.19999999999999</v>
      </c>
      <c r="H98">
        <v>114.7</v>
      </c>
      <c r="I98">
        <v>132.30000000000001</v>
      </c>
      <c r="J98">
        <v>158.9</v>
      </c>
      <c r="K98">
        <v>142.1</v>
      </c>
      <c r="L98">
        <v>92.5</v>
      </c>
      <c r="M98">
        <v>125.4</v>
      </c>
      <c r="N98">
        <v>121.9</v>
      </c>
      <c r="O98">
        <v>132.69999999999999</v>
      </c>
      <c r="P98">
        <v>131</v>
      </c>
      <c r="Q98">
        <v>131</v>
      </c>
      <c r="R98">
        <v>130.4</v>
      </c>
      <c r="S98">
        <v>126.8</v>
      </c>
      <c r="T98">
        <v>129.9</v>
      </c>
      <c r="U98" t="s">
        <v>32</v>
      </c>
      <c r="V98">
        <v>123.7</v>
      </c>
      <c r="W98">
        <v>124.5</v>
      </c>
      <c r="X98">
        <v>121.4</v>
      </c>
      <c r="Y98">
        <v>113.8</v>
      </c>
      <c r="Z98">
        <v>119.6</v>
      </c>
      <c r="AA98">
        <v>124.5</v>
      </c>
      <c r="AB98">
        <v>113.7</v>
      </c>
      <c r="AC98">
        <v>118.8</v>
      </c>
      <c r="AD98">
        <v>127</v>
      </c>
    </row>
    <row r="99" spans="1:30" x14ac:dyDescent="0.3">
      <c r="A99" t="s">
        <v>33</v>
      </c>
      <c r="B99">
        <v>2015</v>
      </c>
      <c r="C99" t="s">
        <v>42</v>
      </c>
      <c r="D99">
        <v>123.4</v>
      </c>
      <c r="E99">
        <v>129</v>
      </c>
      <c r="F99">
        <v>115.6</v>
      </c>
      <c r="G99">
        <v>128.30000000000001</v>
      </c>
      <c r="H99">
        <v>107</v>
      </c>
      <c r="I99">
        <v>124</v>
      </c>
      <c r="J99">
        <v>168.5</v>
      </c>
      <c r="K99">
        <v>165.4</v>
      </c>
      <c r="L99">
        <v>86.3</v>
      </c>
      <c r="M99">
        <v>134.4</v>
      </c>
      <c r="N99">
        <v>119.1</v>
      </c>
      <c r="O99">
        <v>132.30000000000001</v>
      </c>
      <c r="P99">
        <v>131.5</v>
      </c>
      <c r="Q99">
        <v>134.69999999999999</v>
      </c>
      <c r="R99">
        <v>124</v>
      </c>
      <c r="S99">
        <v>118.6</v>
      </c>
      <c r="T99">
        <v>123.2</v>
      </c>
      <c r="U99">
        <v>121.6</v>
      </c>
      <c r="V99">
        <v>115.1</v>
      </c>
      <c r="W99">
        <v>120.4</v>
      </c>
      <c r="X99">
        <v>117.1</v>
      </c>
      <c r="Y99">
        <v>109.1</v>
      </c>
      <c r="Z99">
        <v>117.3</v>
      </c>
      <c r="AA99">
        <v>126.5</v>
      </c>
      <c r="AB99">
        <v>112.9</v>
      </c>
      <c r="AC99">
        <v>116.2</v>
      </c>
      <c r="AD99">
        <v>123.5</v>
      </c>
    </row>
    <row r="100" spans="1:30" x14ac:dyDescent="0.3">
      <c r="A100" t="s">
        <v>34</v>
      </c>
      <c r="B100">
        <v>2015</v>
      </c>
      <c r="C100" t="s">
        <v>42</v>
      </c>
      <c r="D100">
        <v>124.6</v>
      </c>
      <c r="E100">
        <v>130.4</v>
      </c>
      <c r="F100">
        <v>118.7</v>
      </c>
      <c r="G100">
        <v>128.9</v>
      </c>
      <c r="H100">
        <v>111.9</v>
      </c>
      <c r="I100">
        <v>128.4</v>
      </c>
      <c r="J100">
        <v>162.19999999999999</v>
      </c>
      <c r="K100">
        <v>150</v>
      </c>
      <c r="L100">
        <v>90.4</v>
      </c>
      <c r="M100">
        <v>128.4</v>
      </c>
      <c r="N100">
        <v>120.7</v>
      </c>
      <c r="O100">
        <v>132.5</v>
      </c>
      <c r="P100">
        <v>131.19999999999999</v>
      </c>
      <c r="Q100">
        <v>132</v>
      </c>
      <c r="R100">
        <v>127.9</v>
      </c>
      <c r="S100">
        <v>123.4</v>
      </c>
      <c r="T100">
        <v>127.2</v>
      </c>
      <c r="U100">
        <v>121.6</v>
      </c>
      <c r="V100">
        <v>120.4</v>
      </c>
      <c r="W100">
        <v>122.6</v>
      </c>
      <c r="X100">
        <v>119.8</v>
      </c>
      <c r="Y100">
        <v>111.3</v>
      </c>
      <c r="Z100">
        <v>118.3</v>
      </c>
      <c r="AA100">
        <v>125.7</v>
      </c>
      <c r="AB100">
        <v>113.4</v>
      </c>
      <c r="AC100">
        <v>117.5</v>
      </c>
      <c r="AD100">
        <v>125.4</v>
      </c>
    </row>
    <row r="101" spans="1:30" x14ac:dyDescent="0.3">
      <c r="A101" t="s">
        <v>30</v>
      </c>
      <c r="B101">
        <v>2015</v>
      </c>
      <c r="C101" t="s">
        <v>43</v>
      </c>
      <c r="D101">
        <v>125.6</v>
      </c>
      <c r="E101">
        <v>130.4</v>
      </c>
      <c r="F101">
        <v>120.8</v>
      </c>
      <c r="G101">
        <v>129.4</v>
      </c>
      <c r="H101">
        <v>115.8</v>
      </c>
      <c r="I101">
        <v>133.19999999999999</v>
      </c>
      <c r="J101">
        <v>157.69999999999999</v>
      </c>
      <c r="K101">
        <v>154.19999999999999</v>
      </c>
      <c r="L101">
        <v>93.7</v>
      </c>
      <c r="M101">
        <v>126.6</v>
      </c>
      <c r="N101">
        <v>122.3</v>
      </c>
      <c r="O101">
        <v>133.1</v>
      </c>
      <c r="P101">
        <v>131.80000000000001</v>
      </c>
      <c r="Q101">
        <v>131.5</v>
      </c>
      <c r="R101">
        <v>131.1</v>
      </c>
      <c r="S101">
        <v>127.3</v>
      </c>
      <c r="T101">
        <v>130.6</v>
      </c>
      <c r="U101" t="s">
        <v>32</v>
      </c>
      <c r="V101">
        <v>124.4</v>
      </c>
      <c r="W101">
        <v>125.1</v>
      </c>
      <c r="X101">
        <v>122</v>
      </c>
      <c r="Y101">
        <v>113.8</v>
      </c>
      <c r="Z101">
        <v>120.1</v>
      </c>
      <c r="AA101">
        <v>125.1</v>
      </c>
      <c r="AB101">
        <v>114.2</v>
      </c>
      <c r="AC101">
        <v>119.2</v>
      </c>
      <c r="AD101">
        <v>127.7</v>
      </c>
    </row>
    <row r="102" spans="1:30" x14ac:dyDescent="0.3">
      <c r="A102" t="s">
        <v>33</v>
      </c>
      <c r="B102">
        <v>2015</v>
      </c>
      <c r="C102" t="s">
        <v>43</v>
      </c>
      <c r="D102">
        <v>123.6</v>
      </c>
      <c r="E102">
        <v>128.6</v>
      </c>
      <c r="F102">
        <v>115.9</v>
      </c>
      <c r="G102">
        <v>128.5</v>
      </c>
      <c r="H102">
        <v>109</v>
      </c>
      <c r="I102">
        <v>124.1</v>
      </c>
      <c r="J102">
        <v>165.8</v>
      </c>
      <c r="K102">
        <v>187.2</v>
      </c>
      <c r="L102">
        <v>89.4</v>
      </c>
      <c r="M102">
        <v>135.80000000000001</v>
      </c>
      <c r="N102">
        <v>119.4</v>
      </c>
      <c r="O102">
        <v>132.9</v>
      </c>
      <c r="P102">
        <v>132.6</v>
      </c>
      <c r="Q102">
        <v>135.30000000000001</v>
      </c>
      <c r="R102">
        <v>124.4</v>
      </c>
      <c r="S102">
        <v>118.8</v>
      </c>
      <c r="T102">
        <v>123.6</v>
      </c>
      <c r="U102">
        <v>122.4</v>
      </c>
      <c r="V102">
        <v>114.9</v>
      </c>
      <c r="W102">
        <v>120.7</v>
      </c>
      <c r="X102">
        <v>117.7</v>
      </c>
      <c r="Y102">
        <v>109.3</v>
      </c>
      <c r="Z102">
        <v>117.7</v>
      </c>
      <c r="AA102">
        <v>126.5</v>
      </c>
      <c r="AB102">
        <v>113.5</v>
      </c>
      <c r="AC102">
        <v>116.5</v>
      </c>
      <c r="AD102">
        <v>124.2</v>
      </c>
    </row>
    <row r="103" spans="1:30" x14ac:dyDescent="0.3">
      <c r="A103" t="s">
        <v>34</v>
      </c>
      <c r="B103">
        <v>2015</v>
      </c>
      <c r="C103" t="s">
        <v>43</v>
      </c>
      <c r="D103">
        <v>125</v>
      </c>
      <c r="E103">
        <v>129.80000000000001</v>
      </c>
      <c r="F103">
        <v>118.9</v>
      </c>
      <c r="G103">
        <v>129.1</v>
      </c>
      <c r="H103">
        <v>113.3</v>
      </c>
      <c r="I103">
        <v>129</v>
      </c>
      <c r="J103">
        <v>160.4</v>
      </c>
      <c r="K103">
        <v>165.3</v>
      </c>
      <c r="L103">
        <v>92.3</v>
      </c>
      <c r="M103">
        <v>129.69999999999999</v>
      </c>
      <c r="N103">
        <v>121.1</v>
      </c>
      <c r="O103">
        <v>133</v>
      </c>
      <c r="P103">
        <v>132.1</v>
      </c>
      <c r="Q103">
        <v>132.5</v>
      </c>
      <c r="R103">
        <v>128.5</v>
      </c>
      <c r="S103">
        <v>123.8</v>
      </c>
      <c r="T103">
        <v>127.8</v>
      </c>
      <c r="U103">
        <v>122.4</v>
      </c>
      <c r="V103">
        <v>120.8</v>
      </c>
      <c r="W103">
        <v>123</v>
      </c>
      <c r="X103">
        <v>120.4</v>
      </c>
      <c r="Y103">
        <v>111.4</v>
      </c>
      <c r="Z103">
        <v>118.7</v>
      </c>
      <c r="AA103">
        <v>125.9</v>
      </c>
      <c r="AB103">
        <v>113.9</v>
      </c>
      <c r="AC103">
        <v>117.9</v>
      </c>
      <c r="AD103">
        <v>126.1</v>
      </c>
    </row>
    <row r="104" spans="1:30" x14ac:dyDescent="0.3">
      <c r="A104" t="s">
        <v>30</v>
      </c>
      <c r="B104">
        <v>2015</v>
      </c>
      <c r="C104" t="s">
        <v>45</v>
      </c>
      <c r="D104">
        <v>126.1</v>
      </c>
      <c r="E104">
        <v>130.6</v>
      </c>
      <c r="F104">
        <v>121.7</v>
      </c>
      <c r="G104">
        <v>129.5</v>
      </c>
      <c r="H104">
        <v>117.8</v>
      </c>
      <c r="I104">
        <v>132.1</v>
      </c>
      <c r="J104">
        <v>155.19999999999999</v>
      </c>
      <c r="K104">
        <v>160.80000000000001</v>
      </c>
      <c r="L104">
        <v>94.5</v>
      </c>
      <c r="M104">
        <v>128.30000000000001</v>
      </c>
      <c r="N104">
        <v>123.1</v>
      </c>
      <c r="O104">
        <v>134.19999999999999</v>
      </c>
      <c r="P104">
        <v>132.4</v>
      </c>
      <c r="Q104">
        <v>132.19999999999999</v>
      </c>
      <c r="R104">
        <v>132.1</v>
      </c>
      <c r="S104">
        <v>128.19999999999999</v>
      </c>
      <c r="T104">
        <v>131.5</v>
      </c>
      <c r="U104" t="s">
        <v>32</v>
      </c>
      <c r="V104">
        <v>125.6</v>
      </c>
      <c r="W104">
        <v>125.6</v>
      </c>
      <c r="X104">
        <v>122.6</v>
      </c>
      <c r="Y104">
        <v>114</v>
      </c>
      <c r="Z104">
        <v>120.9</v>
      </c>
      <c r="AA104">
        <v>125.8</v>
      </c>
      <c r="AB104">
        <v>114.2</v>
      </c>
      <c r="AC104">
        <v>119.6</v>
      </c>
      <c r="AD104">
        <v>128.30000000000001</v>
      </c>
    </row>
    <row r="105" spans="1:30" x14ac:dyDescent="0.3">
      <c r="A105" t="s">
        <v>33</v>
      </c>
      <c r="B105">
        <v>2015</v>
      </c>
      <c r="C105" t="s">
        <v>45</v>
      </c>
      <c r="D105">
        <v>124</v>
      </c>
      <c r="E105">
        <v>129.80000000000001</v>
      </c>
      <c r="F105">
        <v>121.5</v>
      </c>
      <c r="G105">
        <v>128.6</v>
      </c>
      <c r="H105">
        <v>110</v>
      </c>
      <c r="I105">
        <v>123.7</v>
      </c>
      <c r="J105">
        <v>164.6</v>
      </c>
      <c r="K105">
        <v>191.6</v>
      </c>
      <c r="L105">
        <v>90.8</v>
      </c>
      <c r="M105">
        <v>137.1</v>
      </c>
      <c r="N105">
        <v>119.8</v>
      </c>
      <c r="O105">
        <v>133.69999999999999</v>
      </c>
      <c r="P105">
        <v>133.30000000000001</v>
      </c>
      <c r="Q105">
        <v>137.6</v>
      </c>
      <c r="R105">
        <v>125</v>
      </c>
      <c r="S105">
        <v>119.3</v>
      </c>
      <c r="T105">
        <v>124.2</v>
      </c>
      <c r="U105">
        <v>122.9</v>
      </c>
      <c r="V105">
        <v>115.1</v>
      </c>
      <c r="W105">
        <v>121</v>
      </c>
      <c r="X105">
        <v>118.1</v>
      </c>
      <c r="Y105">
        <v>109.3</v>
      </c>
      <c r="Z105">
        <v>117.9</v>
      </c>
      <c r="AA105">
        <v>126.6</v>
      </c>
      <c r="AB105">
        <v>113.3</v>
      </c>
      <c r="AC105">
        <v>116.6</v>
      </c>
      <c r="AD105">
        <v>124.6</v>
      </c>
    </row>
    <row r="106" spans="1:30" x14ac:dyDescent="0.3">
      <c r="A106" t="s">
        <v>34</v>
      </c>
      <c r="B106">
        <v>2015</v>
      </c>
      <c r="C106" t="s">
        <v>45</v>
      </c>
      <c r="D106">
        <v>125.4</v>
      </c>
      <c r="E106">
        <v>130.30000000000001</v>
      </c>
      <c r="F106">
        <v>121.6</v>
      </c>
      <c r="G106">
        <v>129.19999999999999</v>
      </c>
      <c r="H106">
        <v>114.9</v>
      </c>
      <c r="I106">
        <v>128.19999999999999</v>
      </c>
      <c r="J106">
        <v>158.4</v>
      </c>
      <c r="K106">
        <v>171.2</v>
      </c>
      <c r="L106">
        <v>93.3</v>
      </c>
      <c r="M106">
        <v>131.19999999999999</v>
      </c>
      <c r="N106">
        <v>121.7</v>
      </c>
      <c r="O106">
        <v>134</v>
      </c>
      <c r="P106">
        <v>132.69999999999999</v>
      </c>
      <c r="Q106">
        <v>133.6</v>
      </c>
      <c r="R106">
        <v>129.30000000000001</v>
      </c>
      <c r="S106">
        <v>124.5</v>
      </c>
      <c r="T106">
        <v>128.6</v>
      </c>
      <c r="U106">
        <v>122.9</v>
      </c>
      <c r="V106">
        <v>121.6</v>
      </c>
      <c r="W106">
        <v>123.4</v>
      </c>
      <c r="X106">
        <v>120.9</v>
      </c>
      <c r="Y106">
        <v>111.5</v>
      </c>
      <c r="Z106">
        <v>119.2</v>
      </c>
      <c r="AA106">
        <v>126.3</v>
      </c>
      <c r="AB106">
        <v>113.8</v>
      </c>
      <c r="AC106">
        <v>118.1</v>
      </c>
      <c r="AD106">
        <v>126.6</v>
      </c>
    </row>
    <row r="107" spans="1:30" x14ac:dyDescent="0.3">
      <c r="A107" t="s">
        <v>30</v>
      </c>
      <c r="B107">
        <v>2015</v>
      </c>
      <c r="C107" t="s">
        <v>46</v>
      </c>
      <c r="D107">
        <v>126.3</v>
      </c>
      <c r="E107">
        <v>131.30000000000001</v>
      </c>
      <c r="F107">
        <v>123.3</v>
      </c>
      <c r="G107">
        <v>129.80000000000001</v>
      </c>
      <c r="H107">
        <v>118.3</v>
      </c>
      <c r="I107">
        <v>131.6</v>
      </c>
      <c r="J107">
        <v>145.5</v>
      </c>
      <c r="K107">
        <v>162.1</v>
      </c>
      <c r="L107">
        <v>95.4</v>
      </c>
      <c r="M107">
        <v>128.9</v>
      </c>
      <c r="N107">
        <v>123.3</v>
      </c>
      <c r="O107">
        <v>135.1</v>
      </c>
      <c r="P107">
        <v>131.4</v>
      </c>
      <c r="Q107">
        <v>133.1</v>
      </c>
      <c r="R107">
        <v>132.5</v>
      </c>
      <c r="S107">
        <v>128.5</v>
      </c>
      <c r="T107">
        <v>131.9</v>
      </c>
      <c r="U107" t="s">
        <v>32</v>
      </c>
      <c r="V107">
        <v>125.7</v>
      </c>
      <c r="W107">
        <v>126</v>
      </c>
      <c r="X107">
        <v>123.1</v>
      </c>
      <c r="Y107">
        <v>114</v>
      </c>
      <c r="Z107">
        <v>121.6</v>
      </c>
      <c r="AA107">
        <v>125.6</v>
      </c>
      <c r="AB107">
        <v>114.1</v>
      </c>
      <c r="AC107">
        <v>119.8</v>
      </c>
      <c r="AD107">
        <v>127.9</v>
      </c>
    </row>
    <row r="108" spans="1:30" x14ac:dyDescent="0.3">
      <c r="A108" t="s">
        <v>33</v>
      </c>
      <c r="B108">
        <v>2015</v>
      </c>
      <c r="C108" t="s">
        <v>46</v>
      </c>
      <c r="D108">
        <v>124.3</v>
      </c>
      <c r="E108">
        <v>131.69999999999999</v>
      </c>
      <c r="F108">
        <v>127.1</v>
      </c>
      <c r="G108">
        <v>128.6</v>
      </c>
      <c r="H108">
        <v>110</v>
      </c>
      <c r="I108">
        <v>120.8</v>
      </c>
      <c r="J108">
        <v>149</v>
      </c>
      <c r="K108">
        <v>190.1</v>
      </c>
      <c r="L108">
        <v>92.7</v>
      </c>
      <c r="M108">
        <v>138.6</v>
      </c>
      <c r="N108">
        <v>120.2</v>
      </c>
      <c r="O108">
        <v>134.19999999999999</v>
      </c>
      <c r="P108">
        <v>131.5</v>
      </c>
      <c r="Q108">
        <v>138.19999999999999</v>
      </c>
      <c r="R108">
        <v>125.4</v>
      </c>
      <c r="S108">
        <v>119.5</v>
      </c>
      <c r="T108">
        <v>124.5</v>
      </c>
      <c r="U108">
        <v>122.4</v>
      </c>
      <c r="V108">
        <v>116</v>
      </c>
      <c r="W108">
        <v>121</v>
      </c>
      <c r="X108">
        <v>118.6</v>
      </c>
      <c r="Y108">
        <v>109.3</v>
      </c>
      <c r="Z108">
        <v>118.1</v>
      </c>
      <c r="AA108">
        <v>126.6</v>
      </c>
      <c r="AB108">
        <v>113.2</v>
      </c>
      <c r="AC108">
        <v>116.7</v>
      </c>
      <c r="AD108">
        <v>124</v>
      </c>
    </row>
    <row r="109" spans="1:30" x14ac:dyDescent="0.3">
      <c r="A109" t="s">
        <v>34</v>
      </c>
      <c r="B109">
        <v>2015</v>
      </c>
      <c r="C109" t="s">
        <v>46</v>
      </c>
      <c r="D109">
        <v>125.7</v>
      </c>
      <c r="E109">
        <v>131.4</v>
      </c>
      <c r="F109">
        <v>124.8</v>
      </c>
      <c r="G109">
        <v>129.4</v>
      </c>
      <c r="H109">
        <v>115.3</v>
      </c>
      <c r="I109">
        <v>126.6</v>
      </c>
      <c r="J109">
        <v>146.69999999999999</v>
      </c>
      <c r="K109">
        <v>171.5</v>
      </c>
      <c r="L109">
        <v>94.5</v>
      </c>
      <c r="M109">
        <v>132.1</v>
      </c>
      <c r="N109">
        <v>122</v>
      </c>
      <c r="O109">
        <v>134.69999999999999</v>
      </c>
      <c r="P109">
        <v>131.4</v>
      </c>
      <c r="Q109">
        <v>134.5</v>
      </c>
      <c r="R109">
        <v>129.69999999999999</v>
      </c>
      <c r="S109">
        <v>124.8</v>
      </c>
      <c r="T109">
        <v>129</v>
      </c>
      <c r="U109">
        <v>122.4</v>
      </c>
      <c r="V109">
        <v>122</v>
      </c>
      <c r="W109">
        <v>123.6</v>
      </c>
      <c r="X109">
        <v>121.4</v>
      </c>
      <c r="Y109">
        <v>111.5</v>
      </c>
      <c r="Z109">
        <v>119.6</v>
      </c>
      <c r="AA109">
        <v>126.2</v>
      </c>
      <c r="AB109">
        <v>113.7</v>
      </c>
      <c r="AC109">
        <v>118.3</v>
      </c>
      <c r="AD109">
        <v>126.1</v>
      </c>
    </row>
    <row r="110" spans="1:30" x14ac:dyDescent="0.3">
      <c r="A110" t="s">
        <v>30</v>
      </c>
      <c r="B110">
        <v>2016</v>
      </c>
      <c r="C110" t="s">
        <v>31</v>
      </c>
      <c r="D110">
        <v>126.8</v>
      </c>
      <c r="E110">
        <v>133.19999999999999</v>
      </c>
      <c r="F110">
        <v>126.5</v>
      </c>
      <c r="G110">
        <v>130.30000000000001</v>
      </c>
      <c r="H110">
        <v>118.9</v>
      </c>
      <c r="I110">
        <v>131.6</v>
      </c>
      <c r="J110">
        <v>140.1</v>
      </c>
      <c r="K110">
        <v>163.80000000000001</v>
      </c>
      <c r="L110">
        <v>97.7</v>
      </c>
      <c r="M110">
        <v>129.6</v>
      </c>
      <c r="N110">
        <v>124.3</v>
      </c>
      <c r="O110">
        <v>135.9</v>
      </c>
      <c r="P110">
        <v>131.4</v>
      </c>
      <c r="Q110">
        <v>133.6</v>
      </c>
      <c r="R110">
        <v>133.19999999999999</v>
      </c>
      <c r="S110">
        <v>128.9</v>
      </c>
      <c r="T110">
        <v>132.6</v>
      </c>
      <c r="U110" t="s">
        <v>32</v>
      </c>
      <c r="V110">
        <v>126.2</v>
      </c>
      <c r="W110">
        <v>126.6</v>
      </c>
      <c r="X110">
        <v>123.7</v>
      </c>
      <c r="Y110">
        <v>113.6</v>
      </c>
      <c r="Z110">
        <v>121.4</v>
      </c>
      <c r="AA110">
        <v>126.2</v>
      </c>
      <c r="AB110">
        <v>114.9</v>
      </c>
      <c r="AC110">
        <v>120.1</v>
      </c>
      <c r="AD110">
        <v>128.1</v>
      </c>
    </row>
    <row r="111" spans="1:30" x14ac:dyDescent="0.3">
      <c r="A111" t="s">
        <v>33</v>
      </c>
      <c r="B111">
        <v>2016</v>
      </c>
      <c r="C111" t="s">
        <v>31</v>
      </c>
      <c r="D111">
        <v>124.7</v>
      </c>
      <c r="E111">
        <v>135.9</v>
      </c>
      <c r="F111">
        <v>132</v>
      </c>
      <c r="G111">
        <v>129.19999999999999</v>
      </c>
      <c r="H111">
        <v>109.7</v>
      </c>
      <c r="I111">
        <v>119</v>
      </c>
      <c r="J111">
        <v>144.1</v>
      </c>
      <c r="K111">
        <v>184.2</v>
      </c>
      <c r="L111">
        <v>96.7</v>
      </c>
      <c r="M111">
        <v>139.5</v>
      </c>
      <c r="N111">
        <v>120.5</v>
      </c>
      <c r="O111">
        <v>134.69999999999999</v>
      </c>
      <c r="P111">
        <v>131.19999999999999</v>
      </c>
      <c r="Q111">
        <v>139.5</v>
      </c>
      <c r="R111">
        <v>125.8</v>
      </c>
      <c r="S111">
        <v>119.8</v>
      </c>
      <c r="T111">
        <v>124.9</v>
      </c>
      <c r="U111">
        <v>123.4</v>
      </c>
      <c r="V111">
        <v>116.9</v>
      </c>
      <c r="W111">
        <v>121.6</v>
      </c>
      <c r="X111">
        <v>119.1</v>
      </c>
      <c r="Y111">
        <v>108.9</v>
      </c>
      <c r="Z111">
        <v>118.5</v>
      </c>
      <c r="AA111">
        <v>126.4</v>
      </c>
      <c r="AB111">
        <v>114</v>
      </c>
      <c r="AC111">
        <v>116.8</v>
      </c>
      <c r="AD111">
        <v>124.2</v>
      </c>
    </row>
    <row r="112" spans="1:30" x14ac:dyDescent="0.3">
      <c r="A112" t="s">
        <v>34</v>
      </c>
      <c r="B112">
        <v>2016</v>
      </c>
      <c r="C112" t="s">
        <v>31</v>
      </c>
      <c r="D112">
        <v>126.1</v>
      </c>
      <c r="E112">
        <v>134.1</v>
      </c>
      <c r="F112">
        <v>128.6</v>
      </c>
      <c r="G112">
        <v>129.9</v>
      </c>
      <c r="H112">
        <v>115.5</v>
      </c>
      <c r="I112">
        <v>125.7</v>
      </c>
      <c r="J112">
        <v>141.5</v>
      </c>
      <c r="K112">
        <v>170.7</v>
      </c>
      <c r="L112">
        <v>97.4</v>
      </c>
      <c r="M112">
        <v>132.9</v>
      </c>
      <c r="N112">
        <v>122.7</v>
      </c>
      <c r="O112">
        <v>135.30000000000001</v>
      </c>
      <c r="P112">
        <v>131.30000000000001</v>
      </c>
      <c r="Q112">
        <v>135.19999999999999</v>
      </c>
      <c r="R112">
        <v>130.30000000000001</v>
      </c>
      <c r="S112">
        <v>125.1</v>
      </c>
      <c r="T112">
        <v>129.5</v>
      </c>
      <c r="U112">
        <v>123.4</v>
      </c>
      <c r="V112">
        <v>122.7</v>
      </c>
      <c r="W112">
        <v>124.2</v>
      </c>
      <c r="X112">
        <v>122</v>
      </c>
      <c r="Y112">
        <v>111.1</v>
      </c>
      <c r="Z112">
        <v>119.8</v>
      </c>
      <c r="AA112">
        <v>126.3</v>
      </c>
      <c r="AB112">
        <v>114.5</v>
      </c>
      <c r="AC112">
        <v>118.5</v>
      </c>
      <c r="AD112">
        <v>126.3</v>
      </c>
    </row>
    <row r="113" spans="1:30" x14ac:dyDescent="0.3">
      <c r="A113" t="s">
        <v>30</v>
      </c>
      <c r="B113">
        <v>2016</v>
      </c>
      <c r="C113" t="s">
        <v>35</v>
      </c>
      <c r="D113">
        <v>127.1</v>
      </c>
      <c r="E113">
        <v>133.69999999999999</v>
      </c>
      <c r="F113">
        <v>127.7</v>
      </c>
      <c r="G113">
        <v>130.69999999999999</v>
      </c>
      <c r="H113">
        <v>118.5</v>
      </c>
      <c r="I113">
        <v>130.4</v>
      </c>
      <c r="J113">
        <v>130.9</v>
      </c>
      <c r="K113">
        <v>162.80000000000001</v>
      </c>
      <c r="L113">
        <v>98.7</v>
      </c>
      <c r="M113">
        <v>130.6</v>
      </c>
      <c r="N113">
        <v>124.8</v>
      </c>
      <c r="O113">
        <v>136.4</v>
      </c>
      <c r="P113">
        <v>130.30000000000001</v>
      </c>
      <c r="Q113">
        <v>134.4</v>
      </c>
      <c r="R113">
        <v>133.9</v>
      </c>
      <c r="S113">
        <v>129.80000000000001</v>
      </c>
      <c r="T113">
        <v>133.4</v>
      </c>
      <c r="U113" t="s">
        <v>32</v>
      </c>
      <c r="V113">
        <v>127.5</v>
      </c>
      <c r="W113">
        <v>127.1</v>
      </c>
      <c r="X113">
        <v>124.3</v>
      </c>
      <c r="Y113">
        <v>113.9</v>
      </c>
      <c r="Z113">
        <v>122.3</v>
      </c>
      <c r="AA113">
        <v>127.1</v>
      </c>
      <c r="AB113">
        <v>116.8</v>
      </c>
      <c r="AC113">
        <v>120.9</v>
      </c>
      <c r="AD113">
        <v>127.9</v>
      </c>
    </row>
    <row r="114" spans="1:30" x14ac:dyDescent="0.3">
      <c r="A114" t="s">
        <v>33</v>
      </c>
      <c r="B114">
        <v>2016</v>
      </c>
      <c r="C114" t="s">
        <v>35</v>
      </c>
      <c r="D114">
        <v>124.8</v>
      </c>
      <c r="E114">
        <v>135.1</v>
      </c>
      <c r="F114">
        <v>130.30000000000001</v>
      </c>
      <c r="G114">
        <v>129.6</v>
      </c>
      <c r="H114">
        <v>108.4</v>
      </c>
      <c r="I114">
        <v>118.6</v>
      </c>
      <c r="J114">
        <v>129.19999999999999</v>
      </c>
      <c r="K114">
        <v>176.4</v>
      </c>
      <c r="L114">
        <v>99.1</v>
      </c>
      <c r="M114">
        <v>139.69999999999999</v>
      </c>
      <c r="N114">
        <v>120.6</v>
      </c>
      <c r="O114">
        <v>135.19999999999999</v>
      </c>
      <c r="P114">
        <v>129.1</v>
      </c>
      <c r="Q114">
        <v>140</v>
      </c>
      <c r="R114">
        <v>126.2</v>
      </c>
      <c r="S114">
        <v>120.1</v>
      </c>
      <c r="T114">
        <v>125.3</v>
      </c>
      <c r="U114">
        <v>124.4</v>
      </c>
      <c r="V114">
        <v>116</v>
      </c>
      <c r="W114">
        <v>121.8</v>
      </c>
      <c r="X114">
        <v>119.5</v>
      </c>
      <c r="Y114">
        <v>109.1</v>
      </c>
      <c r="Z114">
        <v>118.8</v>
      </c>
      <c r="AA114">
        <v>126.3</v>
      </c>
      <c r="AB114">
        <v>116.2</v>
      </c>
      <c r="AC114">
        <v>117.2</v>
      </c>
      <c r="AD114">
        <v>123.8</v>
      </c>
    </row>
    <row r="115" spans="1:30" x14ac:dyDescent="0.3">
      <c r="A115" t="s">
        <v>34</v>
      </c>
      <c r="B115">
        <v>2016</v>
      </c>
      <c r="C115" t="s">
        <v>35</v>
      </c>
      <c r="D115">
        <v>126.4</v>
      </c>
      <c r="E115">
        <v>134.19999999999999</v>
      </c>
      <c r="F115">
        <v>128.69999999999999</v>
      </c>
      <c r="G115">
        <v>130.30000000000001</v>
      </c>
      <c r="H115">
        <v>114.8</v>
      </c>
      <c r="I115">
        <v>124.9</v>
      </c>
      <c r="J115">
        <v>130.30000000000001</v>
      </c>
      <c r="K115">
        <v>167.4</v>
      </c>
      <c r="L115">
        <v>98.8</v>
      </c>
      <c r="M115">
        <v>133.6</v>
      </c>
      <c r="N115">
        <v>123</v>
      </c>
      <c r="O115">
        <v>135.80000000000001</v>
      </c>
      <c r="P115">
        <v>129.9</v>
      </c>
      <c r="Q115">
        <v>135.9</v>
      </c>
      <c r="R115">
        <v>130.9</v>
      </c>
      <c r="S115">
        <v>125.8</v>
      </c>
      <c r="T115">
        <v>130.19999999999999</v>
      </c>
      <c r="U115">
        <v>124.4</v>
      </c>
      <c r="V115">
        <v>123.1</v>
      </c>
      <c r="W115">
        <v>124.6</v>
      </c>
      <c r="X115">
        <v>122.5</v>
      </c>
      <c r="Y115">
        <v>111.4</v>
      </c>
      <c r="Z115">
        <v>120.3</v>
      </c>
      <c r="AA115">
        <v>126.6</v>
      </c>
      <c r="AB115">
        <v>116.6</v>
      </c>
      <c r="AC115">
        <v>119.1</v>
      </c>
      <c r="AD115">
        <v>126</v>
      </c>
    </row>
    <row r="116" spans="1:30" x14ac:dyDescent="0.3">
      <c r="A116" t="s">
        <v>30</v>
      </c>
      <c r="B116">
        <v>2016</v>
      </c>
      <c r="C116" t="s">
        <v>36</v>
      </c>
      <c r="D116">
        <v>127.3</v>
      </c>
      <c r="E116">
        <v>134.4</v>
      </c>
      <c r="F116">
        <v>125.1</v>
      </c>
      <c r="G116">
        <v>130.5</v>
      </c>
      <c r="H116">
        <v>118.3</v>
      </c>
      <c r="I116">
        <v>131.69999999999999</v>
      </c>
      <c r="J116">
        <v>130.69999999999999</v>
      </c>
      <c r="K116">
        <v>161.19999999999999</v>
      </c>
      <c r="L116">
        <v>100.4</v>
      </c>
      <c r="M116">
        <v>130.80000000000001</v>
      </c>
      <c r="N116">
        <v>124.9</v>
      </c>
      <c r="O116">
        <v>137</v>
      </c>
      <c r="P116">
        <v>130.4</v>
      </c>
      <c r="Q116">
        <v>135</v>
      </c>
      <c r="R116">
        <v>134.4</v>
      </c>
      <c r="S116">
        <v>130.19999999999999</v>
      </c>
      <c r="T116">
        <v>133.80000000000001</v>
      </c>
      <c r="U116" t="s">
        <v>32</v>
      </c>
      <c r="V116">
        <v>127</v>
      </c>
      <c r="W116">
        <v>127.7</v>
      </c>
      <c r="X116">
        <v>124.8</v>
      </c>
      <c r="Y116">
        <v>113.6</v>
      </c>
      <c r="Z116">
        <v>122.5</v>
      </c>
      <c r="AA116">
        <v>127.5</v>
      </c>
      <c r="AB116">
        <v>117.4</v>
      </c>
      <c r="AC116">
        <v>121.1</v>
      </c>
      <c r="AD116">
        <v>128</v>
      </c>
    </row>
    <row r="117" spans="1:30" x14ac:dyDescent="0.3">
      <c r="A117" t="s">
        <v>33</v>
      </c>
      <c r="B117">
        <v>2016</v>
      </c>
      <c r="C117" t="s">
        <v>36</v>
      </c>
      <c r="D117">
        <v>124.8</v>
      </c>
      <c r="E117">
        <v>136.30000000000001</v>
      </c>
      <c r="F117">
        <v>123.7</v>
      </c>
      <c r="G117">
        <v>129.69999999999999</v>
      </c>
      <c r="H117">
        <v>107.9</v>
      </c>
      <c r="I117">
        <v>119.9</v>
      </c>
      <c r="J117">
        <v>128.1</v>
      </c>
      <c r="K117">
        <v>170.3</v>
      </c>
      <c r="L117">
        <v>101.8</v>
      </c>
      <c r="M117">
        <v>140.1</v>
      </c>
      <c r="N117">
        <v>120.7</v>
      </c>
      <c r="O117">
        <v>135.4</v>
      </c>
      <c r="P117">
        <v>128.9</v>
      </c>
      <c r="Q117">
        <v>140.6</v>
      </c>
      <c r="R117">
        <v>126.4</v>
      </c>
      <c r="S117">
        <v>120.3</v>
      </c>
      <c r="T117">
        <v>125.5</v>
      </c>
      <c r="U117">
        <v>124.9</v>
      </c>
      <c r="V117">
        <v>114.8</v>
      </c>
      <c r="W117">
        <v>122.3</v>
      </c>
      <c r="X117">
        <v>119.7</v>
      </c>
      <c r="Y117">
        <v>108.5</v>
      </c>
      <c r="Z117">
        <v>119.1</v>
      </c>
      <c r="AA117">
        <v>126.4</v>
      </c>
      <c r="AB117">
        <v>117.1</v>
      </c>
      <c r="AC117">
        <v>117.3</v>
      </c>
      <c r="AD117">
        <v>123.8</v>
      </c>
    </row>
    <row r="118" spans="1:30" x14ac:dyDescent="0.3">
      <c r="A118" t="s">
        <v>34</v>
      </c>
      <c r="B118">
        <v>2016</v>
      </c>
      <c r="C118" t="s">
        <v>36</v>
      </c>
      <c r="D118">
        <v>126.5</v>
      </c>
      <c r="E118">
        <v>135.1</v>
      </c>
      <c r="F118">
        <v>124.6</v>
      </c>
      <c r="G118">
        <v>130.19999999999999</v>
      </c>
      <c r="H118">
        <v>114.5</v>
      </c>
      <c r="I118">
        <v>126.2</v>
      </c>
      <c r="J118">
        <v>129.80000000000001</v>
      </c>
      <c r="K118">
        <v>164.3</v>
      </c>
      <c r="L118">
        <v>100.9</v>
      </c>
      <c r="M118">
        <v>133.9</v>
      </c>
      <c r="N118">
        <v>123.1</v>
      </c>
      <c r="O118">
        <v>136.30000000000001</v>
      </c>
      <c r="P118">
        <v>129.80000000000001</v>
      </c>
      <c r="Q118">
        <v>136.5</v>
      </c>
      <c r="R118">
        <v>131.30000000000001</v>
      </c>
      <c r="S118">
        <v>126.1</v>
      </c>
      <c r="T118">
        <v>130.5</v>
      </c>
      <c r="U118">
        <v>124.9</v>
      </c>
      <c r="V118">
        <v>122.4</v>
      </c>
      <c r="W118">
        <v>125.1</v>
      </c>
      <c r="X118">
        <v>122.9</v>
      </c>
      <c r="Y118">
        <v>110.9</v>
      </c>
      <c r="Z118">
        <v>120.6</v>
      </c>
      <c r="AA118">
        <v>126.9</v>
      </c>
      <c r="AB118">
        <v>117.3</v>
      </c>
      <c r="AC118">
        <v>119.3</v>
      </c>
      <c r="AD118">
        <v>126</v>
      </c>
    </row>
    <row r="119" spans="1:30" x14ac:dyDescent="0.3">
      <c r="A119" t="s">
        <v>30</v>
      </c>
      <c r="B119">
        <v>2016</v>
      </c>
      <c r="C119" t="s">
        <v>37</v>
      </c>
      <c r="D119">
        <v>127.4</v>
      </c>
      <c r="E119">
        <v>135.4</v>
      </c>
      <c r="F119">
        <v>123.4</v>
      </c>
      <c r="G119">
        <v>131.30000000000001</v>
      </c>
      <c r="H119">
        <v>118.2</v>
      </c>
      <c r="I119">
        <v>138.1</v>
      </c>
      <c r="J119">
        <v>134.1</v>
      </c>
      <c r="K119">
        <v>162.69999999999999</v>
      </c>
      <c r="L119">
        <v>105</v>
      </c>
      <c r="M119">
        <v>131.4</v>
      </c>
      <c r="N119">
        <v>125.4</v>
      </c>
      <c r="O119">
        <v>137.4</v>
      </c>
      <c r="P119">
        <v>131.80000000000001</v>
      </c>
      <c r="Q119">
        <v>135.5</v>
      </c>
      <c r="R119">
        <v>135</v>
      </c>
      <c r="S119">
        <v>130.6</v>
      </c>
      <c r="T119">
        <v>134.4</v>
      </c>
      <c r="U119" t="s">
        <v>32</v>
      </c>
      <c r="V119">
        <v>127</v>
      </c>
      <c r="W119">
        <v>128</v>
      </c>
      <c r="X119">
        <v>125.2</v>
      </c>
      <c r="Y119">
        <v>114.4</v>
      </c>
      <c r="Z119">
        <v>123.2</v>
      </c>
      <c r="AA119">
        <v>127.9</v>
      </c>
      <c r="AB119">
        <v>118.4</v>
      </c>
      <c r="AC119">
        <v>121.7</v>
      </c>
      <c r="AD119">
        <v>129</v>
      </c>
    </row>
    <row r="120" spans="1:30" x14ac:dyDescent="0.3">
      <c r="A120" t="s">
        <v>33</v>
      </c>
      <c r="B120">
        <v>2016</v>
      </c>
      <c r="C120" t="s">
        <v>37</v>
      </c>
      <c r="D120">
        <v>124.9</v>
      </c>
      <c r="E120">
        <v>139.30000000000001</v>
      </c>
      <c r="F120">
        <v>119.9</v>
      </c>
      <c r="G120">
        <v>130.19999999999999</v>
      </c>
      <c r="H120">
        <v>108.9</v>
      </c>
      <c r="I120">
        <v>131.1</v>
      </c>
      <c r="J120">
        <v>136.80000000000001</v>
      </c>
      <c r="K120">
        <v>176.9</v>
      </c>
      <c r="L120">
        <v>109.1</v>
      </c>
      <c r="M120">
        <v>140.4</v>
      </c>
      <c r="N120">
        <v>121.1</v>
      </c>
      <c r="O120">
        <v>135.9</v>
      </c>
      <c r="P120">
        <v>131.80000000000001</v>
      </c>
      <c r="Q120">
        <v>141.5</v>
      </c>
      <c r="R120">
        <v>126.8</v>
      </c>
      <c r="S120">
        <v>120.5</v>
      </c>
      <c r="T120">
        <v>125.8</v>
      </c>
      <c r="U120">
        <v>125.6</v>
      </c>
      <c r="V120">
        <v>114.6</v>
      </c>
      <c r="W120">
        <v>122.8</v>
      </c>
      <c r="X120">
        <v>120</v>
      </c>
      <c r="Y120">
        <v>110</v>
      </c>
      <c r="Z120">
        <v>119.5</v>
      </c>
      <c r="AA120">
        <v>127.6</v>
      </c>
      <c r="AB120">
        <v>117.6</v>
      </c>
      <c r="AC120">
        <v>118.2</v>
      </c>
      <c r="AD120">
        <v>125.3</v>
      </c>
    </row>
    <row r="121" spans="1:30" x14ac:dyDescent="0.3">
      <c r="A121" t="s">
        <v>34</v>
      </c>
      <c r="B121">
        <v>2016</v>
      </c>
      <c r="C121" t="s">
        <v>37</v>
      </c>
      <c r="D121">
        <v>126.6</v>
      </c>
      <c r="E121">
        <v>136.80000000000001</v>
      </c>
      <c r="F121">
        <v>122</v>
      </c>
      <c r="G121">
        <v>130.9</v>
      </c>
      <c r="H121">
        <v>114.8</v>
      </c>
      <c r="I121">
        <v>134.80000000000001</v>
      </c>
      <c r="J121">
        <v>135</v>
      </c>
      <c r="K121">
        <v>167.5</v>
      </c>
      <c r="L121">
        <v>106.4</v>
      </c>
      <c r="M121">
        <v>134.4</v>
      </c>
      <c r="N121">
        <v>123.6</v>
      </c>
      <c r="O121">
        <v>136.69999999999999</v>
      </c>
      <c r="P121">
        <v>131.80000000000001</v>
      </c>
      <c r="Q121">
        <v>137.1</v>
      </c>
      <c r="R121">
        <v>131.80000000000001</v>
      </c>
      <c r="S121">
        <v>126.4</v>
      </c>
      <c r="T121">
        <v>131</v>
      </c>
      <c r="U121">
        <v>125.6</v>
      </c>
      <c r="V121">
        <v>122.3</v>
      </c>
      <c r="W121">
        <v>125.5</v>
      </c>
      <c r="X121">
        <v>123.2</v>
      </c>
      <c r="Y121">
        <v>112.1</v>
      </c>
      <c r="Z121">
        <v>121.1</v>
      </c>
      <c r="AA121">
        <v>127.7</v>
      </c>
      <c r="AB121">
        <v>118.1</v>
      </c>
      <c r="AC121">
        <v>120</v>
      </c>
      <c r="AD121">
        <v>127.3</v>
      </c>
    </row>
    <row r="122" spans="1:30" x14ac:dyDescent="0.3">
      <c r="A122" t="s">
        <v>30</v>
      </c>
      <c r="B122">
        <v>2016</v>
      </c>
      <c r="C122" t="s">
        <v>38</v>
      </c>
      <c r="D122">
        <v>127.6</v>
      </c>
      <c r="E122">
        <v>137.5</v>
      </c>
      <c r="F122">
        <v>124.4</v>
      </c>
      <c r="G122">
        <v>132.4</v>
      </c>
      <c r="H122">
        <v>118.2</v>
      </c>
      <c r="I122">
        <v>138.1</v>
      </c>
      <c r="J122">
        <v>141.80000000000001</v>
      </c>
      <c r="K122">
        <v>166</v>
      </c>
      <c r="L122">
        <v>107.5</v>
      </c>
      <c r="M122">
        <v>132.19999999999999</v>
      </c>
      <c r="N122">
        <v>126.1</v>
      </c>
      <c r="O122">
        <v>138.30000000000001</v>
      </c>
      <c r="P122">
        <v>133.6</v>
      </c>
      <c r="Q122">
        <v>136</v>
      </c>
      <c r="R122">
        <v>135.4</v>
      </c>
      <c r="S122">
        <v>131.1</v>
      </c>
      <c r="T122">
        <v>134.80000000000001</v>
      </c>
      <c r="U122" t="s">
        <v>32</v>
      </c>
      <c r="V122">
        <v>127.4</v>
      </c>
      <c r="W122">
        <v>128.5</v>
      </c>
      <c r="X122">
        <v>125.8</v>
      </c>
      <c r="Y122">
        <v>115.1</v>
      </c>
      <c r="Z122">
        <v>123.6</v>
      </c>
      <c r="AA122">
        <v>129.1</v>
      </c>
      <c r="AB122">
        <v>119.7</v>
      </c>
      <c r="AC122">
        <v>122.5</v>
      </c>
      <c r="AD122">
        <v>130.30000000000001</v>
      </c>
    </row>
    <row r="123" spans="1:30" x14ac:dyDescent="0.3">
      <c r="A123" t="s">
        <v>33</v>
      </c>
      <c r="B123">
        <v>2016</v>
      </c>
      <c r="C123" t="s">
        <v>38</v>
      </c>
      <c r="D123">
        <v>125</v>
      </c>
      <c r="E123">
        <v>142.1</v>
      </c>
      <c r="F123">
        <v>127</v>
      </c>
      <c r="G123">
        <v>130.4</v>
      </c>
      <c r="H123">
        <v>109.6</v>
      </c>
      <c r="I123">
        <v>133.5</v>
      </c>
      <c r="J123">
        <v>151.4</v>
      </c>
      <c r="K123">
        <v>182.8</v>
      </c>
      <c r="L123">
        <v>111.1</v>
      </c>
      <c r="M123">
        <v>141.5</v>
      </c>
      <c r="N123">
        <v>121.5</v>
      </c>
      <c r="O123">
        <v>136.30000000000001</v>
      </c>
      <c r="P123">
        <v>134.6</v>
      </c>
      <c r="Q123">
        <v>142.19999999999999</v>
      </c>
      <c r="R123">
        <v>127.2</v>
      </c>
      <c r="S123">
        <v>120.7</v>
      </c>
      <c r="T123">
        <v>126.2</v>
      </c>
      <c r="U123">
        <v>126</v>
      </c>
      <c r="V123">
        <v>115</v>
      </c>
      <c r="W123">
        <v>123.2</v>
      </c>
      <c r="X123">
        <v>120.3</v>
      </c>
      <c r="Y123">
        <v>110.7</v>
      </c>
      <c r="Z123">
        <v>119.8</v>
      </c>
      <c r="AA123">
        <v>128</v>
      </c>
      <c r="AB123">
        <v>118.5</v>
      </c>
      <c r="AC123">
        <v>118.7</v>
      </c>
      <c r="AD123">
        <v>126.6</v>
      </c>
    </row>
    <row r="124" spans="1:30" x14ac:dyDescent="0.3">
      <c r="A124" t="s">
        <v>34</v>
      </c>
      <c r="B124">
        <v>2016</v>
      </c>
      <c r="C124" t="s">
        <v>38</v>
      </c>
      <c r="D124">
        <v>126.8</v>
      </c>
      <c r="E124">
        <v>139.1</v>
      </c>
      <c r="F124">
        <v>125.4</v>
      </c>
      <c r="G124">
        <v>131.69999999999999</v>
      </c>
      <c r="H124">
        <v>115</v>
      </c>
      <c r="I124">
        <v>136</v>
      </c>
      <c r="J124">
        <v>145.1</v>
      </c>
      <c r="K124">
        <v>171.7</v>
      </c>
      <c r="L124">
        <v>108.7</v>
      </c>
      <c r="M124">
        <v>135.30000000000001</v>
      </c>
      <c r="N124">
        <v>124.2</v>
      </c>
      <c r="O124">
        <v>137.4</v>
      </c>
      <c r="P124">
        <v>134</v>
      </c>
      <c r="Q124">
        <v>137.69999999999999</v>
      </c>
      <c r="R124">
        <v>132.19999999999999</v>
      </c>
      <c r="S124">
        <v>126.8</v>
      </c>
      <c r="T124">
        <v>131.4</v>
      </c>
      <c r="U124">
        <v>126</v>
      </c>
      <c r="V124">
        <v>122.7</v>
      </c>
      <c r="W124">
        <v>126</v>
      </c>
      <c r="X124">
        <v>123.7</v>
      </c>
      <c r="Y124">
        <v>112.8</v>
      </c>
      <c r="Z124">
        <v>121.5</v>
      </c>
      <c r="AA124">
        <v>128.5</v>
      </c>
      <c r="AB124">
        <v>119.2</v>
      </c>
      <c r="AC124">
        <v>120.7</v>
      </c>
      <c r="AD124">
        <v>128.6</v>
      </c>
    </row>
    <row r="125" spans="1:30" x14ac:dyDescent="0.3">
      <c r="A125" t="s">
        <v>30</v>
      </c>
      <c r="B125">
        <v>2016</v>
      </c>
      <c r="C125" t="s">
        <v>39</v>
      </c>
      <c r="D125">
        <v>128.6</v>
      </c>
      <c r="E125">
        <v>138.6</v>
      </c>
      <c r="F125">
        <v>126.6</v>
      </c>
      <c r="G125">
        <v>133.6</v>
      </c>
      <c r="H125">
        <v>118.6</v>
      </c>
      <c r="I125">
        <v>137.4</v>
      </c>
      <c r="J125">
        <v>152.5</v>
      </c>
      <c r="K125">
        <v>169.2</v>
      </c>
      <c r="L125">
        <v>108.8</v>
      </c>
      <c r="M125">
        <v>133.1</v>
      </c>
      <c r="N125">
        <v>126.4</v>
      </c>
      <c r="O125">
        <v>139.19999999999999</v>
      </c>
      <c r="P125">
        <v>136</v>
      </c>
      <c r="Q125">
        <v>137.19999999999999</v>
      </c>
      <c r="R125">
        <v>136.30000000000001</v>
      </c>
      <c r="S125">
        <v>131.6</v>
      </c>
      <c r="T125">
        <v>135.6</v>
      </c>
      <c r="U125" t="s">
        <v>32</v>
      </c>
      <c r="V125">
        <v>128</v>
      </c>
      <c r="W125">
        <v>129.30000000000001</v>
      </c>
      <c r="X125">
        <v>126.2</v>
      </c>
      <c r="Y125">
        <v>116.3</v>
      </c>
      <c r="Z125">
        <v>124.1</v>
      </c>
      <c r="AA125">
        <v>130.19999999999999</v>
      </c>
      <c r="AB125">
        <v>119.9</v>
      </c>
      <c r="AC125">
        <v>123.3</v>
      </c>
      <c r="AD125">
        <v>131.9</v>
      </c>
    </row>
    <row r="126" spans="1:30" x14ac:dyDescent="0.3">
      <c r="A126" t="s">
        <v>33</v>
      </c>
      <c r="B126">
        <v>2016</v>
      </c>
      <c r="C126" t="s">
        <v>39</v>
      </c>
      <c r="D126">
        <v>125.9</v>
      </c>
      <c r="E126">
        <v>143.9</v>
      </c>
      <c r="F126">
        <v>130.9</v>
      </c>
      <c r="G126">
        <v>131</v>
      </c>
      <c r="H126">
        <v>110.2</v>
      </c>
      <c r="I126">
        <v>135.5</v>
      </c>
      <c r="J126">
        <v>173.7</v>
      </c>
      <c r="K126">
        <v>184.4</v>
      </c>
      <c r="L126">
        <v>112</v>
      </c>
      <c r="M126">
        <v>142.80000000000001</v>
      </c>
      <c r="N126">
        <v>121.6</v>
      </c>
      <c r="O126">
        <v>136.9</v>
      </c>
      <c r="P126">
        <v>138.19999999999999</v>
      </c>
      <c r="Q126">
        <v>142.69999999999999</v>
      </c>
      <c r="R126">
        <v>127.6</v>
      </c>
      <c r="S126">
        <v>121.1</v>
      </c>
      <c r="T126">
        <v>126.6</v>
      </c>
      <c r="U126">
        <v>125.5</v>
      </c>
      <c r="V126">
        <v>115.5</v>
      </c>
      <c r="W126">
        <v>123.2</v>
      </c>
      <c r="X126">
        <v>120.6</v>
      </c>
      <c r="Y126">
        <v>112.3</v>
      </c>
      <c r="Z126">
        <v>119.9</v>
      </c>
      <c r="AA126">
        <v>129.30000000000001</v>
      </c>
      <c r="AB126">
        <v>118.8</v>
      </c>
      <c r="AC126">
        <v>119.6</v>
      </c>
      <c r="AD126">
        <v>128.1</v>
      </c>
    </row>
    <row r="127" spans="1:30" x14ac:dyDescent="0.3">
      <c r="A127" t="s">
        <v>34</v>
      </c>
      <c r="B127">
        <v>2016</v>
      </c>
      <c r="C127" t="s">
        <v>39</v>
      </c>
      <c r="D127">
        <v>127.7</v>
      </c>
      <c r="E127">
        <v>140.5</v>
      </c>
      <c r="F127">
        <v>128.30000000000001</v>
      </c>
      <c r="G127">
        <v>132.6</v>
      </c>
      <c r="H127">
        <v>115.5</v>
      </c>
      <c r="I127">
        <v>136.5</v>
      </c>
      <c r="J127">
        <v>159.69999999999999</v>
      </c>
      <c r="K127">
        <v>174.3</v>
      </c>
      <c r="L127">
        <v>109.9</v>
      </c>
      <c r="M127">
        <v>136.30000000000001</v>
      </c>
      <c r="N127">
        <v>124.4</v>
      </c>
      <c r="O127">
        <v>138.1</v>
      </c>
      <c r="P127">
        <v>136.80000000000001</v>
      </c>
      <c r="Q127">
        <v>138.69999999999999</v>
      </c>
      <c r="R127">
        <v>132.9</v>
      </c>
      <c r="S127">
        <v>127.2</v>
      </c>
      <c r="T127">
        <v>132</v>
      </c>
      <c r="U127">
        <v>125.5</v>
      </c>
      <c r="V127">
        <v>123.3</v>
      </c>
      <c r="W127">
        <v>126.4</v>
      </c>
      <c r="X127">
        <v>124.1</v>
      </c>
      <c r="Y127">
        <v>114.2</v>
      </c>
      <c r="Z127">
        <v>121.7</v>
      </c>
      <c r="AA127">
        <v>129.69999999999999</v>
      </c>
      <c r="AB127">
        <v>119.4</v>
      </c>
      <c r="AC127">
        <v>121.5</v>
      </c>
      <c r="AD127">
        <v>130.1</v>
      </c>
    </row>
    <row r="128" spans="1:30" x14ac:dyDescent="0.3">
      <c r="A128" t="s">
        <v>30</v>
      </c>
      <c r="B128">
        <v>2016</v>
      </c>
      <c r="C128" t="s">
        <v>40</v>
      </c>
      <c r="D128">
        <v>129.30000000000001</v>
      </c>
      <c r="E128">
        <v>139.5</v>
      </c>
      <c r="F128">
        <v>129.6</v>
      </c>
      <c r="G128">
        <v>134.5</v>
      </c>
      <c r="H128">
        <v>119.5</v>
      </c>
      <c r="I128">
        <v>138.5</v>
      </c>
      <c r="J128">
        <v>158.19999999999999</v>
      </c>
      <c r="K128">
        <v>171.8</v>
      </c>
      <c r="L128">
        <v>110.3</v>
      </c>
      <c r="M128">
        <v>134.30000000000001</v>
      </c>
      <c r="N128">
        <v>127.3</v>
      </c>
      <c r="O128">
        <v>139.9</v>
      </c>
      <c r="P128">
        <v>137.6</v>
      </c>
      <c r="Q128">
        <v>138</v>
      </c>
      <c r="R128">
        <v>137.19999999999999</v>
      </c>
      <c r="S128">
        <v>132.19999999999999</v>
      </c>
      <c r="T128">
        <v>136.5</v>
      </c>
      <c r="U128" t="s">
        <v>32</v>
      </c>
      <c r="V128">
        <v>128.19999999999999</v>
      </c>
      <c r="W128">
        <v>130</v>
      </c>
      <c r="X128">
        <v>126.7</v>
      </c>
      <c r="Y128">
        <v>116.4</v>
      </c>
      <c r="Z128">
        <v>125.2</v>
      </c>
      <c r="AA128">
        <v>130.80000000000001</v>
      </c>
      <c r="AB128">
        <v>120.9</v>
      </c>
      <c r="AC128">
        <v>123.8</v>
      </c>
      <c r="AD128">
        <v>133</v>
      </c>
    </row>
    <row r="129" spans="1:30" x14ac:dyDescent="0.3">
      <c r="A129" t="s">
        <v>33</v>
      </c>
      <c r="B129">
        <v>2016</v>
      </c>
      <c r="C129" t="s">
        <v>40</v>
      </c>
      <c r="D129">
        <v>126.8</v>
      </c>
      <c r="E129">
        <v>144.19999999999999</v>
      </c>
      <c r="F129">
        <v>136.6</v>
      </c>
      <c r="G129">
        <v>131.80000000000001</v>
      </c>
      <c r="H129">
        <v>111</v>
      </c>
      <c r="I129">
        <v>137</v>
      </c>
      <c r="J129">
        <v>179.5</v>
      </c>
      <c r="K129">
        <v>188.4</v>
      </c>
      <c r="L129">
        <v>113.3</v>
      </c>
      <c r="M129">
        <v>143.9</v>
      </c>
      <c r="N129">
        <v>121.7</v>
      </c>
      <c r="O129">
        <v>137.5</v>
      </c>
      <c r="P129">
        <v>139.80000000000001</v>
      </c>
      <c r="Q129">
        <v>142.9</v>
      </c>
      <c r="R129">
        <v>127.9</v>
      </c>
      <c r="S129">
        <v>121.1</v>
      </c>
      <c r="T129">
        <v>126.9</v>
      </c>
      <c r="U129">
        <v>126.4</v>
      </c>
      <c r="V129">
        <v>115.5</v>
      </c>
      <c r="W129">
        <v>123.5</v>
      </c>
      <c r="X129">
        <v>120.9</v>
      </c>
      <c r="Y129">
        <v>111.7</v>
      </c>
      <c r="Z129">
        <v>120.3</v>
      </c>
      <c r="AA129">
        <v>130.80000000000001</v>
      </c>
      <c r="AB129">
        <v>120</v>
      </c>
      <c r="AC129">
        <v>119.9</v>
      </c>
      <c r="AD129">
        <v>129</v>
      </c>
    </row>
    <row r="130" spans="1:30" x14ac:dyDescent="0.3">
      <c r="A130" t="s">
        <v>34</v>
      </c>
      <c r="B130">
        <v>2016</v>
      </c>
      <c r="C130" t="s">
        <v>40</v>
      </c>
      <c r="D130">
        <v>128.5</v>
      </c>
      <c r="E130">
        <v>141.19999999999999</v>
      </c>
      <c r="F130">
        <v>132.30000000000001</v>
      </c>
      <c r="G130">
        <v>133.5</v>
      </c>
      <c r="H130">
        <v>116.4</v>
      </c>
      <c r="I130">
        <v>137.80000000000001</v>
      </c>
      <c r="J130">
        <v>165.4</v>
      </c>
      <c r="K130">
        <v>177.4</v>
      </c>
      <c r="L130">
        <v>111.3</v>
      </c>
      <c r="M130">
        <v>137.5</v>
      </c>
      <c r="N130">
        <v>125</v>
      </c>
      <c r="O130">
        <v>138.80000000000001</v>
      </c>
      <c r="P130">
        <v>138.4</v>
      </c>
      <c r="Q130">
        <v>139.30000000000001</v>
      </c>
      <c r="R130">
        <v>133.5</v>
      </c>
      <c r="S130">
        <v>127.6</v>
      </c>
      <c r="T130">
        <v>132.69999999999999</v>
      </c>
      <c r="U130">
        <v>126.4</v>
      </c>
      <c r="V130">
        <v>123.4</v>
      </c>
      <c r="W130">
        <v>126.9</v>
      </c>
      <c r="X130">
        <v>124.5</v>
      </c>
      <c r="Y130">
        <v>113.9</v>
      </c>
      <c r="Z130">
        <v>122.4</v>
      </c>
      <c r="AA130">
        <v>130.80000000000001</v>
      </c>
      <c r="AB130">
        <v>120.5</v>
      </c>
      <c r="AC130">
        <v>121.9</v>
      </c>
      <c r="AD130">
        <v>131.1</v>
      </c>
    </row>
    <row r="131" spans="1:30" x14ac:dyDescent="0.3">
      <c r="A131" t="s">
        <v>30</v>
      </c>
      <c r="B131">
        <v>2016</v>
      </c>
      <c r="C131" t="s">
        <v>41</v>
      </c>
      <c r="D131">
        <v>130.1</v>
      </c>
      <c r="E131">
        <v>138.80000000000001</v>
      </c>
      <c r="F131">
        <v>130.30000000000001</v>
      </c>
      <c r="G131">
        <v>135.30000000000001</v>
      </c>
      <c r="H131">
        <v>119.9</v>
      </c>
      <c r="I131">
        <v>140.19999999999999</v>
      </c>
      <c r="J131">
        <v>156.9</v>
      </c>
      <c r="K131">
        <v>172.2</v>
      </c>
      <c r="L131">
        <v>112.1</v>
      </c>
      <c r="M131">
        <v>134.9</v>
      </c>
      <c r="N131">
        <v>128.1</v>
      </c>
      <c r="O131">
        <v>140.69999999999999</v>
      </c>
      <c r="P131">
        <v>138</v>
      </c>
      <c r="Q131">
        <v>138.9</v>
      </c>
      <c r="R131">
        <v>137.80000000000001</v>
      </c>
      <c r="S131">
        <v>133</v>
      </c>
      <c r="T131">
        <v>137.1</v>
      </c>
      <c r="U131" t="s">
        <v>32</v>
      </c>
      <c r="V131">
        <v>129.1</v>
      </c>
      <c r="W131">
        <v>130.6</v>
      </c>
      <c r="X131">
        <v>127</v>
      </c>
      <c r="Y131">
        <v>116</v>
      </c>
      <c r="Z131">
        <v>125.5</v>
      </c>
      <c r="AA131">
        <v>131.9</v>
      </c>
      <c r="AB131">
        <v>122</v>
      </c>
      <c r="AC131">
        <v>124.2</v>
      </c>
      <c r="AD131">
        <v>133.5</v>
      </c>
    </row>
    <row r="132" spans="1:30" x14ac:dyDescent="0.3">
      <c r="A132" t="s">
        <v>33</v>
      </c>
      <c r="B132">
        <v>2016</v>
      </c>
      <c r="C132" t="s">
        <v>41</v>
      </c>
      <c r="D132">
        <v>127.6</v>
      </c>
      <c r="E132">
        <v>140.30000000000001</v>
      </c>
      <c r="F132">
        <v>133.69999999999999</v>
      </c>
      <c r="G132">
        <v>132.19999999999999</v>
      </c>
      <c r="H132">
        <v>111.8</v>
      </c>
      <c r="I132">
        <v>135.80000000000001</v>
      </c>
      <c r="J132">
        <v>163.5</v>
      </c>
      <c r="K132">
        <v>182.3</v>
      </c>
      <c r="L132">
        <v>114.6</v>
      </c>
      <c r="M132">
        <v>144.6</v>
      </c>
      <c r="N132">
        <v>121.9</v>
      </c>
      <c r="O132">
        <v>138.1</v>
      </c>
      <c r="P132">
        <v>137.6</v>
      </c>
      <c r="Q132">
        <v>143.6</v>
      </c>
      <c r="R132">
        <v>128.30000000000001</v>
      </c>
      <c r="S132">
        <v>121.4</v>
      </c>
      <c r="T132">
        <v>127.3</v>
      </c>
      <c r="U132">
        <v>127.3</v>
      </c>
      <c r="V132">
        <v>114.7</v>
      </c>
      <c r="W132">
        <v>123.9</v>
      </c>
      <c r="X132">
        <v>121.2</v>
      </c>
      <c r="Y132">
        <v>110.4</v>
      </c>
      <c r="Z132">
        <v>120.6</v>
      </c>
      <c r="AA132">
        <v>131.5</v>
      </c>
      <c r="AB132">
        <v>120.9</v>
      </c>
      <c r="AC132">
        <v>119.9</v>
      </c>
      <c r="AD132">
        <v>128.4</v>
      </c>
    </row>
    <row r="133" spans="1:30" x14ac:dyDescent="0.3">
      <c r="A133" t="s">
        <v>34</v>
      </c>
      <c r="B133">
        <v>2016</v>
      </c>
      <c r="C133" t="s">
        <v>41</v>
      </c>
      <c r="D133">
        <v>129.30000000000001</v>
      </c>
      <c r="E133">
        <v>139.30000000000001</v>
      </c>
      <c r="F133">
        <v>131.6</v>
      </c>
      <c r="G133">
        <v>134.1</v>
      </c>
      <c r="H133">
        <v>116.9</v>
      </c>
      <c r="I133">
        <v>138.1</v>
      </c>
      <c r="J133">
        <v>159.1</v>
      </c>
      <c r="K133">
        <v>175.6</v>
      </c>
      <c r="L133">
        <v>112.9</v>
      </c>
      <c r="M133">
        <v>138.1</v>
      </c>
      <c r="N133">
        <v>125.5</v>
      </c>
      <c r="O133">
        <v>139.5</v>
      </c>
      <c r="P133">
        <v>137.9</v>
      </c>
      <c r="Q133">
        <v>140.19999999999999</v>
      </c>
      <c r="R133">
        <v>134.1</v>
      </c>
      <c r="S133">
        <v>128.19999999999999</v>
      </c>
      <c r="T133">
        <v>133.19999999999999</v>
      </c>
      <c r="U133">
        <v>127.3</v>
      </c>
      <c r="V133">
        <v>123.6</v>
      </c>
      <c r="W133">
        <v>127.4</v>
      </c>
      <c r="X133">
        <v>124.8</v>
      </c>
      <c r="Y133">
        <v>113.1</v>
      </c>
      <c r="Z133">
        <v>122.7</v>
      </c>
      <c r="AA133">
        <v>131.69999999999999</v>
      </c>
      <c r="AB133">
        <v>121.5</v>
      </c>
      <c r="AC133">
        <v>122.1</v>
      </c>
      <c r="AD133">
        <v>131.1</v>
      </c>
    </row>
    <row r="134" spans="1:30" x14ac:dyDescent="0.3">
      <c r="A134" t="s">
        <v>30</v>
      </c>
      <c r="B134">
        <v>2016</v>
      </c>
      <c r="C134" t="s">
        <v>42</v>
      </c>
      <c r="D134">
        <v>130.80000000000001</v>
      </c>
      <c r="E134">
        <v>138.19999999999999</v>
      </c>
      <c r="F134">
        <v>130.5</v>
      </c>
      <c r="G134">
        <v>135.5</v>
      </c>
      <c r="H134">
        <v>120.2</v>
      </c>
      <c r="I134">
        <v>139.19999999999999</v>
      </c>
      <c r="J134">
        <v>149.5</v>
      </c>
      <c r="K134">
        <v>170.4</v>
      </c>
      <c r="L134">
        <v>113.1</v>
      </c>
      <c r="M134">
        <v>135.80000000000001</v>
      </c>
      <c r="N134">
        <v>128.80000000000001</v>
      </c>
      <c r="O134">
        <v>141.5</v>
      </c>
      <c r="P134">
        <v>137.19999999999999</v>
      </c>
      <c r="Q134">
        <v>139.9</v>
      </c>
      <c r="R134">
        <v>138.5</v>
      </c>
      <c r="S134">
        <v>133.5</v>
      </c>
      <c r="T134">
        <v>137.80000000000001</v>
      </c>
      <c r="U134" t="s">
        <v>32</v>
      </c>
      <c r="V134">
        <v>129.69999999999999</v>
      </c>
      <c r="W134">
        <v>131.1</v>
      </c>
      <c r="X134">
        <v>127.8</v>
      </c>
      <c r="Y134">
        <v>117</v>
      </c>
      <c r="Z134">
        <v>125.7</v>
      </c>
      <c r="AA134">
        <v>132.19999999999999</v>
      </c>
      <c r="AB134">
        <v>122.8</v>
      </c>
      <c r="AC134">
        <v>124.9</v>
      </c>
      <c r="AD134">
        <v>133.4</v>
      </c>
    </row>
    <row r="135" spans="1:30" x14ac:dyDescent="0.3">
      <c r="A135" t="s">
        <v>33</v>
      </c>
      <c r="B135">
        <v>2016</v>
      </c>
      <c r="C135" t="s">
        <v>42</v>
      </c>
      <c r="D135">
        <v>128.1</v>
      </c>
      <c r="E135">
        <v>137.69999999999999</v>
      </c>
      <c r="F135">
        <v>130.6</v>
      </c>
      <c r="G135">
        <v>132.6</v>
      </c>
      <c r="H135">
        <v>111.9</v>
      </c>
      <c r="I135">
        <v>132.5</v>
      </c>
      <c r="J135">
        <v>152.9</v>
      </c>
      <c r="K135">
        <v>173.6</v>
      </c>
      <c r="L135">
        <v>115.1</v>
      </c>
      <c r="M135">
        <v>144.80000000000001</v>
      </c>
      <c r="N135">
        <v>122.1</v>
      </c>
      <c r="O135">
        <v>138.80000000000001</v>
      </c>
      <c r="P135">
        <v>135.69999999999999</v>
      </c>
      <c r="Q135">
        <v>143.9</v>
      </c>
      <c r="R135">
        <v>128.69999999999999</v>
      </c>
      <c r="S135">
        <v>121.6</v>
      </c>
      <c r="T135">
        <v>127.7</v>
      </c>
      <c r="U135">
        <v>127.9</v>
      </c>
      <c r="V135">
        <v>114.8</v>
      </c>
      <c r="W135">
        <v>124.3</v>
      </c>
      <c r="X135">
        <v>121.4</v>
      </c>
      <c r="Y135">
        <v>111.8</v>
      </c>
      <c r="Z135">
        <v>120.8</v>
      </c>
      <c r="AA135">
        <v>131.6</v>
      </c>
      <c r="AB135">
        <v>121.2</v>
      </c>
      <c r="AC135">
        <v>120.5</v>
      </c>
      <c r="AD135">
        <v>128</v>
      </c>
    </row>
    <row r="136" spans="1:30" x14ac:dyDescent="0.3">
      <c r="A136" t="s">
        <v>34</v>
      </c>
      <c r="B136">
        <v>2016</v>
      </c>
      <c r="C136" t="s">
        <v>42</v>
      </c>
      <c r="D136">
        <v>129.9</v>
      </c>
      <c r="E136">
        <v>138</v>
      </c>
      <c r="F136">
        <v>130.5</v>
      </c>
      <c r="G136">
        <v>134.4</v>
      </c>
      <c r="H136">
        <v>117.2</v>
      </c>
      <c r="I136">
        <v>136.1</v>
      </c>
      <c r="J136">
        <v>150.69999999999999</v>
      </c>
      <c r="K136">
        <v>171.5</v>
      </c>
      <c r="L136">
        <v>113.8</v>
      </c>
      <c r="M136">
        <v>138.80000000000001</v>
      </c>
      <c r="N136">
        <v>126</v>
      </c>
      <c r="O136">
        <v>140.19999999999999</v>
      </c>
      <c r="P136">
        <v>136.6</v>
      </c>
      <c r="Q136">
        <v>141</v>
      </c>
      <c r="R136">
        <v>134.6</v>
      </c>
      <c r="S136">
        <v>128.6</v>
      </c>
      <c r="T136">
        <v>133.80000000000001</v>
      </c>
      <c r="U136">
        <v>127.9</v>
      </c>
      <c r="V136">
        <v>124.1</v>
      </c>
      <c r="W136">
        <v>127.9</v>
      </c>
      <c r="X136">
        <v>125.4</v>
      </c>
      <c r="Y136">
        <v>114.3</v>
      </c>
      <c r="Z136">
        <v>122.9</v>
      </c>
      <c r="AA136">
        <v>131.80000000000001</v>
      </c>
      <c r="AB136">
        <v>122.1</v>
      </c>
      <c r="AC136">
        <v>122.8</v>
      </c>
      <c r="AD136">
        <v>130.9</v>
      </c>
    </row>
    <row r="137" spans="1:30" x14ac:dyDescent="0.3">
      <c r="A137" t="s">
        <v>30</v>
      </c>
      <c r="B137">
        <v>2016</v>
      </c>
      <c r="C137" t="s">
        <v>43</v>
      </c>
      <c r="D137">
        <v>131.30000000000001</v>
      </c>
      <c r="E137">
        <v>137.6</v>
      </c>
      <c r="F137">
        <v>130.1</v>
      </c>
      <c r="G137">
        <v>136</v>
      </c>
      <c r="H137">
        <v>120.8</v>
      </c>
      <c r="I137">
        <v>138.4</v>
      </c>
      <c r="J137">
        <v>149.19999999999999</v>
      </c>
      <c r="K137">
        <v>170.2</v>
      </c>
      <c r="L137">
        <v>113.4</v>
      </c>
      <c r="M137">
        <v>136.30000000000001</v>
      </c>
      <c r="N137">
        <v>128.69999999999999</v>
      </c>
      <c r="O137">
        <v>142.4</v>
      </c>
      <c r="P137">
        <v>137.4</v>
      </c>
      <c r="Q137">
        <v>140.9</v>
      </c>
      <c r="R137">
        <v>139.6</v>
      </c>
      <c r="S137">
        <v>134.30000000000001</v>
      </c>
      <c r="T137">
        <v>138.80000000000001</v>
      </c>
      <c r="U137" t="s">
        <v>32</v>
      </c>
      <c r="V137">
        <v>129.80000000000001</v>
      </c>
      <c r="W137">
        <v>131.80000000000001</v>
      </c>
      <c r="X137">
        <v>128.69999999999999</v>
      </c>
      <c r="Y137">
        <v>117.8</v>
      </c>
      <c r="Z137">
        <v>126.5</v>
      </c>
      <c r="AA137">
        <v>133</v>
      </c>
      <c r="AB137">
        <v>123</v>
      </c>
      <c r="AC137">
        <v>125.7</v>
      </c>
      <c r="AD137">
        <v>133.80000000000001</v>
      </c>
    </row>
    <row r="138" spans="1:30" x14ac:dyDescent="0.3">
      <c r="A138" t="s">
        <v>33</v>
      </c>
      <c r="B138">
        <v>2016</v>
      </c>
      <c r="C138" t="s">
        <v>43</v>
      </c>
      <c r="D138">
        <v>128.69999999999999</v>
      </c>
      <c r="E138">
        <v>138.4</v>
      </c>
      <c r="F138">
        <v>130.30000000000001</v>
      </c>
      <c r="G138">
        <v>132.69999999999999</v>
      </c>
      <c r="H138">
        <v>112.5</v>
      </c>
      <c r="I138">
        <v>130.4</v>
      </c>
      <c r="J138">
        <v>155.1</v>
      </c>
      <c r="K138">
        <v>175.7</v>
      </c>
      <c r="L138">
        <v>115.4</v>
      </c>
      <c r="M138">
        <v>145.30000000000001</v>
      </c>
      <c r="N138">
        <v>122.5</v>
      </c>
      <c r="O138">
        <v>139.6</v>
      </c>
      <c r="P138">
        <v>136.30000000000001</v>
      </c>
      <c r="Q138">
        <v>144.30000000000001</v>
      </c>
      <c r="R138">
        <v>129.1</v>
      </c>
      <c r="S138">
        <v>121.9</v>
      </c>
      <c r="T138">
        <v>128</v>
      </c>
      <c r="U138">
        <v>128.69999999999999</v>
      </c>
      <c r="V138">
        <v>115.2</v>
      </c>
      <c r="W138">
        <v>124.5</v>
      </c>
      <c r="X138">
        <v>121.8</v>
      </c>
      <c r="Y138">
        <v>112.8</v>
      </c>
      <c r="Z138">
        <v>121.2</v>
      </c>
      <c r="AA138">
        <v>131.9</v>
      </c>
      <c r="AB138">
        <v>120.8</v>
      </c>
      <c r="AC138">
        <v>120.9</v>
      </c>
      <c r="AD138">
        <v>128.6</v>
      </c>
    </row>
    <row r="139" spans="1:30" x14ac:dyDescent="0.3">
      <c r="A139" t="s">
        <v>34</v>
      </c>
      <c r="B139">
        <v>2016</v>
      </c>
      <c r="C139" t="s">
        <v>43</v>
      </c>
      <c r="D139">
        <v>130.5</v>
      </c>
      <c r="E139">
        <v>137.9</v>
      </c>
      <c r="F139">
        <v>130.19999999999999</v>
      </c>
      <c r="G139">
        <v>134.80000000000001</v>
      </c>
      <c r="H139">
        <v>117.8</v>
      </c>
      <c r="I139">
        <v>134.69999999999999</v>
      </c>
      <c r="J139">
        <v>151.19999999999999</v>
      </c>
      <c r="K139">
        <v>172.1</v>
      </c>
      <c r="L139">
        <v>114.1</v>
      </c>
      <c r="M139">
        <v>139.30000000000001</v>
      </c>
      <c r="N139">
        <v>126.1</v>
      </c>
      <c r="O139">
        <v>141.1</v>
      </c>
      <c r="P139">
        <v>137</v>
      </c>
      <c r="Q139">
        <v>141.80000000000001</v>
      </c>
      <c r="R139">
        <v>135.5</v>
      </c>
      <c r="S139">
        <v>129.1</v>
      </c>
      <c r="T139">
        <v>134.5</v>
      </c>
      <c r="U139">
        <v>128.69999999999999</v>
      </c>
      <c r="V139">
        <v>124.3</v>
      </c>
      <c r="W139">
        <v>128.4</v>
      </c>
      <c r="X139">
        <v>126.1</v>
      </c>
      <c r="Y139">
        <v>115.2</v>
      </c>
      <c r="Z139">
        <v>123.5</v>
      </c>
      <c r="AA139">
        <v>132.4</v>
      </c>
      <c r="AB139">
        <v>122.1</v>
      </c>
      <c r="AC139">
        <v>123.4</v>
      </c>
      <c r="AD139">
        <v>131.4</v>
      </c>
    </row>
    <row r="140" spans="1:30" x14ac:dyDescent="0.3">
      <c r="A140" t="s">
        <v>30</v>
      </c>
      <c r="B140">
        <v>2016</v>
      </c>
      <c r="C140" t="s">
        <v>45</v>
      </c>
      <c r="D140">
        <v>132</v>
      </c>
      <c r="E140">
        <v>137.4</v>
      </c>
      <c r="F140">
        <v>130.6</v>
      </c>
      <c r="G140">
        <v>136.19999999999999</v>
      </c>
      <c r="H140">
        <v>121.1</v>
      </c>
      <c r="I140">
        <v>136.9</v>
      </c>
      <c r="J140">
        <v>141.80000000000001</v>
      </c>
      <c r="K140">
        <v>170</v>
      </c>
      <c r="L140">
        <v>113.4</v>
      </c>
      <c r="M140">
        <v>136.80000000000001</v>
      </c>
      <c r="N140">
        <v>128.69999999999999</v>
      </c>
      <c r="O140">
        <v>143.1</v>
      </c>
      <c r="P140">
        <v>136.6</v>
      </c>
      <c r="Q140">
        <v>141.19999999999999</v>
      </c>
      <c r="R140">
        <v>139.9</v>
      </c>
      <c r="S140">
        <v>134.5</v>
      </c>
      <c r="T140">
        <v>139.19999999999999</v>
      </c>
      <c r="U140" t="s">
        <v>32</v>
      </c>
      <c r="V140">
        <v>130.30000000000001</v>
      </c>
      <c r="W140">
        <v>132.1</v>
      </c>
      <c r="X140">
        <v>129.1</v>
      </c>
      <c r="Y140">
        <v>118.2</v>
      </c>
      <c r="Z140">
        <v>126.9</v>
      </c>
      <c r="AA140">
        <v>133.69999999999999</v>
      </c>
      <c r="AB140">
        <v>123.5</v>
      </c>
      <c r="AC140">
        <v>126.1</v>
      </c>
      <c r="AD140">
        <v>133.6</v>
      </c>
    </row>
    <row r="141" spans="1:30" x14ac:dyDescent="0.3">
      <c r="A141" t="s">
        <v>33</v>
      </c>
      <c r="B141">
        <v>2016</v>
      </c>
      <c r="C141" t="s">
        <v>45</v>
      </c>
      <c r="D141">
        <v>130.19999999999999</v>
      </c>
      <c r="E141">
        <v>138.5</v>
      </c>
      <c r="F141">
        <v>134.1</v>
      </c>
      <c r="G141">
        <v>132.9</v>
      </c>
      <c r="H141">
        <v>112.6</v>
      </c>
      <c r="I141">
        <v>130.80000000000001</v>
      </c>
      <c r="J141">
        <v>142</v>
      </c>
      <c r="K141">
        <v>174.9</v>
      </c>
      <c r="L141">
        <v>115.6</v>
      </c>
      <c r="M141">
        <v>145.4</v>
      </c>
      <c r="N141">
        <v>122.7</v>
      </c>
      <c r="O141">
        <v>140.30000000000001</v>
      </c>
      <c r="P141">
        <v>135.19999999999999</v>
      </c>
      <c r="Q141">
        <v>144.30000000000001</v>
      </c>
      <c r="R141">
        <v>129.6</v>
      </c>
      <c r="S141">
        <v>122.1</v>
      </c>
      <c r="T141">
        <v>128.5</v>
      </c>
      <c r="U141">
        <v>129.1</v>
      </c>
      <c r="V141">
        <v>116.2</v>
      </c>
      <c r="W141">
        <v>124.7</v>
      </c>
      <c r="X141">
        <v>122.1</v>
      </c>
      <c r="Y141">
        <v>113.4</v>
      </c>
      <c r="Z141">
        <v>121.7</v>
      </c>
      <c r="AA141">
        <v>132.1</v>
      </c>
      <c r="AB141">
        <v>121.3</v>
      </c>
      <c r="AC141">
        <v>121.3</v>
      </c>
      <c r="AD141">
        <v>128.5</v>
      </c>
    </row>
    <row r="142" spans="1:30" x14ac:dyDescent="0.3">
      <c r="A142" t="s">
        <v>34</v>
      </c>
      <c r="B142">
        <v>2016</v>
      </c>
      <c r="C142" t="s">
        <v>45</v>
      </c>
      <c r="D142">
        <v>131.4</v>
      </c>
      <c r="E142">
        <v>137.80000000000001</v>
      </c>
      <c r="F142">
        <v>132</v>
      </c>
      <c r="G142">
        <v>135</v>
      </c>
      <c r="H142">
        <v>118</v>
      </c>
      <c r="I142">
        <v>134.1</v>
      </c>
      <c r="J142">
        <v>141.9</v>
      </c>
      <c r="K142">
        <v>171.7</v>
      </c>
      <c r="L142">
        <v>114.1</v>
      </c>
      <c r="M142">
        <v>139.69999999999999</v>
      </c>
      <c r="N142">
        <v>126.2</v>
      </c>
      <c r="O142">
        <v>141.80000000000001</v>
      </c>
      <c r="P142">
        <v>136.1</v>
      </c>
      <c r="Q142">
        <v>142</v>
      </c>
      <c r="R142">
        <v>135.80000000000001</v>
      </c>
      <c r="S142">
        <v>129.30000000000001</v>
      </c>
      <c r="T142">
        <v>135</v>
      </c>
      <c r="U142">
        <v>129.1</v>
      </c>
      <c r="V142">
        <v>125</v>
      </c>
      <c r="W142">
        <v>128.6</v>
      </c>
      <c r="X142">
        <v>126.4</v>
      </c>
      <c r="Y142">
        <v>115.7</v>
      </c>
      <c r="Z142">
        <v>124</v>
      </c>
      <c r="AA142">
        <v>132.80000000000001</v>
      </c>
      <c r="AB142">
        <v>122.6</v>
      </c>
      <c r="AC142">
        <v>123.8</v>
      </c>
      <c r="AD142">
        <v>131.19999999999999</v>
      </c>
    </row>
    <row r="143" spans="1:30" x14ac:dyDescent="0.3">
      <c r="A143" t="s">
        <v>30</v>
      </c>
      <c r="B143">
        <v>2016</v>
      </c>
      <c r="C143" t="s">
        <v>46</v>
      </c>
      <c r="D143">
        <v>132.6</v>
      </c>
      <c r="E143">
        <v>137.30000000000001</v>
      </c>
      <c r="F143">
        <v>131.6</v>
      </c>
      <c r="G143">
        <v>136.30000000000001</v>
      </c>
      <c r="H143">
        <v>121.6</v>
      </c>
      <c r="I143">
        <v>135.6</v>
      </c>
      <c r="J143">
        <v>127.5</v>
      </c>
      <c r="K143">
        <v>167.9</v>
      </c>
      <c r="L143">
        <v>113.8</v>
      </c>
      <c r="M143">
        <v>137.5</v>
      </c>
      <c r="N143">
        <v>129.1</v>
      </c>
      <c r="O143">
        <v>143.6</v>
      </c>
      <c r="P143">
        <v>134.69999999999999</v>
      </c>
      <c r="Q143">
        <v>142.4</v>
      </c>
      <c r="R143">
        <v>140.4</v>
      </c>
      <c r="S143">
        <v>135.19999999999999</v>
      </c>
      <c r="T143">
        <v>139.69999999999999</v>
      </c>
      <c r="U143" t="s">
        <v>32</v>
      </c>
      <c r="V143">
        <v>132</v>
      </c>
      <c r="W143">
        <v>132.9</v>
      </c>
      <c r="X143">
        <v>129.69999999999999</v>
      </c>
      <c r="Y143">
        <v>118.6</v>
      </c>
      <c r="Z143">
        <v>127.3</v>
      </c>
      <c r="AA143">
        <v>134.19999999999999</v>
      </c>
      <c r="AB143">
        <v>121.9</v>
      </c>
      <c r="AC143">
        <v>126.3</v>
      </c>
      <c r="AD143">
        <v>132.80000000000001</v>
      </c>
    </row>
    <row r="144" spans="1:30" x14ac:dyDescent="0.3">
      <c r="A144" t="s">
        <v>33</v>
      </c>
      <c r="B144">
        <v>2016</v>
      </c>
      <c r="C144" t="s">
        <v>46</v>
      </c>
      <c r="D144">
        <v>131.6</v>
      </c>
      <c r="E144">
        <v>138.19999999999999</v>
      </c>
      <c r="F144">
        <v>134.9</v>
      </c>
      <c r="G144">
        <v>133.1</v>
      </c>
      <c r="H144">
        <v>113.5</v>
      </c>
      <c r="I144">
        <v>129.30000000000001</v>
      </c>
      <c r="J144">
        <v>121.1</v>
      </c>
      <c r="K144">
        <v>170.3</v>
      </c>
      <c r="L144">
        <v>115.5</v>
      </c>
      <c r="M144">
        <v>145.5</v>
      </c>
      <c r="N144">
        <v>123.1</v>
      </c>
      <c r="O144">
        <v>140.9</v>
      </c>
      <c r="P144">
        <v>132.80000000000001</v>
      </c>
      <c r="Q144">
        <v>145</v>
      </c>
      <c r="R144">
        <v>130</v>
      </c>
      <c r="S144">
        <v>122.2</v>
      </c>
      <c r="T144">
        <v>128.80000000000001</v>
      </c>
      <c r="U144">
        <v>128.5</v>
      </c>
      <c r="V144">
        <v>117.8</v>
      </c>
      <c r="W144">
        <v>125</v>
      </c>
      <c r="X144">
        <v>122.3</v>
      </c>
      <c r="Y144">
        <v>113.7</v>
      </c>
      <c r="Z144">
        <v>121.8</v>
      </c>
      <c r="AA144">
        <v>132.30000000000001</v>
      </c>
      <c r="AB144">
        <v>119.9</v>
      </c>
      <c r="AC144">
        <v>121.4</v>
      </c>
      <c r="AD144">
        <v>127.6</v>
      </c>
    </row>
    <row r="145" spans="1:30" x14ac:dyDescent="0.3">
      <c r="A145" t="s">
        <v>34</v>
      </c>
      <c r="B145">
        <v>2016</v>
      </c>
      <c r="C145" t="s">
        <v>46</v>
      </c>
      <c r="D145">
        <v>132.30000000000001</v>
      </c>
      <c r="E145">
        <v>137.6</v>
      </c>
      <c r="F145">
        <v>132.9</v>
      </c>
      <c r="G145">
        <v>135.1</v>
      </c>
      <c r="H145">
        <v>118.6</v>
      </c>
      <c r="I145">
        <v>132.69999999999999</v>
      </c>
      <c r="J145">
        <v>125.3</v>
      </c>
      <c r="K145">
        <v>168.7</v>
      </c>
      <c r="L145">
        <v>114.4</v>
      </c>
      <c r="M145">
        <v>140.19999999999999</v>
      </c>
      <c r="N145">
        <v>126.6</v>
      </c>
      <c r="O145">
        <v>142.30000000000001</v>
      </c>
      <c r="P145">
        <v>134</v>
      </c>
      <c r="Q145">
        <v>143.1</v>
      </c>
      <c r="R145">
        <v>136.30000000000001</v>
      </c>
      <c r="S145">
        <v>129.80000000000001</v>
      </c>
      <c r="T145">
        <v>135.4</v>
      </c>
      <c r="U145">
        <v>128.5</v>
      </c>
      <c r="V145">
        <v>126.6</v>
      </c>
      <c r="W145">
        <v>129.19999999999999</v>
      </c>
      <c r="X145">
        <v>126.9</v>
      </c>
      <c r="Y145">
        <v>116</v>
      </c>
      <c r="Z145">
        <v>124.2</v>
      </c>
      <c r="AA145">
        <v>133.1</v>
      </c>
      <c r="AB145">
        <v>121.1</v>
      </c>
      <c r="AC145">
        <v>123.9</v>
      </c>
      <c r="AD145">
        <v>130.4</v>
      </c>
    </row>
    <row r="146" spans="1:30" x14ac:dyDescent="0.3">
      <c r="A146" t="s">
        <v>30</v>
      </c>
      <c r="B146">
        <v>2017</v>
      </c>
      <c r="C146" t="s">
        <v>31</v>
      </c>
      <c r="D146">
        <v>133.1</v>
      </c>
      <c r="E146">
        <v>137.80000000000001</v>
      </c>
      <c r="F146">
        <v>131.9</v>
      </c>
      <c r="G146">
        <v>136.69999999999999</v>
      </c>
      <c r="H146">
        <v>122</v>
      </c>
      <c r="I146">
        <v>136</v>
      </c>
      <c r="J146">
        <v>119.8</v>
      </c>
      <c r="K146">
        <v>161.69999999999999</v>
      </c>
      <c r="L146">
        <v>114.8</v>
      </c>
      <c r="M146">
        <v>136.9</v>
      </c>
      <c r="N146">
        <v>129</v>
      </c>
      <c r="O146">
        <v>143.9</v>
      </c>
      <c r="P146">
        <v>133.69999999999999</v>
      </c>
      <c r="Q146">
        <v>143.1</v>
      </c>
      <c r="R146">
        <v>140.69999999999999</v>
      </c>
      <c r="S146">
        <v>135.80000000000001</v>
      </c>
      <c r="T146">
        <v>140</v>
      </c>
      <c r="U146" t="s">
        <v>32</v>
      </c>
      <c r="V146">
        <v>132.1</v>
      </c>
      <c r="W146">
        <v>133.19999999999999</v>
      </c>
      <c r="X146">
        <v>129.9</v>
      </c>
      <c r="Y146">
        <v>119.1</v>
      </c>
      <c r="Z146">
        <v>127</v>
      </c>
      <c r="AA146">
        <v>134.6</v>
      </c>
      <c r="AB146">
        <v>122.3</v>
      </c>
      <c r="AC146">
        <v>126.6</v>
      </c>
      <c r="AD146">
        <v>132.4</v>
      </c>
    </row>
    <row r="147" spans="1:30" x14ac:dyDescent="0.3">
      <c r="A147" t="s">
        <v>33</v>
      </c>
      <c r="B147">
        <v>2017</v>
      </c>
      <c r="C147" t="s">
        <v>31</v>
      </c>
      <c r="D147">
        <v>132.19999999999999</v>
      </c>
      <c r="E147">
        <v>138.9</v>
      </c>
      <c r="F147">
        <v>132.6</v>
      </c>
      <c r="G147">
        <v>133.1</v>
      </c>
      <c r="H147">
        <v>114</v>
      </c>
      <c r="I147">
        <v>129.6</v>
      </c>
      <c r="J147">
        <v>118.7</v>
      </c>
      <c r="K147">
        <v>155.1</v>
      </c>
      <c r="L147">
        <v>117.3</v>
      </c>
      <c r="M147">
        <v>144.9</v>
      </c>
      <c r="N147">
        <v>123.2</v>
      </c>
      <c r="O147">
        <v>141.6</v>
      </c>
      <c r="P147">
        <v>132</v>
      </c>
      <c r="Q147">
        <v>145.6</v>
      </c>
      <c r="R147">
        <v>130.19999999999999</v>
      </c>
      <c r="S147">
        <v>122.3</v>
      </c>
      <c r="T147">
        <v>129</v>
      </c>
      <c r="U147">
        <v>129.6</v>
      </c>
      <c r="V147">
        <v>118</v>
      </c>
      <c r="W147">
        <v>125.1</v>
      </c>
      <c r="X147">
        <v>122.6</v>
      </c>
      <c r="Y147">
        <v>115.2</v>
      </c>
      <c r="Z147">
        <v>122</v>
      </c>
      <c r="AA147">
        <v>132.4</v>
      </c>
      <c r="AB147">
        <v>120.9</v>
      </c>
      <c r="AC147">
        <v>122.1</v>
      </c>
      <c r="AD147">
        <v>127.8</v>
      </c>
    </row>
    <row r="148" spans="1:30" x14ac:dyDescent="0.3">
      <c r="A148" t="s">
        <v>34</v>
      </c>
      <c r="B148">
        <v>2017</v>
      </c>
      <c r="C148" t="s">
        <v>31</v>
      </c>
      <c r="D148">
        <v>132.80000000000001</v>
      </c>
      <c r="E148">
        <v>138.19999999999999</v>
      </c>
      <c r="F148">
        <v>132.19999999999999</v>
      </c>
      <c r="G148">
        <v>135.4</v>
      </c>
      <c r="H148">
        <v>119.1</v>
      </c>
      <c r="I148">
        <v>133</v>
      </c>
      <c r="J148">
        <v>119.4</v>
      </c>
      <c r="K148">
        <v>159.5</v>
      </c>
      <c r="L148">
        <v>115.6</v>
      </c>
      <c r="M148">
        <v>139.6</v>
      </c>
      <c r="N148">
        <v>126.6</v>
      </c>
      <c r="O148">
        <v>142.80000000000001</v>
      </c>
      <c r="P148">
        <v>133.1</v>
      </c>
      <c r="Q148">
        <v>143.80000000000001</v>
      </c>
      <c r="R148">
        <v>136.6</v>
      </c>
      <c r="S148">
        <v>130.19999999999999</v>
      </c>
      <c r="T148">
        <v>135.6</v>
      </c>
      <c r="U148">
        <v>129.6</v>
      </c>
      <c r="V148">
        <v>126.8</v>
      </c>
      <c r="W148">
        <v>129.4</v>
      </c>
      <c r="X148">
        <v>127.1</v>
      </c>
      <c r="Y148">
        <v>117</v>
      </c>
      <c r="Z148">
        <v>124.2</v>
      </c>
      <c r="AA148">
        <v>133.30000000000001</v>
      </c>
      <c r="AB148">
        <v>121.7</v>
      </c>
      <c r="AC148">
        <v>124.4</v>
      </c>
      <c r="AD148">
        <v>130.30000000000001</v>
      </c>
    </row>
    <row r="149" spans="1:30" x14ac:dyDescent="0.3">
      <c r="A149" t="s">
        <v>30</v>
      </c>
      <c r="B149">
        <v>2017</v>
      </c>
      <c r="C149" t="s">
        <v>35</v>
      </c>
      <c r="D149">
        <v>133.30000000000001</v>
      </c>
      <c r="E149">
        <v>138.30000000000001</v>
      </c>
      <c r="F149">
        <v>129.30000000000001</v>
      </c>
      <c r="G149">
        <v>137.19999999999999</v>
      </c>
      <c r="H149">
        <v>122.1</v>
      </c>
      <c r="I149">
        <v>138.69999999999999</v>
      </c>
      <c r="J149">
        <v>119.1</v>
      </c>
      <c r="K149">
        <v>156.9</v>
      </c>
      <c r="L149">
        <v>116.2</v>
      </c>
      <c r="M149">
        <v>136</v>
      </c>
      <c r="N149">
        <v>129.4</v>
      </c>
      <c r="O149">
        <v>144.4</v>
      </c>
      <c r="P149">
        <v>133.6</v>
      </c>
      <c r="Q149">
        <v>143.69999999999999</v>
      </c>
      <c r="R149">
        <v>140.9</v>
      </c>
      <c r="S149">
        <v>135.80000000000001</v>
      </c>
      <c r="T149">
        <v>140.19999999999999</v>
      </c>
      <c r="U149" t="s">
        <v>32</v>
      </c>
      <c r="V149">
        <v>133.19999999999999</v>
      </c>
      <c r="W149">
        <v>133.6</v>
      </c>
      <c r="X149">
        <v>130.1</v>
      </c>
      <c r="Y149">
        <v>119.5</v>
      </c>
      <c r="Z149">
        <v>127.7</v>
      </c>
      <c r="AA149">
        <v>134.9</v>
      </c>
      <c r="AB149">
        <v>123.2</v>
      </c>
      <c r="AC149">
        <v>127</v>
      </c>
      <c r="AD149">
        <v>132.6</v>
      </c>
    </row>
    <row r="150" spans="1:30" x14ac:dyDescent="0.3">
      <c r="A150" t="s">
        <v>33</v>
      </c>
      <c r="B150">
        <v>2017</v>
      </c>
      <c r="C150" t="s">
        <v>35</v>
      </c>
      <c r="D150">
        <v>132.80000000000001</v>
      </c>
      <c r="E150">
        <v>139.80000000000001</v>
      </c>
      <c r="F150">
        <v>129.30000000000001</v>
      </c>
      <c r="G150">
        <v>133.5</v>
      </c>
      <c r="H150">
        <v>114.3</v>
      </c>
      <c r="I150">
        <v>131.4</v>
      </c>
      <c r="J150">
        <v>120.2</v>
      </c>
      <c r="K150">
        <v>143.1</v>
      </c>
      <c r="L150">
        <v>119.5</v>
      </c>
      <c r="M150">
        <v>144</v>
      </c>
      <c r="N150">
        <v>123.4</v>
      </c>
      <c r="O150">
        <v>141.9</v>
      </c>
      <c r="P150">
        <v>132.1</v>
      </c>
      <c r="Q150">
        <v>146.30000000000001</v>
      </c>
      <c r="R150">
        <v>130.5</v>
      </c>
      <c r="S150">
        <v>122.5</v>
      </c>
      <c r="T150">
        <v>129.30000000000001</v>
      </c>
      <c r="U150">
        <v>130.5</v>
      </c>
      <c r="V150">
        <v>119.2</v>
      </c>
      <c r="W150">
        <v>125.3</v>
      </c>
      <c r="X150">
        <v>122.9</v>
      </c>
      <c r="Y150">
        <v>115.5</v>
      </c>
      <c r="Z150">
        <v>122.2</v>
      </c>
      <c r="AA150">
        <v>132.4</v>
      </c>
      <c r="AB150">
        <v>121.7</v>
      </c>
      <c r="AC150">
        <v>122.4</v>
      </c>
      <c r="AD150">
        <v>128.19999999999999</v>
      </c>
    </row>
    <row r="151" spans="1:30" x14ac:dyDescent="0.3">
      <c r="A151" t="s">
        <v>34</v>
      </c>
      <c r="B151">
        <v>2017</v>
      </c>
      <c r="C151" t="s">
        <v>35</v>
      </c>
      <c r="D151">
        <v>133.1</v>
      </c>
      <c r="E151">
        <v>138.80000000000001</v>
      </c>
      <c r="F151">
        <v>129.30000000000001</v>
      </c>
      <c r="G151">
        <v>135.80000000000001</v>
      </c>
      <c r="H151">
        <v>119.2</v>
      </c>
      <c r="I151">
        <v>135.30000000000001</v>
      </c>
      <c r="J151">
        <v>119.5</v>
      </c>
      <c r="K151">
        <v>152.19999999999999</v>
      </c>
      <c r="L151">
        <v>117.3</v>
      </c>
      <c r="M151">
        <v>138.69999999999999</v>
      </c>
      <c r="N151">
        <v>126.9</v>
      </c>
      <c r="O151">
        <v>143.19999999999999</v>
      </c>
      <c r="P151">
        <v>133</v>
      </c>
      <c r="Q151">
        <v>144.4</v>
      </c>
      <c r="R151">
        <v>136.80000000000001</v>
      </c>
      <c r="S151">
        <v>130.30000000000001</v>
      </c>
      <c r="T151">
        <v>135.9</v>
      </c>
      <c r="U151">
        <v>130.5</v>
      </c>
      <c r="V151">
        <v>127.9</v>
      </c>
      <c r="W151">
        <v>129.69999999999999</v>
      </c>
      <c r="X151">
        <v>127.4</v>
      </c>
      <c r="Y151">
        <v>117.4</v>
      </c>
      <c r="Z151">
        <v>124.6</v>
      </c>
      <c r="AA151">
        <v>133.4</v>
      </c>
      <c r="AB151">
        <v>122.6</v>
      </c>
      <c r="AC151">
        <v>124.8</v>
      </c>
      <c r="AD151">
        <v>130.6</v>
      </c>
    </row>
    <row r="152" spans="1:30" x14ac:dyDescent="0.3">
      <c r="A152" t="s">
        <v>30</v>
      </c>
      <c r="B152">
        <v>2017</v>
      </c>
      <c r="C152" t="s">
        <v>36</v>
      </c>
      <c r="D152">
        <v>133.6</v>
      </c>
      <c r="E152">
        <v>138.80000000000001</v>
      </c>
      <c r="F152">
        <v>128.80000000000001</v>
      </c>
      <c r="G152">
        <v>137.19999999999999</v>
      </c>
      <c r="H152">
        <v>121.6</v>
      </c>
      <c r="I152">
        <v>139.69999999999999</v>
      </c>
      <c r="J152">
        <v>119.7</v>
      </c>
      <c r="K152">
        <v>148</v>
      </c>
      <c r="L152">
        <v>116.9</v>
      </c>
      <c r="M152">
        <v>135.6</v>
      </c>
      <c r="N152">
        <v>129.80000000000001</v>
      </c>
      <c r="O152">
        <v>145.4</v>
      </c>
      <c r="P152">
        <v>133.4</v>
      </c>
      <c r="Q152">
        <v>144.19999999999999</v>
      </c>
      <c r="R152">
        <v>141.6</v>
      </c>
      <c r="S152">
        <v>136.19999999999999</v>
      </c>
      <c r="T152">
        <v>140.80000000000001</v>
      </c>
      <c r="U152" t="s">
        <v>32</v>
      </c>
      <c r="V152">
        <v>134.19999999999999</v>
      </c>
      <c r="W152">
        <v>134.1</v>
      </c>
      <c r="X152">
        <v>130.6</v>
      </c>
      <c r="Y152">
        <v>119.8</v>
      </c>
      <c r="Z152">
        <v>128.30000000000001</v>
      </c>
      <c r="AA152">
        <v>135.19999999999999</v>
      </c>
      <c r="AB152">
        <v>123.3</v>
      </c>
      <c r="AC152">
        <v>127.4</v>
      </c>
      <c r="AD152">
        <v>132.80000000000001</v>
      </c>
    </row>
    <row r="153" spans="1:30" x14ac:dyDescent="0.3">
      <c r="A153" t="s">
        <v>33</v>
      </c>
      <c r="B153">
        <v>2017</v>
      </c>
      <c r="C153" t="s">
        <v>36</v>
      </c>
      <c r="D153">
        <v>132.69999999999999</v>
      </c>
      <c r="E153">
        <v>139.4</v>
      </c>
      <c r="F153">
        <v>128.4</v>
      </c>
      <c r="G153">
        <v>134.9</v>
      </c>
      <c r="H153">
        <v>114</v>
      </c>
      <c r="I153">
        <v>136.80000000000001</v>
      </c>
      <c r="J153">
        <v>122.2</v>
      </c>
      <c r="K153">
        <v>135.80000000000001</v>
      </c>
      <c r="L153">
        <v>120.3</v>
      </c>
      <c r="M153">
        <v>142.6</v>
      </c>
      <c r="N153">
        <v>123.6</v>
      </c>
      <c r="O153">
        <v>142.4</v>
      </c>
      <c r="P153">
        <v>132.6</v>
      </c>
      <c r="Q153">
        <v>147.5</v>
      </c>
      <c r="R153">
        <v>130.80000000000001</v>
      </c>
      <c r="S153">
        <v>122.8</v>
      </c>
      <c r="T153">
        <v>129.6</v>
      </c>
      <c r="U153">
        <v>131.1</v>
      </c>
      <c r="V153">
        <v>120.8</v>
      </c>
      <c r="W153">
        <v>125.6</v>
      </c>
      <c r="X153">
        <v>123.1</v>
      </c>
      <c r="Y153">
        <v>115.6</v>
      </c>
      <c r="Z153">
        <v>122.4</v>
      </c>
      <c r="AA153">
        <v>132.80000000000001</v>
      </c>
      <c r="AB153">
        <v>121.7</v>
      </c>
      <c r="AC153">
        <v>122.6</v>
      </c>
      <c r="AD153">
        <v>128.69999999999999</v>
      </c>
    </row>
    <row r="154" spans="1:30" x14ac:dyDescent="0.3">
      <c r="A154" t="s">
        <v>34</v>
      </c>
      <c r="B154">
        <v>2017</v>
      </c>
      <c r="C154" t="s">
        <v>36</v>
      </c>
      <c r="D154">
        <v>133.30000000000001</v>
      </c>
      <c r="E154">
        <v>139</v>
      </c>
      <c r="F154">
        <v>128.6</v>
      </c>
      <c r="G154">
        <v>136.30000000000001</v>
      </c>
      <c r="H154">
        <v>118.8</v>
      </c>
      <c r="I154">
        <v>138.30000000000001</v>
      </c>
      <c r="J154">
        <v>120.5</v>
      </c>
      <c r="K154">
        <v>143.9</v>
      </c>
      <c r="L154">
        <v>118</v>
      </c>
      <c r="M154">
        <v>137.9</v>
      </c>
      <c r="N154">
        <v>127.2</v>
      </c>
      <c r="O154">
        <v>144</v>
      </c>
      <c r="P154">
        <v>133.1</v>
      </c>
      <c r="Q154">
        <v>145.1</v>
      </c>
      <c r="R154">
        <v>137.30000000000001</v>
      </c>
      <c r="S154">
        <v>130.6</v>
      </c>
      <c r="T154">
        <v>136.4</v>
      </c>
      <c r="U154">
        <v>131.1</v>
      </c>
      <c r="V154">
        <v>129.1</v>
      </c>
      <c r="W154">
        <v>130.1</v>
      </c>
      <c r="X154">
        <v>127.8</v>
      </c>
      <c r="Y154">
        <v>117.6</v>
      </c>
      <c r="Z154">
        <v>125</v>
      </c>
      <c r="AA154">
        <v>133.80000000000001</v>
      </c>
      <c r="AB154">
        <v>122.6</v>
      </c>
      <c r="AC154">
        <v>125.1</v>
      </c>
      <c r="AD154">
        <v>130.9</v>
      </c>
    </row>
    <row r="155" spans="1:30" x14ac:dyDescent="0.3">
      <c r="A155" t="s">
        <v>30</v>
      </c>
      <c r="B155">
        <v>2017</v>
      </c>
      <c r="C155" t="s">
        <v>37</v>
      </c>
      <c r="D155">
        <v>133.19999999999999</v>
      </c>
      <c r="E155">
        <v>138.69999999999999</v>
      </c>
      <c r="F155">
        <v>127.1</v>
      </c>
      <c r="G155">
        <v>137.69999999999999</v>
      </c>
      <c r="H155">
        <v>121.3</v>
      </c>
      <c r="I155">
        <v>141.80000000000001</v>
      </c>
      <c r="J155">
        <v>121.5</v>
      </c>
      <c r="K155">
        <v>144.5</v>
      </c>
      <c r="L155">
        <v>117.4</v>
      </c>
      <c r="M155">
        <v>134.1</v>
      </c>
      <c r="N155">
        <v>130</v>
      </c>
      <c r="O155">
        <v>145.5</v>
      </c>
      <c r="P155">
        <v>133.5</v>
      </c>
      <c r="Q155">
        <v>144.4</v>
      </c>
      <c r="R155">
        <v>142.4</v>
      </c>
      <c r="S155">
        <v>136.80000000000001</v>
      </c>
      <c r="T155">
        <v>141.6</v>
      </c>
      <c r="U155" t="s">
        <v>32</v>
      </c>
      <c r="V155">
        <v>135</v>
      </c>
      <c r="W155">
        <v>134.30000000000001</v>
      </c>
      <c r="X155">
        <v>131</v>
      </c>
      <c r="Y155">
        <v>119.2</v>
      </c>
      <c r="Z155">
        <v>128.30000000000001</v>
      </c>
      <c r="AA155">
        <v>135.69999999999999</v>
      </c>
      <c r="AB155">
        <v>123.7</v>
      </c>
      <c r="AC155">
        <v>127.5</v>
      </c>
      <c r="AD155">
        <v>132.9</v>
      </c>
    </row>
    <row r="156" spans="1:30" x14ac:dyDescent="0.3">
      <c r="A156" t="s">
        <v>33</v>
      </c>
      <c r="B156">
        <v>2017</v>
      </c>
      <c r="C156" t="s">
        <v>37</v>
      </c>
      <c r="D156">
        <v>132.69999999999999</v>
      </c>
      <c r="E156">
        <v>140.6</v>
      </c>
      <c r="F156">
        <v>124.5</v>
      </c>
      <c r="G156">
        <v>136.30000000000001</v>
      </c>
      <c r="H156">
        <v>113.5</v>
      </c>
      <c r="I156">
        <v>137.69999999999999</v>
      </c>
      <c r="J156">
        <v>127.1</v>
      </c>
      <c r="K156">
        <v>133.80000000000001</v>
      </c>
      <c r="L156">
        <v>120.8</v>
      </c>
      <c r="M156">
        <v>141.30000000000001</v>
      </c>
      <c r="N156">
        <v>123.8</v>
      </c>
      <c r="O156">
        <v>142.6</v>
      </c>
      <c r="P156">
        <v>133.4</v>
      </c>
      <c r="Q156">
        <v>148</v>
      </c>
      <c r="R156">
        <v>131.19999999999999</v>
      </c>
      <c r="S156">
        <v>123</v>
      </c>
      <c r="T156">
        <v>130</v>
      </c>
      <c r="U156">
        <v>131.69999999999999</v>
      </c>
      <c r="V156">
        <v>121.4</v>
      </c>
      <c r="W156">
        <v>126</v>
      </c>
      <c r="X156">
        <v>123.4</v>
      </c>
      <c r="Y156">
        <v>114.3</v>
      </c>
      <c r="Z156">
        <v>122.6</v>
      </c>
      <c r="AA156">
        <v>133.6</v>
      </c>
      <c r="AB156">
        <v>122.2</v>
      </c>
      <c r="AC156">
        <v>122.5</v>
      </c>
      <c r="AD156">
        <v>129.1</v>
      </c>
    </row>
    <row r="157" spans="1:30" x14ac:dyDescent="0.3">
      <c r="A157" t="s">
        <v>34</v>
      </c>
      <c r="B157">
        <v>2017</v>
      </c>
      <c r="C157" t="s">
        <v>37</v>
      </c>
      <c r="D157">
        <v>133</v>
      </c>
      <c r="E157">
        <v>139.4</v>
      </c>
      <c r="F157">
        <v>126.1</v>
      </c>
      <c r="G157">
        <v>137.19999999999999</v>
      </c>
      <c r="H157">
        <v>118.4</v>
      </c>
      <c r="I157">
        <v>139.9</v>
      </c>
      <c r="J157">
        <v>123.4</v>
      </c>
      <c r="K157">
        <v>140.9</v>
      </c>
      <c r="L157">
        <v>118.5</v>
      </c>
      <c r="M157">
        <v>136.5</v>
      </c>
      <c r="N157">
        <v>127.4</v>
      </c>
      <c r="O157">
        <v>144.19999999999999</v>
      </c>
      <c r="P157">
        <v>133.5</v>
      </c>
      <c r="Q157">
        <v>145.4</v>
      </c>
      <c r="R157">
        <v>138</v>
      </c>
      <c r="S157">
        <v>131.1</v>
      </c>
      <c r="T157">
        <v>137</v>
      </c>
      <c r="U157">
        <v>131.69999999999999</v>
      </c>
      <c r="V157">
        <v>129.80000000000001</v>
      </c>
      <c r="W157">
        <v>130.4</v>
      </c>
      <c r="X157">
        <v>128.1</v>
      </c>
      <c r="Y157">
        <v>116.6</v>
      </c>
      <c r="Z157">
        <v>125.1</v>
      </c>
      <c r="AA157">
        <v>134.5</v>
      </c>
      <c r="AB157">
        <v>123.1</v>
      </c>
      <c r="AC157">
        <v>125.1</v>
      </c>
      <c r="AD157">
        <v>131.1</v>
      </c>
    </row>
    <row r="158" spans="1:30" x14ac:dyDescent="0.3">
      <c r="A158" t="s">
        <v>30</v>
      </c>
      <c r="B158">
        <v>2017</v>
      </c>
      <c r="C158" t="s">
        <v>38</v>
      </c>
      <c r="D158">
        <v>133.1</v>
      </c>
      <c r="E158">
        <v>140.30000000000001</v>
      </c>
      <c r="F158">
        <v>126.8</v>
      </c>
      <c r="G158">
        <v>138.19999999999999</v>
      </c>
      <c r="H158">
        <v>120.8</v>
      </c>
      <c r="I158">
        <v>140.19999999999999</v>
      </c>
      <c r="J158">
        <v>123.8</v>
      </c>
      <c r="K158">
        <v>141.80000000000001</v>
      </c>
      <c r="L158">
        <v>118.6</v>
      </c>
      <c r="M158">
        <v>134</v>
      </c>
      <c r="N158">
        <v>130.30000000000001</v>
      </c>
      <c r="O158">
        <v>145.80000000000001</v>
      </c>
      <c r="P158">
        <v>133.80000000000001</v>
      </c>
      <c r="Q158">
        <v>145.5</v>
      </c>
      <c r="R158">
        <v>142.5</v>
      </c>
      <c r="S158">
        <v>137.30000000000001</v>
      </c>
      <c r="T158">
        <v>141.80000000000001</v>
      </c>
      <c r="U158" t="s">
        <v>32</v>
      </c>
      <c r="V158">
        <v>135</v>
      </c>
      <c r="W158">
        <v>134.9</v>
      </c>
      <c r="X158">
        <v>131.4</v>
      </c>
      <c r="Y158">
        <v>119.4</v>
      </c>
      <c r="Z158">
        <v>129.4</v>
      </c>
      <c r="AA158">
        <v>136.30000000000001</v>
      </c>
      <c r="AB158">
        <v>123.7</v>
      </c>
      <c r="AC158">
        <v>127.9</v>
      </c>
      <c r="AD158">
        <v>133.30000000000001</v>
      </c>
    </row>
    <row r="159" spans="1:30" x14ac:dyDescent="0.3">
      <c r="A159" t="s">
        <v>33</v>
      </c>
      <c r="B159">
        <v>2017</v>
      </c>
      <c r="C159" t="s">
        <v>38</v>
      </c>
      <c r="D159">
        <v>132.6</v>
      </c>
      <c r="E159">
        <v>144.1</v>
      </c>
      <c r="F159">
        <v>125.6</v>
      </c>
      <c r="G159">
        <v>136.80000000000001</v>
      </c>
      <c r="H159">
        <v>113.4</v>
      </c>
      <c r="I159">
        <v>135.19999999999999</v>
      </c>
      <c r="J159">
        <v>129.19999999999999</v>
      </c>
      <c r="K159">
        <v>131.5</v>
      </c>
      <c r="L159">
        <v>121</v>
      </c>
      <c r="M159">
        <v>139.9</v>
      </c>
      <c r="N159">
        <v>123.8</v>
      </c>
      <c r="O159">
        <v>142.9</v>
      </c>
      <c r="P159">
        <v>133.6</v>
      </c>
      <c r="Q159">
        <v>148.30000000000001</v>
      </c>
      <c r="R159">
        <v>131.5</v>
      </c>
      <c r="S159">
        <v>123.2</v>
      </c>
      <c r="T159">
        <v>130.19999999999999</v>
      </c>
      <c r="U159">
        <v>132.1</v>
      </c>
      <c r="V159">
        <v>120.1</v>
      </c>
      <c r="W159">
        <v>126.5</v>
      </c>
      <c r="X159">
        <v>123.6</v>
      </c>
      <c r="Y159">
        <v>114.3</v>
      </c>
      <c r="Z159">
        <v>122.8</v>
      </c>
      <c r="AA159">
        <v>133.80000000000001</v>
      </c>
      <c r="AB159">
        <v>122</v>
      </c>
      <c r="AC159">
        <v>122.6</v>
      </c>
      <c r="AD159">
        <v>129.30000000000001</v>
      </c>
    </row>
    <row r="160" spans="1:30" x14ac:dyDescent="0.3">
      <c r="A160" t="s">
        <v>34</v>
      </c>
      <c r="B160">
        <v>2017</v>
      </c>
      <c r="C160" t="s">
        <v>38</v>
      </c>
      <c r="D160">
        <v>132.9</v>
      </c>
      <c r="E160">
        <v>141.6</v>
      </c>
      <c r="F160">
        <v>126.3</v>
      </c>
      <c r="G160">
        <v>137.69999999999999</v>
      </c>
      <c r="H160">
        <v>118.1</v>
      </c>
      <c r="I160">
        <v>137.9</v>
      </c>
      <c r="J160">
        <v>125.6</v>
      </c>
      <c r="K160">
        <v>138.30000000000001</v>
      </c>
      <c r="L160">
        <v>119.4</v>
      </c>
      <c r="M160">
        <v>136</v>
      </c>
      <c r="N160">
        <v>127.6</v>
      </c>
      <c r="O160">
        <v>144.5</v>
      </c>
      <c r="P160">
        <v>133.69999999999999</v>
      </c>
      <c r="Q160">
        <v>146.19999999999999</v>
      </c>
      <c r="R160">
        <v>138.19999999999999</v>
      </c>
      <c r="S160">
        <v>131.4</v>
      </c>
      <c r="T160">
        <v>137.19999999999999</v>
      </c>
      <c r="U160">
        <v>132.1</v>
      </c>
      <c r="V160">
        <v>129.4</v>
      </c>
      <c r="W160">
        <v>130.9</v>
      </c>
      <c r="X160">
        <v>128.4</v>
      </c>
      <c r="Y160">
        <v>116.7</v>
      </c>
      <c r="Z160">
        <v>125.7</v>
      </c>
      <c r="AA160">
        <v>134.80000000000001</v>
      </c>
      <c r="AB160">
        <v>123</v>
      </c>
      <c r="AC160">
        <v>125.3</v>
      </c>
      <c r="AD160">
        <v>131.4</v>
      </c>
    </row>
    <row r="161" spans="1:30" x14ac:dyDescent="0.3">
      <c r="A161" t="s">
        <v>30</v>
      </c>
      <c r="B161">
        <v>2017</v>
      </c>
      <c r="C161" t="s">
        <v>39</v>
      </c>
      <c r="D161">
        <v>133.5</v>
      </c>
      <c r="E161">
        <v>143.69999999999999</v>
      </c>
      <c r="F161">
        <v>128</v>
      </c>
      <c r="G161">
        <v>138.6</v>
      </c>
      <c r="H161">
        <v>120.9</v>
      </c>
      <c r="I161">
        <v>140.9</v>
      </c>
      <c r="J161">
        <v>128.80000000000001</v>
      </c>
      <c r="K161">
        <v>140.19999999999999</v>
      </c>
      <c r="L161">
        <v>118.9</v>
      </c>
      <c r="M161">
        <v>133.5</v>
      </c>
      <c r="N161">
        <v>130.4</v>
      </c>
      <c r="O161">
        <v>146.5</v>
      </c>
      <c r="P161">
        <v>134.9</v>
      </c>
      <c r="Q161">
        <v>145.80000000000001</v>
      </c>
      <c r="R161">
        <v>143.1</v>
      </c>
      <c r="S161">
        <v>137.69999999999999</v>
      </c>
      <c r="T161">
        <v>142.30000000000001</v>
      </c>
      <c r="U161" t="s">
        <v>32</v>
      </c>
      <c r="V161">
        <v>134.80000000000001</v>
      </c>
      <c r="W161">
        <v>135.19999999999999</v>
      </c>
      <c r="X161">
        <v>131.30000000000001</v>
      </c>
      <c r="Y161">
        <v>119.4</v>
      </c>
      <c r="Z161">
        <v>129.80000000000001</v>
      </c>
      <c r="AA161">
        <v>136.9</v>
      </c>
      <c r="AB161">
        <v>124.1</v>
      </c>
      <c r="AC161">
        <v>128.1</v>
      </c>
      <c r="AD161">
        <v>133.9</v>
      </c>
    </row>
    <row r="162" spans="1:30" x14ac:dyDescent="0.3">
      <c r="A162" t="s">
        <v>33</v>
      </c>
      <c r="B162">
        <v>2017</v>
      </c>
      <c r="C162" t="s">
        <v>39</v>
      </c>
      <c r="D162">
        <v>132.9</v>
      </c>
      <c r="E162">
        <v>148.69999999999999</v>
      </c>
      <c r="F162">
        <v>128.30000000000001</v>
      </c>
      <c r="G162">
        <v>137.30000000000001</v>
      </c>
      <c r="H162">
        <v>113.5</v>
      </c>
      <c r="I162">
        <v>137.19999999999999</v>
      </c>
      <c r="J162">
        <v>142.19999999999999</v>
      </c>
      <c r="K162">
        <v>128.19999999999999</v>
      </c>
      <c r="L162">
        <v>120.9</v>
      </c>
      <c r="M162">
        <v>138.80000000000001</v>
      </c>
      <c r="N162">
        <v>124.2</v>
      </c>
      <c r="O162">
        <v>143.1</v>
      </c>
      <c r="P162">
        <v>135.69999999999999</v>
      </c>
      <c r="Q162">
        <v>148.6</v>
      </c>
      <c r="R162">
        <v>131.5</v>
      </c>
      <c r="S162">
        <v>123.2</v>
      </c>
      <c r="T162">
        <v>130.19999999999999</v>
      </c>
      <c r="U162">
        <v>131.4</v>
      </c>
      <c r="V162">
        <v>119</v>
      </c>
      <c r="W162">
        <v>126.8</v>
      </c>
      <c r="X162">
        <v>123.8</v>
      </c>
      <c r="Y162">
        <v>113.9</v>
      </c>
      <c r="Z162">
        <v>122.9</v>
      </c>
      <c r="AA162">
        <v>134.30000000000001</v>
      </c>
      <c r="AB162">
        <v>122.5</v>
      </c>
      <c r="AC162">
        <v>122.7</v>
      </c>
      <c r="AD162">
        <v>129.9</v>
      </c>
    </row>
    <row r="163" spans="1:30" x14ac:dyDescent="0.3">
      <c r="A163" t="s">
        <v>34</v>
      </c>
      <c r="B163">
        <v>2017</v>
      </c>
      <c r="C163" t="s">
        <v>39</v>
      </c>
      <c r="D163">
        <v>133.30000000000001</v>
      </c>
      <c r="E163">
        <v>145.5</v>
      </c>
      <c r="F163">
        <v>128.1</v>
      </c>
      <c r="G163">
        <v>138.1</v>
      </c>
      <c r="H163">
        <v>118.2</v>
      </c>
      <c r="I163">
        <v>139.19999999999999</v>
      </c>
      <c r="J163">
        <v>133.30000000000001</v>
      </c>
      <c r="K163">
        <v>136.19999999999999</v>
      </c>
      <c r="L163">
        <v>119.6</v>
      </c>
      <c r="M163">
        <v>135.30000000000001</v>
      </c>
      <c r="N163">
        <v>127.8</v>
      </c>
      <c r="O163">
        <v>144.9</v>
      </c>
      <c r="P163">
        <v>135.19999999999999</v>
      </c>
      <c r="Q163">
        <v>146.5</v>
      </c>
      <c r="R163">
        <v>138.5</v>
      </c>
      <c r="S163">
        <v>131.69999999999999</v>
      </c>
      <c r="T163">
        <v>137.5</v>
      </c>
      <c r="U163">
        <v>131.4</v>
      </c>
      <c r="V163">
        <v>128.80000000000001</v>
      </c>
      <c r="W163">
        <v>131.19999999999999</v>
      </c>
      <c r="X163">
        <v>128.5</v>
      </c>
      <c r="Y163">
        <v>116.5</v>
      </c>
      <c r="Z163">
        <v>125.9</v>
      </c>
      <c r="AA163">
        <v>135.4</v>
      </c>
      <c r="AB163">
        <v>123.4</v>
      </c>
      <c r="AC163">
        <v>125.5</v>
      </c>
      <c r="AD163">
        <v>132</v>
      </c>
    </row>
    <row r="164" spans="1:30" x14ac:dyDescent="0.3">
      <c r="A164" t="s">
        <v>30</v>
      </c>
      <c r="B164">
        <v>2017</v>
      </c>
      <c r="C164" t="s">
        <v>40</v>
      </c>
      <c r="D164">
        <v>134</v>
      </c>
      <c r="E164">
        <v>144.19999999999999</v>
      </c>
      <c r="F164">
        <v>129.80000000000001</v>
      </c>
      <c r="G164">
        <v>139</v>
      </c>
      <c r="H164">
        <v>120.9</v>
      </c>
      <c r="I164">
        <v>143.9</v>
      </c>
      <c r="J164">
        <v>151.5</v>
      </c>
      <c r="K164">
        <v>138.1</v>
      </c>
      <c r="L164">
        <v>120</v>
      </c>
      <c r="M164">
        <v>133.9</v>
      </c>
      <c r="N164">
        <v>131.4</v>
      </c>
      <c r="O164">
        <v>147.69999999999999</v>
      </c>
      <c r="P164">
        <v>138.5</v>
      </c>
      <c r="Q164">
        <v>147.4</v>
      </c>
      <c r="R164">
        <v>144.30000000000001</v>
      </c>
      <c r="S164">
        <v>138.1</v>
      </c>
      <c r="T164">
        <v>143.5</v>
      </c>
      <c r="U164" t="s">
        <v>32</v>
      </c>
      <c r="V164">
        <v>135.30000000000001</v>
      </c>
      <c r="W164">
        <v>136.1</v>
      </c>
      <c r="X164">
        <v>132.1</v>
      </c>
      <c r="Y164">
        <v>119.1</v>
      </c>
      <c r="Z164">
        <v>130.6</v>
      </c>
      <c r="AA164">
        <v>138.6</v>
      </c>
      <c r="AB164">
        <v>124.4</v>
      </c>
      <c r="AC164">
        <v>128.6</v>
      </c>
      <c r="AD164">
        <v>136.19999999999999</v>
      </c>
    </row>
    <row r="165" spans="1:30" x14ac:dyDescent="0.3">
      <c r="A165" t="s">
        <v>33</v>
      </c>
      <c r="B165">
        <v>2017</v>
      </c>
      <c r="C165" t="s">
        <v>40</v>
      </c>
      <c r="D165">
        <v>132.80000000000001</v>
      </c>
      <c r="E165">
        <v>148.4</v>
      </c>
      <c r="F165">
        <v>129.4</v>
      </c>
      <c r="G165">
        <v>137.69999999999999</v>
      </c>
      <c r="H165">
        <v>113.4</v>
      </c>
      <c r="I165">
        <v>139.4</v>
      </c>
      <c r="J165">
        <v>175.1</v>
      </c>
      <c r="K165">
        <v>124.7</v>
      </c>
      <c r="L165">
        <v>121.5</v>
      </c>
      <c r="M165">
        <v>137.80000000000001</v>
      </c>
      <c r="N165">
        <v>124.4</v>
      </c>
      <c r="O165">
        <v>143.69999999999999</v>
      </c>
      <c r="P165">
        <v>139.80000000000001</v>
      </c>
      <c r="Q165">
        <v>150.5</v>
      </c>
      <c r="R165">
        <v>131.6</v>
      </c>
      <c r="S165">
        <v>123.7</v>
      </c>
      <c r="T165">
        <v>130.4</v>
      </c>
      <c r="U165">
        <v>132.6</v>
      </c>
      <c r="V165">
        <v>119.7</v>
      </c>
      <c r="W165">
        <v>127.2</v>
      </c>
      <c r="X165">
        <v>125</v>
      </c>
      <c r="Y165">
        <v>113.2</v>
      </c>
      <c r="Z165">
        <v>123.5</v>
      </c>
      <c r="AA165">
        <v>135.5</v>
      </c>
      <c r="AB165">
        <v>122.4</v>
      </c>
      <c r="AC165">
        <v>123</v>
      </c>
      <c r="AD165">
        <v>131.80000000000001</v>
      </c>
    </row>
    <row r="166" spans="1:30" x14ac:dyDescent="0.3">
      <c r="A166" t="s">
        <v>34</v>
      </c>
      <c r="B166">
        <v>2017</v>
      </c>
      <c r="C166" t="s">
        <v>40</v>
      </c>
      <c r="D166">
        <v>133.6</v>
      </c>
      <c r="E166">
        <v>145.69999999999999</v>
      </c>
      <c r="F166">
        <v>129.6</v>
      </c>
      <c r="G166">
        <v>138.5</v>
      </c>
      <c r="H166">
        <v>118.1</v>
      </c>
      <c r="I166">
        <v>141.80000000000001</v>
      </c>
      <c r="J166">
        <v>159.5</v>
      </c>
      <c r="K166">
        <v>133.6</v>
      </c>
      <c r="L166">
        <v>120.5</v>
      </c>
      <c r="M166">
        <v>135.19999999999999</v>
      </c>
      <c r="N166">
        <v>128.5</v>
      </c>
      <c r="O166">
        <v>145.80000000000001</v>
      </c>
      <c r="P166">
        <v>139</v>
      </c>
      <c r="Q166">
        <v>148.19999999999999</v>
      </c>
      <c r="R166">
        <v>139.30000000000001</v>
      </c>
      <c r="S166">
        <v>132.1</v>
      </c>
      <c r="T166">
        <v>138.30000000000001</v>
      </c>
      <c r="U166">
        <v>132.6</v>
      </c>
      <c r="V166">
        <v>129.4</v>
      </c>
      <c r="W166">
        <v>131.9</v>
      </c>
      <c r="X166">
        <v>129.4</v>
      </c>
      <c r="Y166">
        <v>116</v>
      </c>
      <c r="Z166">
        <v>126.6</v>
      </c>
      <c r="AA166">
        <v>136.80000000000001</v>
      </c>
      <c r="AB166">
        <v>123.6</v>
      </c>
      <c r="AC166">
        <v>125.9</v>
      </c>
      <c r="AD166">
        <v>134.19999999999999</v>
      </c>
    </row>
    <row r="167" spans="1:30" x14ac:dyDescent="0.3">
      <c r="A167" t="s">
        <v>30</v>
      </c>
      <c r="B167">
        <v>2017</v>
      </c>
      <c r="C167" t="s">
        <v>41</v>
      </c>
      <c r="D167">
        <v>134.80000000000001</v>
      </c>
      <c r="E167">
        <v>143.1</v>
      </c>
      <c r="F167">
        <v>130</v>
      </c>
      <c r="G167">
        <v>139.4</v>
      </c>
      <c r="H167">
        <v>120.5</v>
      </c>
      <c r="I167">
        <v>148</v>
      </c>
      <c r="J167">
        <v>162.9</v>
      </c>
      <c r="K167">
        <v>137.4</v>
      </c>
      <c r="L167">
        <v>120.8</v>
      </c>
      <c r="M167">
        <v>134.69999999999999</v>
      </c>
      <c r="N167">
        <v>131.6</v>
      </c>
      <c r="O167">
        <v>148.69999999999999</v>
      </c>
      <c r="P167">
        <v>140.6</v>
      </c>
      <c r="Q167">
        <v>149</v>
      </c>
      <c r="R167">
        <v>145.30000000000001</v>
      </c>
      <c r="S167">
        <v>139.19999999999999</v>
      </c>
      <c r="T167">
        <v>144.5</v>
      </c>
      <c r="U167" t="s">
        <v>32</v>
      </c>
      <c r="V167">
        <v>136.4</v>
      </c>
      <c r="W167">
        <v>137.30000000000001</v>
      </c>
      <c r="X167">
        <v>133</v>
      </c>
      <c r="Y167">
        <v>120.3</v>
      </c>
      <c r="Z167">
        <v>131.5</v>
      </c>
      <c r="AA167">
        <v>140.19999999999999</v>
      </c>
      <c r="AB167">
        <v>125.4</v>
      </c>
      <c r="AC167">
        <v>129.69999999999999</v>
      </c>
      <c r="AD167">
        <v>137.80000000000001</v>
      </c>
    </row>
    <row r="168" spans="1:30" x14ac:dyDescent="0.3">
      <c r="A168" t="s">
        <v>33</v>
      </c>
      <c r="B168">
        <v>2017</v>
      </c>
      <c r="C168" t="s">
        <v>41</v>
      </c>
      <c r="D168">
        <v>133.19999999999999</v>
      </c>
      <c r="E168">
        <v>143.9</v>
      </c>
      <c r="F168">
        <v>128.30000000000001</v>
      </c>
      <c r="G168">
        <v>138.30000000000001</v>
      </c>
      <c r="H168">
        <v>114.1</v>
      </c>
      <c r="I168">
        <v>142.69999999999999</v>
      </c>
      <c r="J168">
        <v>179.8</v>
      </c>
      <c r="K168">
        <v>123.5</v>
      </c>
      <c r="L168">
        <v>122.1</v>
      </c>
      <c r="M168">
        <v>137.5</v>
      </c>
      <c r="N168">
        <v>124.6</v>
      </c>
      <c r="O168">
        <v>144.5</v>
      </c>
      <c r="P168">
        <v>140.5</v>
      </c>
      <c r="Q168">
        <v>152.1</v>
      </c>
      <c r="R168">
        <v>132.69999999999999</v>
      </c>
      <c r="S168">
        <v>124.3</v>
      </c>
      <c r="T168">
        <v>131.4</v>
      </c>
      <c r="U168">
        <v>134.4</v>
      </c>
      <c r="V168">
        <v>118.9</v>
      </c>
      <c r="W168">
        <v>127.7</v>
      </c>
      <c r="X168">
        <v>125.7</v>
      </c>
      <c r="Y168">
        <v>114.6</v>
      </c>
      <c r="Z168">
        <v>124.1</v>
      </c>
      <c r="AA168">
        <v>135.69999999999999</v>
      </c>
      <c r="AB168">
        <v>123.3</v>
      </c>
      <c r="AC168">
        <v>123.8</v>
      </c>
      <c r="AD168">
        <v>132.69999999999999</v>
      </c>
    </row>
    <row r="169" spans="1:30" x14ac:dyDescent="0.3">
      <c r="A169" t="s">
        <v>34</v>
      </c>
      <c r="B169">
        <v>2017</v>
      </c>
      <c r="C169" t="s">
        <v>41</v>
      </c>
      <c r="D169">
        <v>134.30000000000001</v>
      </c>
      <c r="E169">
        <v>143.4</v>
      </c>
      <c r="F169">
        <v>129.30000000000001</v>
      </c>
      <c r="G169">
        <v>139</v>
      </c>
      <c r="H169">
        <v>118.1</v>
      </c>
      <c r="I169">
        <v>145.5</v>
      </c>
      <c r="J169">
        <v>168.6</v>
      </c>
      <c r="K169">
        <v>132.69999999999999</v>
      </c>
      <c r="L169">
        <v>121.2</v>
      </c>
      <c r="M169">
        <v>135.6</v>
      </c>
      <c r="N169">
        <v>128.69999999999999</v>
      </c>
      <c r="O169">
        <v>146.80000000000001</v>
      </c>
      <c r="P169">
        <v>140.6</v>
      </c>
      <c r="Q169">
        <v>149.80000000000001</v>
      </c>
      <c r="R169">
        <v>140.30000000000001</v>
      </c>
      <c r="S169">
        <v>133</v>
      </c>
      <c r="T169">
        <v>139.30000000000001</v>
      </c>
      <c r="U169">
        <v>134.4</v>
      </c>
      <c r="V169">
        <v>129.80000000000001</v>
      </c>
      <c r="W169">
        <v>132.80000000000001</v>
      </c>
      <c r="X169">
        <v>130.19999999999999</v>
      </c>
      <c r="Y169">
        <v>117.3</v>
      </c>
      <c r="Z169">
        <v>127.3</v>
      </c>
      <c r="AA169">
        <v>137.6</v>
      </c>
      <c r="AB169">
        <v>124.5</v>
      </c>
      <c r="AC169">
        <v>126.8</v>
      </c>
      <c r="AD169">
        <v>135.4</v>
      </c>
    </row>
    <row r="170" spans="1:30" x14ac:dyDescent="0.3">
      <c r="A170" t="s">
        <v>30</v>
      </c>
      <c r="B170">
        <v>2017</v>
      </c>
      <c r="C170" t="s">
        <v>42</v>
      </c>
      <c r="D170">
        <v>135.19999999999999</v>
      </c>
      <c r="E170">
        <v>142</v>
      </c>
      <c r="F170">
        <v>130.5</v>
      </c>
      <c r="G170">
        <v>140.19999999999999</v>
      </c>
      <c r="H170">
        <v>120.7</v>
      </c>
      <c r="I170">
        <v>147.80000000000001</v>
      </c>
      <c r="J170">
        <v>154.5</v>
      </c>
      <c r="K170">
        <v>137.1</v>
      </c>
      <c r="L170">
        <v>121</v>
      </c>
      <c r="M170">
        <v>134.69999999999999</v>
      </c>
      <c r="N170">
        <v>131.69999999999999</v>
      </c>
      <c r="O170">
        <v>149.30000000000001</v>
      </c>
      <c r="P170">
        <v>139.6</v>
      </c>
      <c r="Q170">
        <v>149.80000000000001</v>
      </c>
      <c r="R170">
        <v>146.1</v>
      </c>
      <c r="S170">
        <v>139.69999999999999</v>
      </c>
      <c r="T170">
        <v>145.19999999999999</v>
      </c>
      <c r="U170" t="s">
        <v>32</v>
      </c>
      <c r="V170">
        <v>137.4</v>
      </c>
      <c r="W170">
        <v>137.9</v>
      </c>
      <c r="X170">
        <v>133.4</v>
      </c>
      <c r="Y170">
        <v>121.2</v>
      </c>
      <c r="Z170">
        <v>132.30000000000001</v>
      </c>
      <c r="AA170">
        <v>139.6</v>
      </c>
      <c r="AB170">
        <v>126.7</v>
      </c>
      <c r="AC170">
        <v>130.30000000000001</v>
      </c>
      <c r="AD170">
        <v>137.6</v>
      </c>
    </row>
    <row r="171" spans="1:30" x14ac:dyDescent="0.3">
      <c r="A171" t="s">
        <v>33</v>
      </c>
      <c r="B171">
        <v>2017</v>
      </c>
      <c r="C171" t="s">
        <v>42</v>
      </c>
      <c r="D171">
        <v>133.6</v>
      </c>
      <c r="E171">
        <v>143</v>
      </c>
      <c r="F171">
        <v>129.69999999999999</v>
      </c>
      <c r="G171">
        <v>138.69999999999999</v>
      </c>
      <c r="H171">
        <v>114.5</v>
      </c>
      <c r="I171">
        <v>137.5</v>
      </c>
      <c r="J171">
        <v>160.69999999999999</v>
      </c>
      <c r="K171">
        <v>124.5</v>
      </c>
      <c r="L171">
        <v>122.4</v>
      </c>
      <c r="M171">
        <v>137.30000000000001</v>
      </c>
      <c r="N171">
        <v>124.8</v>
      </c>
      <c r="O171">
        <v>145</v>
      </c>
      <c r="P171">
        <v>138</v>
      </c>
      <c r="Q171">
        <v>153.6</v>
      </c>
      <c r="R171">
        <v>133.30000000000001</v>
      </c>
      <c r="S171">
        <v>124.6</v>
      </c>
      <c r="T171">
        <v>132</v>
      </c>
      <c r="U171">
        <v>135.69999999999999</v>
      </c>
      <c r="V171">
        <v>120.6</v>
      </c>
      <c r="W171">
        <v>128.1</v>
      </c>
      <c r="X171">
        <v>126.1</v>
      </c>
      <c r="Y171">
        <v>115.7</v>
      </c>
      <c r="Z171">
        <v>124.5</v>
      </c>
      <c r="AA171">
        <v>135.9</v>
      </c>
      <c r="AB171">
        <v>124.4</v>
      </c>
      <c r="AC171">
        <v>124.5</v>
      </c>
      <c r="AD171">
        <v>132.4</v>
      </c>
    </row>
    <row r="172" spans="1:30" x14ac:dyDescent="0.3">
      <c r="A172" t="s">
        <v>34</v>
      </c>
      <c r="B172">
        <v>2017</v>
      </c>
      <c r="C172" t="s">
        <v>42</v>
      </c>
      <c r="D172">
        <v>134.69999999999999</v>
      </c>
      <c r="E172">
        <v>142.4</v>
      </c>
      <c r="F172">
        <v>130.19999999999999</v>
      </c>
      <c r="G172">
        <v>139.6</v>
      </c>
      <c r="H172">
        <v>118.4</v>
      </c>
      <c r="I172">
        <v>143</v>
      </c>
      <c r="J172">
        <v>156.6</v>
      </c>
      <c r="K172">
        <v>132.9</v>
      </c>
      <c r="L172">
        <v>121.5</v>
      </c>
      <c r="M172">
        <v>135.6</v>
      </c>
      <c r="N172">
        <v>128.80000000000001</v>
      </c>
      <c r="O172">
        <v>147.30000000000001</v>
      </c>
      <c r="P172">
        <v>139</v>
      </c>
      <c r="Q172">
        <v>150.80000000000001</v>
      </c>
      <c r="R172">
        <v>141.1</v>
      </c>
      <c r="S172">
        <v>133.4</v>
      </c>
      <c r="T172">
        <v>140</v>
      </c>
      <c r="U172">
        <v>135.69999999999999</v>
      </c>
      <c r="V172">
        <v>131</v>
      </c>
      <c r="W172">
        <v>133.30000000000001</v>
      </c>
      <c r="X172">
        <v>130.6</v>
      </c>
      <c r="Y172">
        <v>118.3</v>
      </c>
      <c r="Z172">
        <v>127.9</v>
      </c>
      <c r="AA172">
        <v>137.4</v>
      </c>
      <c r="AB172">
        <v>125.7</v>
      </c>
      <c r="AC172">
        <v>127.5</v>
      </c>
      <c r="AD172">
        <v>135.19999999999999</v>
      </c>
    </row>
    <row r="173" spans="1:30" x14ac:dyDescent="0.3">
      <c r="A173" t="s">
        <v>30</v>
      </c>
      <c r="B173">
        <v>2017</v>
      </c>
      <c r="C173" t="s">
        <v>43</v>
      </c>
      <c r="D173">
        <v>135.9</v>
      </c>
      <c r="E173">
        <v>141.9</v>
      </c>
      <c r="F173">
        <v>131</v>
      </c>
      <c r="G173">
        <v>141.5</v>
      </c>
      <c r="H173">
        <v>121.4</v>
      </c>
      <c r="I173">
        <v>146.69999999999999</v>
      </c>
      <c r="J173">
        <v>157.1</v>
      </c>
      <c r="K173">
        <v>136.4</v>
      </c>
      <c r="L173">
        <v>121.4</v>
      </c>
      <c r="M173">
        <v>135.6</v>
      </c>
      <c r="N173">
        <v>131.30000000000001</v>
      </c>
      <c r="O173">
        <v>150.30000000000001</v>
      </c>
      <c r="P173">
        <v>140.4</v>
      </c>
      <c r="Q173">
        <v>150.5</v>
      </c>
      <c r="R173">
        <v>147.19999999999999</v>
      </c>
      <c r="S173">
        <v>140.6</v>
      </c>
      <c r="T173">
        <v>146.19999999999999</v>
      </c>
      <c r="U173" t="s">
        <v>32</v>
      </c>
      <c r="V173">
        <v>138.1</v>
      </c>
      <c r="W173">
        <v>138.4</v>
      </c>
      <c r="X173">
        <v>134.19999999999999</v>
      </c>
      <c r="Y173">
        <v>121</v>
      </c>
      <c r="Z173">
        <v>133</v>
      </c>
      <c r="AA173">
        <v>140.1</v>
      </c>
      <c r="AB173">
        <v>127.4</v>
      </c>
      <c r="AC173">
        <v>130.69999999999999</v>
      </c>
      <c r="AD173">
        <v>138.30000000000001</v>
      </c>
    </row>
    <row r="174" spans="1:30" x14ac:dyDescent="0.3">
      <c r="A174" t="s">
        <v>33</v>
      </c>
      <c r="B174">
        <v>2017</v>
      </c>
      <c r="C174" t="s">
        <v>43</v>
      </c>
      <c r="D174">
        <v>133.9</v>
      </c>
      <c r="E174">
        <v>142.80000000000001</v>
      </c>
      <c r="F174">
        <v>131.4</v>
      </c>
      <c r="G174">
        <v>139.1</v>
      </c>
      <c r="H174">
        <v>114.9</v>
      </c>
      <c r="I174">
        <v>135.6</v>
      </c>
      <c r="J174">
        <v>173.2</v>
      </c>
      <c r="K174">
        <v>124.1</v>
      </c>
      <c r="L174">
        <v>122.6</v>
      </c>
      <c r="M174">
        <v>137.80000000000001</v>
      </c>
      <c r="N174">
        <v>125.1</v>
      </c>
      <c r="O174">
        <v>145.5</v>
      </c>
      <c r="P174">
        <v>139.69999999999999</v>
      </c>
      <c r="Q174">
        <v>154.6</v>
      </c>
      <c r="R174">
        <v>134</v>
      </c>
      <c r="S174">
        <v>124.9</v>
      </c>
      <c r="T174">
        <v>132.6</v>
      </c>
      <c r="U174">
        <v>137.30000000000001</v>
      </c>
      <c r="V174">
        <v>122.6</v>
      </c>
      <c r="W174">
        <v>128.30000000000001</v>
      </c>
      <c r="X174">
        <v>126.6</v>
      </c>
      <c r="Y174">
        <v>115</v>
      </c>
      <c r="Z174">
        <v>124.8</v>
      </c>
      <c r="AA174">
        <v>136.30000000000001</v>
      </c>
      <c r="AB174">
        <v>124.6</v>
      </c>
      <c r="AC174">
        <v>124.5</v>
      </c>
      <c r="AD174">
        <v>133.5</v>
      </c>
    </row>
    <row r="175" spans="1:30" x14ac:dyDescent="0.3">
      <c r="A175" t="s">
        <v>34</v>
      </c>
      <c r="B175">
        <v>2017</v>
      </c>
      <c r="C175" t="s">
        <v>43</v>
      </c>
      <c r="D175">
        <v>135.30000000000001</v>
      </c>
      <c r="E175">
        <v>142.19999999999999</v>
      </c>
      <c r="F175">
        <v>131.19999999999999</v>
      </c>
      <c r="G175">
        <v>140.6</v>
      </c>
      <c r="H175">
        <v>119</v>
      </c>
      <c r="I175">
        <v>141.5</v>
      </c>
      <c r="J175">
        <v>162.6</v>
      </c>
      <c r="K175">
        <v>132.30000000000001</v>
      </c>
      <c r="L175">
        <v>121.8</v>
      </c>
      <c r="M175">
        <v>136.30000000000001</v>
      </c>
      <c r="N175">
        <v>128.69999999999999</v>
      </c>
      <c r="O175">
        <v>148.1</v>
      </c>
      <c r="P175">
        <v>140.1</v>
      </c>
      <c r="Q175">
        <v>151.6</v>
      </c>
      <c r="R175">
        <v>142</v>
      </c>
      <c r="S175">
        <v>134.1</v>
      </c>
      <c r="T175">
        <v>140.80000000000001</v>
      </c>
      <c r="U175">
        <v>137.30000000000001</v>
      </c>
      <c r="V175">
        <v>132.19999999999999</v>
      </c>
      <c r="W175">
        <v>133.6</v>
      </c>
      <c r="X175">
        <v>131.30000000000001</v>
      </c>
      <c r="Y175">
        <v>117.8</v>
      </c>
      <c r="Z175">
        <v>128.4</v>
      </c>
      <c r="AA175">
        <v>137.9</v>
      </c>
      <c r="AB175">
        <v>126.2</v>
      </c>
      <c r="AC175">
        <v>127.7</v>
      </c>
      <c r="AD175">
        <v>136.1</v>
      </c>
    </row>
    <row r="176" spans="1:30" x14ac:dyDescent="0.3">
      <c r="A176" t="s">
        <v>30</v>
      </c>
      <c r="B176">
        <v>2017</v>
      </c>
      <c r="C176" t="s">
        <v>45</v>
      </c>
      <c r="D176">
        <v>136.30000000000001</v>
      </c>
      <c r="E176">
        <v>142.5</v>
      </c>
      <c r="F176">
        <v>140.5</v>
      </c>
      <c r="G176">
        <v>141.5</v>
      </c>
      <c r="H176">
        <v>121.6</v>
      </c>
      <c r="I176">
        <v>147.30000000000001</v>
      </c>
      <c r="J176">
        <v>168</v>
      </c>
      <c r="K176">
        <v>135.80000000000001</v>
      </c>
      <c r="L176">
        <v>122.5</v>
      </c>
      <c r="M176">
        <v>136</v>
      </c>
      <c r="N176">
        <v>131.9</v>
      </c>
      <c r="O176">
        <v>151.4</v>
      </c>
      <c r="P176">
        <v>142.4</v>
      </c>
      <c r="Q176">
        <v>152.1</v>
      </c>
      <c r="R176">
        <v>148.19999999999999</v>
      </c>
      <c r="S176">
        <v>141.5</v>
      </c>
      <c r="T176">
        <v>147.30000000000001</v>
      </c>
      <c r="U176" t="s">
        <v>32</v>
      </c>
      <c r="V176">
        <v>141.1</v>
      </c>
      <c r="W176">
        <v>139.4</v>
      </c>
      <c r="X176">
        <v>135.80000000000001</v>
      </c>
      <c r="Y176">
        <v>121.6</v>
      </c>
      <c r="Z176">
        <v>133.69999999999999</v>
      </c>
      <c r="AA176">
        <v>141.5</v>
      </c>
      <c r="AB176">
        <v>128.1</v>
      </c>
      <c r="AC176">
        <v>131.69999999999999</v>
      </c>
      <c r="AD176">
        <v>140</v>
      </c>
    </row>
    <row r="177" spans="1:30" x14ac:dyDescent="0.3">
      <c r="A177" t="s">
        <v>33</v>
      </c>
      <c r="B177">
        <v>2017</v>
      </c>
      <c r="C177" t="s">
        <v>45</v>
      </c>
      <c r="D177">
        <v>134.30000000000001</v>
      </c>
      <c r="E177">
        <v>142.1</v>
      </c>
      <c r="F177">
        <v>146.69999999999999</v>
      </c>
      <c r="G177">
        <v>139.5</v>
      </c>
      <c r="H177">
        <v>115.2</v>
      </c>
      <c r="I177">
        <v>136.4</v>
      </c>
      <c r="J177">
        <v>185.2</v>
      </c>
      <c r="K177">
        <v>122.2</v>
      </c>
      <c r="L177">
        <v>123.9</v>
      </c>
      <c r="M177">
        <v>138.30000000000001</v>
      </c>
      <c r="N177">
        <v>125.4</v>
      </c>
      <c r="O177">
        <v>146</v>
      </c>
      <c r="P177">
        <v>141.5</v>
      </c>
      <c r="Q177">
        <v>156.19999999999999</v>
      </c>
      <c r="R177">
        <v>135</v>
      </c>
      <c r="S177">
        <v>125.4</v>
      </c>
      <c r="T177">
        <v>133.5</v>
      </c>
      <c r="U177">
        <v>138.6</v>
      </c>
      <c r="V177">
        <v>125.7</v>
      </c>
      <c r="W177">
        <v>128.80000000000001</v>
      </c>
      <c r="X177">
        <v>127.4</v>
      </c>
      <c r="Y177">
        <v>115.3</v>
      </c>
      <c r="Z177">
        <v>125.1</v>
      </c>
      <c r="AA177">
        <v>136.6</v>
      </c>
      <c r="AB177">
        <v>124.9</v>
      </c>
      <c r="AC177">
        <v>124.9</v>
      </c>
      <c r="AD177">
        <v>134.80000000000001</v>
      </c>
    </row>
    <row r="178" spans="1:30" x14ac:dyDescent="0.3">
      <c r="A178" t="s">
        <v>34</v>
      </c>
      <c r="B178">
        <v>2017</v>
      </c>
      <c r="C178" t="s">
        <v>45</v>
      </c>
      <c r="D178">
        <v>135.69999999999999</v>
      </c>
      <c r="E178">
        <v>142.4</v>
      </c>
      <c r="F178">
        <v>142.9</v>
      </c>
      <c r="G178">
        <v>140.80000000000001</v>
      </c>
      <c r="H178">
        <v>119.2</v>
      </c>
      <c r="I178">
        <v>142.19999999999999</v>
      </c>
      <c r="J178">
        <v>173.8</v>
      </c>
      <c r="K178">
        <v>131.19999999999999</v>
      </c>
      <c r="L178">
        <v>123</v>
      </c>
      <c r="M178">
        <v>136.80000000000001</v>
      </c>
      <c r="N178">
        <v>129.19999999999999</v>
      </c>
      <c r="O178">
        <v>148.9</v>
      </c>
      <c r="P178">
        <v>142.1</v>
      </c>
      <c r="Q178">
        <v>153.19999999999999</v>
      </c>
      <c r="R178">
        <v>143</v>
      </c>
      <c r="S178">
        <v>134.80000000000001</v>
      </c>
      <c r="T178">
        <v>141.80000000000001</v>
      </c>
      <c r="U178">
        <v>138.6</v>
      </c>
      <c r="V178">
        <v>135.30000000000001</v>
      </c>
      <c r="W178">
        <v>134.4</v>
      </c>
      <c r="X178">
        <v>132.6</v>
      </c>
      <c r="Y178">
        <v>118.3</v>
      </c>
      <c r="Z178">
        <v>128.9</v>
      </c>
      <c r="AA178">
        <v>138.6</v>
      </c>
      <c r="AB178">
        <v>126.8</v>
      </c>
      <c r="AC178">
        <v>128.4</v>
      </c>
      <c r="AD178">
        <v>137.6</v>
      </c>
    </row>
    <row r="179" spans="1:30" x14ac:dyDescent="0.3">
      <c r="A179" t="s">
        <v>30</v>
      </c>
      <c r="B179">
        <v>2017</v>
      </c>
      <c r="C179" t="s">
        <v>46</v>
      </c>
      <c r="D179">
        <v>136.4</v>
      </c>
      <c r="E179">
        <v>143.69999999999999</v>
      </c>
      <c r="F179">
        <v>144.80000000000001</v>
      </c>
      <c r="G179">
        <v>141.9</v>
      </c>
      <c r="H179">
        <v>123.1</v>
      </c>
      <c r="I179">
        <v>147.19999999999999</v>
      </c>
      <c r="J179">
        <v>161</v>
      </c>
      <c r="K179">
        <v>133.80000000000001</v>
      </c>
      <c r="L179">
        <v>121.9</v>
      </c>
      <c r="M179">
        <v>135.80000000000001</v>
      </c>
      <c r="N179">
        <v>131.1</v>
      </c>
      <c r="O179">
        <v>151.4</v>
      </c>
      <c r="P179">
        <v>141.5</v>
      </c>
      <c r="Q179">
        <v>153.19999999999999</v>
      </c>
      <c r="R179">
        <v>148</v>
      </c>
      <c r="S179">
        <v>141.9</v>
      </c>
      <c r="T179">
        <v>147.19999999999999</v>
      </c>
      <c r="U179" t="s">
        <v>32</v>
      </c>
      <c r="V179">
        <v>142.6</v>
      </c>
      <c r="W179">
        <v>139.5</v>
      </c>
      <c r="X179">
        <v>136.1</v>
      </c>
      <c r="Y179">
        <v>122</v>
      </c>
      <c r="Z179">
        <v>133.4</v>
      </c>
      <c r="AA179">
        <v>141.1</v>
      </c>
      <c r="AB179">
        <v>127.8</v>
      </c>
      <c r="AC179">
        <v>131.9</v>
      </c>
      <c r="AD179">
        <v>139.80000000000001</v>
      </c>
    </row>
    <row r="180" spans="1:30" x14ac:dyDescent="0.3">
      <c r="A180" t="s">
        <v>33</v>
      </c>
      <c r="B180">
        <v>2017</v>
      </c>
      <c r="C180" t="s">
        <v>46</v>
      </c>
      <c r="D180">
        <v>134.4</v>
      </c>
      <c r="E180">
        <v>142.6</v>
      </c>
      <c r="F180">
        <v>145.9</v>
      </c>
      <c r="G180">
        <v>139.5</v>
      </c>
      <c r="H180">
        <v>115.9</v>
      </c>
      <c r="I180">
        <v>135</v>
      </c>
      <c r="J180">
        <v>163.19999999999999</v>
      </c>
      <c r="K180">
        <v>119.8</v>
      </c>
      <c r="L180">
        <v>120.7</v>
      </c>
      <c r="M180">
        <v>139.69999999999999</v>
      </c>
      <c r="N180">
        <v>125.7</v>
      </c>
      <c r="O180">
        <v>146.30000000000001</v>
      </c>
      <c r="P180">
        <v>138.80000000000001</v>
      </c>
      <c r="Q180">
        <v>157</v>
      </c>
      <c r="R180">
        <v>135.6</v>
      </c>
      <c r="S180">
        <v>125.6</v>
      </c>
      <c r="T180">
        <v>134</v>
      </c>
      <c r="U180">
        <v>139.1</v>
      </c>
      <c r="V180">
        <v>126.8</v>
      </c>
      <c r="W180">
        <v>129.30000000000001</v>
      </c>
      <c r="X180">
        <v>128.19999999999999</v>
      </c>
      <c r="Y180">
        <v>115.3</v>
      </c>
      <c r="Z180">
        <v>125.6</v>
      </c>
      <c r="AA180">
        <v>136.69999999999999</v>
      </c>
      <c r="AB180">
        <v>124.6</v>
      </c>
      <c r="AC180">
        <v>125.1</v>
      </c>
      <c r="AD180">
        <v>134.1</v>
      </c>
    </row>
    <row r="181" spans="1:30" x14ac:dyDescent="0.3">
      <c r="A181" t="s">
        <v>34</v>
      </c>
      <c r="B181">
        <v>2017</v>
      </c>
      <c r="C181" t="s">
        <v>46</v>
      </c>
      <c r="D181">
        <v>135.80000000000001</v>
      </c>
      <c r="E181">
        <v>143.30000000000001</v>
      </c>
      <c r="F181">
        <v>145.19999999999999</v>
      </c>
      <c r="G181">
        <v>141</v>
      </c>
      <c r="H181">
        <v>120.5</v>
      </c>
      <c r="I181">
        <v>141.5</v>
      </c>
      <c r="J181">
        <v>161.69999999999999</v>
      </c>
      <c r="K181">
        <v>129.1</v>
      </c>
      <c r="L181">
        <v>121.5</v>
      </c>
      <c r="M181">
        <v>137.1</v>
      </c>
      <c r="N181">
        <v>128.80000000000001</v>
      </c>
      <c r="O181">
        <v>149</v>
      </c>
      <c r="P181">
        <v>140.5</v>
      </c>
      <c r="Q181">
        <v>154.19999999999999</v>
      </c>
      <c r="R181">
        <v>143.1</v>
      </c>
      <c r="S181">
        <v>135.1</v>
      </c>
      <c r="T181">
        <v>142</v>
      </c>
      <c r="U181">
        <v>139.1</v>
      </c>
      <c r="V181">
        <v>136.6</v>
      </c>
      <c r="W181">
        <v>134.69999999999999</v>
      </c>
      <c r="X181">
        <v>133.1</v>
      </c>
      <c r="Y181">
        <v>118.5</v>
      </c>
      <c r="Z181">
        <v>129</v>
      </c>
      <c r="AA181">
        <v>138.5</v>
      </c>
      <c r="AB181">
        <v>126.5</v>
      </c>
      <c r="AC181">
        <v>128.6</v>
      </c>
      <c r="AD181">
        <v>137.19999999999999</v>
      </c>
    </row>
    <row r="182" spans="1:30" x14ac:dyDescent="0.3">
      <c r="A182" t="s">
        <v>30</v>
      </c>
      <c r="B182">
        <v>2018</v>
      </c>
      <c r="C182" t="s">
        <v>31</v>
      </c>
      <c r="D182">
        <v>136.6</v>
      </c>
      <c r="E182">
        <v>144.4</v>
      </c>
      <c r="F182">
        <v>143.80000000000001</v>
      </c>
      <c r="G182">
        <v>142</v>
      </c>
      <c r="H182">
        <v>123.2</v>
      </c>
      <c r="I182">
        <v>147.9</v>
      </c>
      <c r="J182">
        <v>152.1</v>
      </c>
      <c r="K182">
        <v>131.80000000000001</v>
      </c>
      <c r="L182">
        <v>119.5</v>
      </c>
      <c r="M182">
        <v>136</v>
      </c>
      <c r="N182">
        <v>131.19999999999999</v>
      </c>
      <c r="O182">
        <v>151.80000000000001</v>
      </c>
      <c r="P182">
        <v>140.4</v>
      </c>
      <c r="Q182">
        <v>153.6</v>
      </c>
      <c r="R182">
        <v>148.30000000000001</v>
      </c>
      <c r="S182">
        <v>142.30000000000001</v>
      </c>
      <c r="T182">
        <v>147.5</v>
      </c>
      <c r="U182" t="s">
        <v>32</v>
      </c>
      <c r="V182">
        <v>142.30000000000001</v>
      </c>
      <c r="W182">
        <v>139.80000000000001</v>
      </c>
      <c r="X182">
        <v>136</v>
      </c>
      <c r="Y182">
        <v>122.7</v>
      </c>
      <c r="Z182">
        <v>134.30000000000001</v>
      </c>
      <c r="AA182">
        <v>141.6</v>
      </c>
      <c r="AB182">
        <v>128.6</v>
      </c>
      <c r="AC182">
        <v>132.30000000000001</v>
      </c>
      <c r="AD182">
        <v>139.30000000000001</v>
      </c>
    </row>
    <row r="183" spans="1:30" x14ac:dyDescent="0.3">
      <c r="A183" t="s">
        <v>33</v>
      </c>
      <c r="B183">
        <v>2018</v>
      </c>
      <c r="C183" t="s">
        <v>31</v>
      </c>
      <c r="D183">
        <v>134.6</v>
      </c>
      <c r="E183">
        <v>143.69999999999999</v>
      </c>
      <c r="F183">
        <v>143.6</v>
      </c>
      <c r="G183">
        <v>139.6</v>
      </c>
      <c r="H183">
        <v>116.4</v>
      </c>
      <c r="I183">
        <v>133.80000000000001</v>
      </c>
      <c r="J183">
        <v>150.5</v>
      </c>
      <c r="K183">
        <v>118.4</v>
      </c>
      <c r="L183">
        <v>117.3</v>
      </c>
      <c r="M183">
        <v>140.5</v>
      </c>
      <c r="N183">
        <v>125.9</v>
      </c>
      <c r="O183">
        <v>146.80000000000001</v>
      </c>
      <c r="P183">
        <v>137.19999999999999</v>
      </c>
      <c r="Q183">
        <v>157.69999999999999</v>
      </c>
      <c r="R183">
        <v>136</v>
      </c>
      <c r="S183">
        <v>125.9</v>
      </c>
      <c r="T183">
        <v>134.4</v>
      </c>
      <c r="U183">
        <v>140.4</v>
      </c>
      <c r="V183">
        <v>127.3</v>
      </c>
      <c r="W183">
        <v>129.5</v>
      </c>
      <c r="X183">
        <v>129</v>
      </c>
      <c r="Y183">
        <v>116.3</v>
      </c>
      <c r="Z183">
        <v>126.2</v>
      </c>
      <c r="AA183">
        <v>137.1</v>
      </c>
      <c r="AB183">
        <v>125.5</v>
      </c>
      <c r="AC183">
        <v>125.8</v>
      </c>
      <c r="AD183">
        <v>134.1</v>
      </c>
    </row>
    <row r="184" spans="1:30" x14ac:dyDescent="0.3">
      <c r="A184" t="s">
        <v>34</v>
      </c>
      <c r="B184">
        <v>2018</v>
      </c>
      <c r="C184" t="s">
        <v>31</v>
      </c>
      <c r="D184">
        <v>136</v>
      </c>
      <c r="E184">
        <v>144.19999999999999</v>
      </c>
      <c r="F184">
        <v>143.69999999999999</v>
      </c>
      <c r="G184">
        <v>141.1</v>
      </c>
      <c r="H184">
        <v>120.7</v>
      </c>
      <c r="I184">
        <v>141.30000000000001</v>
      </c>
      <c r="J184">
        <v>151.6</v>
      </c>
      <c r="K184">
        <v>127.3</v>
      </c>
      <c r="L184">
        <v>118.8</v>
      </c>
      <c r="M184">
        <v>137.5</v>
      </c>
      <c r="N184">
        <v>129</v>
      </c>
      <c r="O184">
        <v>149.5</v>
      </c>
      <c r="P184">
        <v>139.19999999999999</v>
      </c>
      <c r="Q184">
        <v>154.69999999999999</v>
      </c>
      <c r="R184">
        <v>143.5</v>
      </c>
      <c r="S184">
        <v>135.5</v>
      </c>
      <c r="T184">
        <v>142.30000000000001</v>
      </c>
      <c r="U184">
        <v>140.4</v>
      </c>
      <c r="V184">
        <v>136.6</v>
      </c>
      <c r="W184">
        <v>134.9</v>
      </c>
      <c r="X184">
        <v>133.30000000000001</v>
      </c>
      <c r="Y184">
        <v>119.3</v>
      </c>
      <c r="Z184">
        <v>129.69999999999999</v>
      </c>
      <c r="AA184">
        <v>139</v>
      </c>
      <c r="AB184">
        <v>127.3</v>
      </c>
      <c r="AC184">
        <v>129.1</v>
      </c>
      <c r="AD184">
        <v>136.9</v>
      </c>
    </row>
    <row r="185" spans="1:30" x14ac:dyDescent="0.3">
      <c r="A185" t="s">
        <v>30</v>
      </c>
      <c r="B185">
        <v>2018</v>
      </c>
      <c r="C185" t="s">
        <v>35</v>
      </c>
      <c r="D185">
        <v>136.4</v>
      </c>
      <c r="E185">
        <v>143.69999999999999</v>
      </c>
      <c r="F185">
        <v>140.6</v>
      </c>
      <c r="G185">
        <v>141.5</v>
      </c>
      <c r="H185">
        <v>122.9</v>
      </c>
      <c r="I185">
        <v>149.4</v>
      </c>
      <c r="J185">
        <v>142.4</v>
      </c>
      <c r="K185">
        <v>130.19999999999999</v>
      </c>
      <c r="L185">
        <v>117.9</v>
      </c>
      <c r="M185">
        <v>135.6</v>
      </c>
      <c r="N185">
        <v>130.5</v>
      </c>
      <c r="O185">
        <v>151.69999999999999</v>
      </c>
      <c r="P185">
        <v>138.69999999999999</v>
      </c>
      <c r="Q185">
        <v>153.30000000000001</v>
      </c>
      <c r="R185">
        <v>148.69999999999999</v>
      </c>
      <c r="S185">
        <v>142.4</v>
      </c>
      <c r="T185">
        <v>147.80000000000001</v>
      </c>
      <c r="U185" t="s">
        <v>32</v>
      </c>
      <c r="V185">
        <v>142.4</v>
      </c>
      <c r="W185">
        <v>139.9</v>
      </c>
      <c r="X185">
        <v>136.19999999999999</v>
      </c>
      <c r="Y185">
        <v>123.3</v>
      </c>
      <c r="Z185">
        <v>134.30000000000001</v>
      </c>
      <c r="AA185">
        <v>141.5</v>
      </c>
      <c r="AB185">
        <v>128.80000000000001</v>
      </c>
      <c r="AC185">
        <v>132.5</v>
      </c>
      <c r="AD185">
        <v>138.5</v>
      </c>
    </row>
    <row r="186" spans="1:30" x14ac:dyDescent="0.3">
      <c r="A186" t="s">
        <v>33</v>
      </c>
      <c r="B186">
        <v>2018</v>
      </c>
      <c r="C186" t="s">
        <v>35</v>
      </c>
      <c r="D186">
        <v>134.80000000000001</v>
      </c>
      <c r="E186">
        <v>143</v>
      </c>
      <c r="F186">
        <v>139.9</v>
      </c>
      <c r="G186">
        <v>139.9</v>
      </c>
      <c r="H186">
        <v>116.2</v>
      </c>
      <c r="I186">
        <v>135.5</v>
      </c>
      <c r="J186">
        <v>136.9</v>
      </c>
      <c r="K186">
        <v>117</v>
      </c>
      <c r="L186">
        <v>115.4</v>
      </c>
      <c r="M186">
        <v>140.69999999999999</v>
      </c>
      <c r="N186">
        <v>125.9</v>
      </c>
      <c r="O186">
        <v>147.1</v>
      </c>
      <c r="P186">
        <v>135.6</v>
      </c>
      <c r="Q186">
        <v>159.30000000000001</v>
      </c>
      <c r="R186">
        <v>136.30000000000001</v>
      </c>
      <c r="S186">
        <v>126.1</v>
      </c>
      <c r="T186">
        <v>134.69999999999999</v>
      </c>
      <c r="U186">
        <v>141.30000000000001</v>
      </c>
      <c r="V186">
        <v>127.3</v>
      </c>
      <c r="W186">
        <v>129.9</v>
      </c>
      <c r="X186">
        <v>129.80000000000001</v>
      </c>
      <c r="Y186">
        <v>117.4</v>
      </c>
      <c r="Z186">
        <v>126.5</v>
      </c>
      <c r="AA186">
        <v>137.19999999999999</v>
      </c>
      <c r="AB186">
        <v>126.2</v>
      </c>
      <c r="AC186">
        <v>126.5</v>
      </c>
      <c r="AD186">
        <v>134</v>
      </c>
    </row>
    <row r="187" spans="1:30" x14ac:dyDescent="0.3">
      <c r="A187" t="s">
        <v>34</v>
      </c>
      <c r="B187">
        <v>2018</v>
      </c>
      <c r="C187" t="s">
        <v>35</v>
      </c>
      <c r="D187">
        <v>135.9</v>
      </c>
      <c r="E187">
        <v>143.5</v>
      </c>
      <c r="F187">
        <v>140.30000000000001</v>
      </c>
      <c r="G187">
        <v>140.9</v>
      </c>
      <c r="H187">
        <v>120.4</v>
      </c>
      <c r="I187">
        <v>142.9</v>
      </c>
      <c r="J187">
        <v>140.5</v>
      </c>
      <c r="K187">
        <v>125.8</v>
      </c>
      <c r="L187">
        <v>117.1</v>
      </c>
      <c r="M187">
        <v>137.30000000000001</v>
      </c>
      <c r="N187">
        <v>128.6</v>
      </c>
      <c r="O187">
        <v>149.6</v>
      </c>
      <c r="P187">
        <v>137.6</v>
      </c>
      <c r="Q187">
        <v>154.9</v>
      </c>
      <c r="R187">
        <v>143.80000000000001</v>
      </c>
      <c r="S187">
        <v>135.6</v>
      </c>
      <c r="T187">
        <v>142.6</v>
      </c>
      <c r="U187">
        <v>141.30000000000001</v>
      </c>
      <c r="V187">
        <v>136.69999999999999</v>
      </c>
      <c r="W187">
        <v>135.19999999999999</v>
      </c>
      <c r="X187">
        <v>133.80000000000001</v>
      </c>
      <c r="Y187">
        <v>120.2</v>
      </c>
      <c r="Z187">
        <v>129.9</v>
      </c>
      <c r="AA187">
        <v>139</v>
      </c>
      <c r="AB187">
        <v>127.7</v>
      </c>
      <c r="AC187">
        <v>129.6</v>
      </c>
      <c r="AD187">
        <v>136.4</v>
      </c>
    </row>
    <row r="188" spans="1:30" x14ac:dyDescent="0.3">
      <c r="A188" t="s">
        <v>30</v>
      </c>
      <c r="B188">
        <v>2018</v>
      </c>
      <c r="C188" t="s">
        <v>36</v>
      </c>
      <c r="D188">
        <v>136.80000000000001</v>
      </c>
      <c r="E188">
        <v>143.80000000000001</v>
      </c>
      <c r="F188">
        <v>140</v>
      </c>
      <c r="G188">
        <v>142</v>
      </c>
      <c r="H188">
        <v>123.2</v>
      </c>
      <c r="I188">
        <v>152.9</v>
      </c>
      <c r="J188">
        <v>138</v>
      </c>
      <c r="K188">
        <v>129.30000000000001</v>
      </c>
      <c r="L188">
        <v>117.1</v>
      </c>
      <c r="M188">
        <v>136.30000000000001</v>
      </c>
      <c r="N188">
        <v>131.19999999999999</v>
      </c>
      <c r="O188">
        <v>152.80000000000001</v>
      </c>
      <c r="P188">
        <v>138.6</v>
      </c>
      <c r="Q188">
        <v>155.1</v>
      </c>
      <c r="R188">
        <v>149.19999999999999</v>
      </c>
      <c r="S188">
        <v>143</v>
      </c>
      <c r="T188">
        <v>148.30000000000001</v>
      </c>
      <c r="U188" t="s">
        <v>32</v>
      </c>
      <c r="V188">
        <v>142.6</v>
      </c>
      <c r="W188">
        <v>139.9</v>
      </c>
      <c r="X188">
        <v>136.69999999999999</v>
      </c>
      <c r="Y188">
        <v>124.6</v>
      </c>
      <c r="Z188">
        <v>135.1</v>
      </c>
      <c r="AA188">
        <v>142.69999999999999</v>
      </c>
      <c r="AB188">
        <v>129.30000000000001</v>
      </c>
      <c r="AC188">
        <v>133.30000000000001</v>
      </c>
      <c r="AD188">
        <v>138.69999999999999</v>
      </c>
    </row>
    <row r="189" spans="1:30" x14ac:dyDescent="0.3">
      <c r="A189" t="s">
        <v>33</v>
      </c>
      <c r="B189">
        <v>2018</v>
      </c>
      <c r="C189" t="s">
        <v>36</v>
      </c>
      <c r="D189">
        <v>135</v>
      </c>
      <c r="E189">
        <v>143.1</v>
      </c>
      <c r="F189">
        <v>135.5</v>
      </c>
      <c r="G189">
        <v>139.9</v>
      </c>
      <c r="H189">
        <v>116.5</v>
      </c>
      <c r="I189">
        <v>138.5</v>
      </c>
      <c r="J189">
        <v>128</v>
      </c>
      <c r="K189">
        <v>115.5</v>
      </c>
      <c r="L189">
        <v>114.2</v>
      </c>
      <c r="M189">
        <v>140.69999999999999</v>
      </c>
      <c r="N189">
        <v>126.2</v>
      </c>
      <c r="O189">
        <v>147.6</v>
      </c>
      <c r="P189">
        <v>134.80000000000001</v>
      </c>
      <c r="Q189">
        <v>159.69999999999999</v>
      </c>
      <c r="R189">
        <v>136.69999999999999</v>
      </c>
      <c r="S189">
        <v>126.7</v>
      </c>
      <c r="T189">
        <v>135.19999999999999</v>
      </c>
      <c r="U189">
        <v>142</v>
      </c>
      <c r="V189">
        <v>126.4</v>
      </c>
      <c r="W189">
        <v>130.80000000000001</v>
      </c>
      <c r="X189">
        <v>130.5</v>
      </c>
      <c r="Y189">
        <v>117.8</v>
      </c>
      <c r="Z189">
        <v>126.8</v>
      </c>
      <c r="AA189">
        <v>137.80000000000001</v>
      </c>
      <c r="AB189">
        <v>126.7</v>
      </c>
      <c r="AC189">
        <v>127.1</v>
      </c>
      <c r="AD189">
        <v>134</v>
      </c>
    </row>
    <row r="190" spans="1:30" x14ac:dyDescent="0.3">
      <c r="A190" t="s">
        <v>34</v>
      </c>
      <c r="B190">
        <v>2018</v>
      </c>
      <c r="C190" t="s">
        <v>36</v>
      </c>
      <c r="D190">
        <v>136.19999999999999</v>
      </c>
      <c r="E190">
        <v>143.6</v>
      </c>
      <c r="F190">
        <v>138.30000000000001</v>
      </c>
      <c r="G190">
        <v>141.19999999999999</v>
      </c>
      <c r="H190">
        <v>120.7</v>
      </c>
      <c r="I190">
        <v>146.19999999999999</v>
      </c>
      <c r="J190">
        <v>134.6</v>
      </c>
      <c r="K190">
        <v>124.6</v>
      </c>
      <c r="L190">
        <v>116.1</v>
      </c>
      <c r="M190">
        <v>137.80000000000001</v>
      </c>
      <c r="N190">
        <v>129.1</v>
      </c>
      <c r="O190">
        <v>150.4</v>
      </c>
      <c r="P190">
        <v>137.19999999999999</v>
      </c>
      <c r="Q190">
        <v>156.30000000000001</v>
      </c>
      <c r="R190">
        <v>144.30000000000001</v>
      </c>
      <c r="S190">
        <v>136.19999999999999</v>
      </c>
      <c r="T190">
        <v>143.1</v>
      </c>
      <c r="U190">
        <v>142</v>
      </c>
      <c r="V190">
        <v>136.5</v>
      </c>
      <c r="W190">
        <v>135.6</v>
      </c>
      <c r="X190">
        <v>134.30000000000001</v>
      </c>
      <c r="Y190">
        <v>121</v>
      </c>
      <c r="Z190">
        <v>130.4</v>
      </c>
      <c r="AA190">
        <v>139.80000000000001</v>
      </c>
      <c r="AB190">
        <v>128.19999999999999</v>
      </c>
      <c r="AC190">
        <v>130.30000000000001</v>
      </c>
      <c r="AD190">
        <v>136.5</v>
      </c>
    </row>
    <row r="191" spans="1:30" x14ac:dyDescent="0.3">
      <c r="A191" t="s">
        <v>30</v>
      </c>
      <c r="B191">
        <v>2018</v>
      </c>
      <c r="C191" t="s">
        <v>37</v>
      </c>
      <c r="D191">
        <v>137.1</v>
      </c>
      <c r="E191">
        <v>144.5</v>
      </c>
      <c r="F191">
        <v>135.9</v>
      </c>
      <c r="G191">
        <v>142.4</v>
      </c>
      <c r="H191">
        <v>123.5</v>
      </c>
      <c r="I191">
        <v>156.4</v>
      </c>
      <c r="J191">
        <v>135.1</v>
      </c>
      <c r="K191">
        <v>128.4</v>
      </c>
      <c r="L191">
        <v>115.2</v>
      </c>
      <c r="M191">
        <v>137.19999999999999</v>
      </c>
      <c r="N191">
        <v>131.9</v>
      </c>
      <c r="O191">
        <v>153.80000000000001</v>
      </c>
      <c r="P191">
        <v>138.6</v>
      </c>
      <c r="Q191">
        <v>156.1</v>
      </c>
      <c r="R191">
        <v>150.1</v>
      </c>
      <c r="S191">
        <v>143.30000000000001</v>
      </c>
      <c r="T191">
        <v>149.1</v>
      </c>
      <c r="U191" t="s">
        <v>32</v>
      </c>
      <c r="V191">
        <v>143.80000000000001</v>
      </c>
      <c r="W191">
        <v>140.9</v>
      </c>
      <c r="X191">
        <v>137.6</v>
      </c>
      <c r="Y191">
        <v>125.3</v>
      </c>
      <c r="Z191">
        <v>136</v>
      </c>
      <c r="AA191">
        <v>143.69999999999999</v>
      </c>
      <c r="AB191">
        <v>130.4</v>
      </c>
      <c r="AC191">
        <v>134.19999999999999</v>
      </c>
      <c r="AD191">
        <v>139.1</v>
      </c>
    </row>
    <row r="192" spans="1:30" x14ac:dyDescent="0.3">
      <c r="A192" t="s">
        <v>33</v>
      </c>
      <c r="B192">
        <v>2018</v>
      </c>
      <c r="C192" t="s">
        <v>37</v>
      </c>
      <c r="D192">
        <v>135</v>
      </c>
      <c r="E192">
        <v>144.30000000000001</v>
      </c>
      <c r="F192">
        <v>130.80000000000001</v>
      </c>
      <c r="G192">
        <v>140.30000000000001</v>
      </c>
      <c r="H192">
        <v>116.6</v>
      </c>
      <c r="I192">
        <v>150.1</v>
      </c>
      <c r="J192">
        <v>127.6</v>
      </c>
      <c r="K192">
        <v>114</v>
      </c>
      <c r="L192">
        <v>110.6</v>
      </c>
      <c r="M192">
        <v>140.19999999999999</v>
      </c>
      <c r="N192">
        <v>126.5</v>
      </c>
      <c r="O192">
        <v>148.30000000000001</v>
      </c>
      <c r="P192">
        <v>135.69999999999999</v>
      </c>
      <c r="Q192">
        <v>159.19999999999999</v>
      </c>
      <c r="R192">
        <v>137.80000000000001</v>
      </c>
      <c r="S192">
        <v>127.4</v>
      </c>
      <c r="T192">
        <v>136.19999999999999</v>
      </c>
      <c r="U192">
        <v>142.9</v>
      </c>
      <c r="V192">
        <v>124.6</v>
      </c>
      <c r="W192">
        <v>131.80000000000001</v>
      </c>
      <c r="X192">
        <v>131.30000000000001</v>
      </c>
      <c r="Y192">
        <v>118.9</v>
      </c>
      <c r="Z192">
        <v>127.6</v>
      </c>
      <c r="AA192">
        <v>139.69999999999999</v>
      </c>
      <c r="AB192">
        <v>127.6</v>
      </c>
      <c r="AC192">
        <v>128.19999999999999</v>
      </c>
      <c r="AD192">
        <v>134.80000000000001</v>
      </c>
    </row>
    <row r="193" spans="1:30" x14ac:dyDescent="0.3">
      <c r="A193" t="s">
        <v>34</v>
      </c>
      <c r="B193">
        <v>2018</v>
      </c>
      <c r="C193" t="s">
        <v>37</v>
      </c>
      <c r="D193">
        <v>136.4</v>
      </c>
      <c r="E193">
        <v>144.4</v>
      </c>
      <c r="F193">
        <v>133.9</v>
      </c>
      <c r="G193">
        <v>141.6</v>
      </c>
      <c r="H193">
        <v>121</v>
      </c>
      <c r="I193">
        <v>153.5</v>
      </c>
      <c r="J193">
        <v>132.6</v>
      </c>
      <c r="K193">
        <v>123.5</v>
      </c>
      <c r="L193">
        <v>113.7</v>
      </c>
      <c r="M193">
        <v>138.19999999999999</v>
      </c>
      <c r="N193">
        <v>129.6</v>
      </c>
      <c r="O193">
        <v>151.19999999999999</v>
      </c>
      <c r="P193">
        <v>137.5</v>
      </c>
      <c r="Q193">
        <v>156.9</v>
      </c>
      <c r="R193">
        <v>145.30000000000001</v>
      </c>
      <c r="S193">
        <v>136.69999999999999</v>
      </c>
      <c r="T193">
        <v>144</v>
      </c>
      <c r="U193">
        <v>142.9</v>
      </c>
      <c r="V193">
        <v>136.5</v>
      </c>
      <c r="W193">
        <v>136.6</v>
      </c>
      <c r="X193">
        <v>135.19999999999999</v>
      </c>
      <c r="Y193">
        <v>121.9</v>
      </c>
      <c r="Z193">
        <v>131.30000000000001</v>
      </c>
      <c r="AA193">
        <v>141.4</v>
      </c>
      <c r="AB193">
        <v>129.19999999999999</v>
      </c>
      <c r="AC193">
        <v>131.30000000000001</v>
      </c>
      <c r="AD193">
        <v>137.1</v>
      </c>
    </row>
    <row r="194" spans="1:30" x14ac:dyDescent="0.3">
      <c r="A194" t="s">
        <v>30</v>
      </c>
      <c r="B194">
        <v>2018</v>
      </c>
      <c r="C194" t="s">
        <v>38</v>
      </c>
      <c r="D194">
        <v>137.4</v>
      </c>
      <c r="E194">
        <v>145.69999999999999</v>
      </c>
      <c r="F194">
        <v>135.5</v>
      </c>
      <c r="G194">
        <v>142.9</v>
      </c>
      <c r="H194">
        <v>123.6</v>
      </c>
      <c r="I194">
        <v>157.5</v>
      </c>
      <c r="J194">
        <v>137.80000000000001</v>
      </c>
      <c r="K194">
        <v>127.2</v>
      </c>
      <c r="L194">
        <v>111.8</v>
      </c>
      <c r="M194">
        <v>137.4</v>
      </c>
      <c r="N194">
        <v>132.19999999999999</v>
      </c>
      <c r="O194">
        <v>154.30000000000001</v>
      </c>
      <c r="P194">
        <v>139.1</v>
      </c>
      <c r="Q194">
        <v>157</v>
      </c>
      <c r="R194">
        <v>150.80000000000001</v>
      </c>
      <c r="S194">
        <v>144.1</v>
      </c>
      <c r="T194">
        <v>149.80000000000001</v>
      </c>
      <c r="U194" t="s">
        <v>32</v>
      </c>
      <c r="V194">
        <v>144.30000000000001</v>
      </c>
      <c r="W194">
        <v>141.80000000000001</v>
      </c>
      <c r="X194">
        <v>138.4</v>
      </c>
      <c r="Y194">
        <v>126.4</v>
      </c>
      <c r="Z194">
        <v>136.80000000000001</v>
      </c>
      <c r="AA194">
        <v>144.4</v>
      </c>
      <c r="AB194">
        <v>131.19999999999999</v>
      </c>
      <c r="AC194">
        <v>135.1</v>
      </c>
      <c r="AD194">
        <v>139.80000000000001</v>
      </c>
    </row>
    <row r="195" spans="1:30" x14ac:dyDescent="0.3">
      <c r="A195" t="s">
        <v>33</v>
      </c>
      <c r="B195">
        <v>2018</v>
      </c>
      <c r="C195" t="s">
        <v>38</v>
      </c>
      <c r="D195">
        <v>135</v>
      </c>
      <c r="E195">
        <v>148.19999999999999</v>
      </c>
      <c r="F195">
        <v>130.5</v>
      </c>
      <c r="G195">
        <v>140.69999999999999</v>
      </c>
      <c r="H195">
        <v>116.4</v>
      </c>
      <c r="I195">
        <v>151.30000000000001</v>
      </c>
      <c r="J195">
        <v>131.4</v>
      </c>
      <c r="K195">
        <v>112.8</v>
      </c>
      <c r="L195">
        <v>105.3</v>
      </c>
      <c r="M195">
        <v>139.6</v>
      </c>
      <c r="N195">
        <v>126.6</v>
      </c>
      <c r="O195">
        <v>148.69999999999999</v>
      </c>
      <c r="P195">
        <v>136.4</v>
      </c>
      <c r="Q195">
        <v>160.30000000000001</v>
      </c>
      <c r="R195">
        <v>138.6</v>
      </c>
      <c r="S195">
        <v>127.9</v>
      </c>
      <c r="T195">
        <v>137</v>
      </c>
      <c r="U195">
        <v>143.19999999999999</v>
      </c>
      <c r="V195">
        <v>124.7</v>
      </c>
      <c r="W195">
        <v>132.5</v>
      </c>
      <c r="X195">
        <v>132</v>
      </c>
      <c r="Y195">
        <v>119.8</v>
      </c>
      <c r="Z195">
        <v>128</v>
      </c>
      <c r="AA195">
        <v>140.4</v>
      </c>
      <c r="AB195">
        <v>128.1</v>
      </c>
      <c r="AC195">
        <v>128.9</v>
      </c>
      <c r="AD195">
        <v>135.4</v>
      </c>
    </row>
    <row r="196" spans="1:30" x14ac:dyDescent="0.3">
      <c r="A196" t="s">
        <v>34</v>
      </c>
      <c r="B196">
        <v>2018</v>
      </c>
      <c r="C196" t="s">
        <v>38</v>
      </c>
      <c r="D196">
        <v>136.6</v>
      </c>
      <c r="E196">
        <v>146.6</v>
      </c>
      <c r="F196">
        <v>133.6</v>
      </c>
      <c r="G196">
        <v>142.1</v>
      </c>
      <c r="H196">
        <v>121</v>
      </c>
      <c r="I196">
        <v>154.6</v>
      </c>
      <c r="J196">
        <v>135.6</v>
      </c>
      <c r="K196">
        <v>122.3</v>
      </c>
      <c r="L196">
        <v>109.6</v>
      </c>
      <c r="M196">
        <v>138.1</v>
      </c>
      <c r="N196">
        <v>129.9</v>
      </c>
      <c r="O196">
        <v>151.69999999999999</v>
      </c>
      <c r="P196">
        <v>138.1</v>
      </c>
      <c r="Q196">
        <v>157.9</v>
      </c>
      <c r="R196">
        <v>146</v>
      </c>
      <c r="S196">
        <v>137.4</v>
      </c>
      <c r="T196">
        <v>144.69999999999999</v>
      </c>
      <c r="U196">
        <v>143.19999999999999</v>
      </c>
      <c r="V196">
        <v>136.9</v>
      </c>
      <c r="W196">
        <v>137.4</v>
      </c>
      <c r="X196">
        <v>136</v>
      </c>
      <c r="Y196">
        <v>122.9</v>
      </c>
      <c r="Z196">
        <v>131.80000000000001</v>
      </c>
      <c r="AA196">
        <v>142.1</v>
      </c>
      <c r="AB196">
        <v>129.9</v>
      </c>
      <c r="AC196">
        <v>132.1</v>
      </c>
      <c r="AD196">
        <v>137.80000000000001</v>
      </c>
    </row>
    <row r="197" spans="1:30" x14ac:dyDescent="0.3">
      <c r="A197" t="s">
        <v>30</v>
      </c>
      <c r="B197">
        <v>2018</v>
      </c>
      <c r="C197" t="s">
        <v>39</v>
      </c>
      <c r="D197">
        <v>137.6</v>
      </c>
      <c r="E197">
        <v>148.1</v>
      </c>
      <c r="F197">
        <v>136.69999999999999</v>
      </c>
      <c r="G197">
        <v>143.19999999999999</v>
      </c>
      <c r="H197">
        <v>124</v>
      </c>
      <c r="I197">
        <v>154.1</v>
      </c>
      <c r="J197">
        <v>143.5</v>
      </c>
      <c r="K197">
        <v>126</v>
      </c>
      <c r="L197">
        <v>112.4</v>
      </c>
      <c r="M197">
        <v>137.6</v>
      </c>
      <c r="N197">
        <v>132.80000000000001</v>
      </c>
      <c r="O197">
        <v>154.30000000000001</v>
      </c>
      <c r="P197">
        <v>140</v>
      </c>
      <c r="Q197">
        <v>157.30000000000001</v>
      </c>
      <c r="R197">
        <v>151.30000000000001</v>
      </c>
      <c r="S197">
        <v>144.69999999999999</v>
      </c>
      <c r="T197">
        <v>150.30000000000001</v>
      </c>
      <c r="U197" t="s">
        <v>32</v>
      </c>
      <c r="V197">
        <v>145.1</v>
      </c>
      <c r="W197">
        <v>142.19999999999999</v>
      </c>
      <c r="X197">
        <v>138.4</v>
      </c>
      <c r="Y197">
        <v>127.4</v>
      </c>
      <c r="Z197">
        <v>137.80000000000001</v>
      </c>
      <c r="AA197">
        <v>145.1</v>
      </c>
      <c r="AB197">
        <v>131.4</v>
      </c>
      <c r="AC197">
        <v>135.6</v>
      </c>
      <c r="AD197">
        <v>140.5</v>
      </c>
    </row>
    <row r="198" spans="1:30" x14ac:dyDescent="0.3">
      <c r="A198" t="s">
        <v>33</v>
      </c>
      <c r="B198">
        <v>2018</v>
      </c>
      <c r="C198" t="s">
        <v>39</v>
      </c>
      <c r="D198">
        <v>135.30000000000001</v>
      </c>
      <c r="E198">
        <v>149.69999999999999</v>
      </c>
      <c r="F198">
        <v>133.9</v>
      </c>
      <c r="G198">
        <v>140.80000000000001</v>
      </c>
      <c r="H198">
        <v>116.6</v>
      </c>
      <c r="I198">
        <v>152.19999999999999</v>
      </c>
      <c r="J198">
        <v>144</v>
      </c>
      <c r="K198">
        <v>112.3</v>
      </c>
      <c r="L198">
        <v>108.4</v>
      </c>
      <c r="M198">
        <v>140</v>
      </c>
      <c r="N198">
        <v>126.7</v>
      </c>
      <c r="O198">
        <v>149</v>
      </c>
      <c r="P198">
        <v>138.4</v>
      </c>
      <c r="Q198">
        <v>161</v>
      </c>
      <c r="R198">
        <v>138.9</v>
      </c>
      <c r="S198">
        <v>128.69999999999999</v>
      </c>
      <c r="T198">
        <v>137.4</v>
      </c>
      <c r="U198">
        <v>142.5</v>
      </c>
      <c r="V198">
        <v>126.5</v>
      </c>
      <c r="W198">
        <v>133.1</v>
      </c>
      <c r="X198">
        <v>132.6</v>
      </c>
      <c r="Y198">
        <v>120.4</v>
      </c>
      <c r="Z198">
        <v>128.5</v>
      </c>
      <c r="AA198">
        <v>141.19999999999999</v>
      </c>
      <c r="AB198">
        <v>128.19999999999999</v>
      </c>
      <c r="AC198">
        <v>129.5</v>
      </c>
      <c r="AD198">
        <v>136.19999999999999</v>
      </c>
    </row>
    <row r="199" spans="1:30" x14ac:dyDescent="0.3">
      <c r="A199" t="s">
        <v>34</v>
      </c>
      <c r="B199">
        <v>2018</v>
      </c>
      <c r="C199" t="s">
        <v>39</v>
      </c>
      <c r="D199">
        <v>136.9</v>
      </c>
      <c r="E199">
        <v>148.69999999999999</v>
      </c>
      <c r="F199">
        <v>135.6</v>
      </c>
      <c r="G199">
        <v>142.30000000000001</v>
      </c>
      <c r="H199">
        <v>121.3</v>
      </c>
      <c r="I199">
        <v>153.19999999999999</v>
      </c>
      <c r="J199">
        <v>143.69999999999999</v>
      </c>
      <c r="K199">
        <v>121.4</v>
      </c>
      <c r="L199">
        <v>111.1</v>
      </c>
      <c r="M199">
        <v>138.4</v>
      </c>
      <c r="N199">
        <v>130.30000000000001</v>
      </c>
      <c r="O199">
        <v>151.80000000000001</v>
      </c>
      <c r="P199">
        <v>139.4</v>
      </c>
      <c r="Q199">
        <v>158.30000000000001</v>
      </c>
      <c r="R199">
        <v>146.4</v>
      </c>
      <c r="S199">
        <v>138.1</v>
      </c>
      <c r="T199">
        <v>145.19999999999999</v>
      </c>
      <c r="U199">
        <v>142.5</v>
      </c>
      <c r="V199">
        <v>138.1</v>
      </c>
      <c r="W199">
        <v>137.9</v>
      </c>
      <c r="X199">
        <v>136.19999999999999</v>
      </c>
      <c r="Y199">
        <v>123.7</v>
      </c>
      <c r="Z199">
        <v>132.6</v>
      </c>
      <c r="AA199">
        <v>142.80000000000001</v>
      </c>
      <c r="AB199">
        <v>130.1</v>
      </c>
      <c r="AC199">
        <v>132.6</v>
      </c>
      <c r="AD199">
        <v>138.5</v>
      </c>
    </row>
    <row r="200" spans="1:30" x14ac:dyDescent="0.3">
      <c r="A200" t="s">
        <v>30</v>
      </c>
      <c r="B200">
        <v>2018</v>
      </c>
      <c r="C200" t="s">
        <v>40</v>
      </c>
      <c r="D200">
        <v>138.4</v>
      </c>
      <c r="E200">
        <v>149.30000000000001</v>
      </c>
      <c r="F200">
        <v>139.30000000000001</v>
      </c>
      <c r="G200">
        <v>143.4</v>
      </c>
      <c r="H200">
        <v>124.1</v>
      </c>
      <c r="I200">
        <v>153.30000000000001</v>
      </c>
      <c r="J200">
        <v>154.19999999999999</v>
      </c>
      <c r="K200">
        <v>126.4</v>
      </c>
      <c r="L200">
        <v>114.3</v>
      </c>
      <c r="M200">
        <v>138.19999999999999</v>
      </c>
      <c r="N200">
        <v>132.80000000000001</v>
      </c>
      <c r="O200">
        <v>154.80000000000001</v>
      </c>
      <c r="P200">
        <v>142</v>
      </c>
      <c r="Q200">
        <v>156.1</v>
      </c>
      <c r="R200">
        <v>151.5</v>
      </c>
      <c r="S200">
        <v>145.1</v>
      </c>
      <c r="T200">
        <v>150.6</v>
      </c>
      <c r="U200" t="s">
        <v>32</v>
      </c>
      <c r="V200">
        <v>146.80000000000001</v>
      </c>
      <c r="W200">
        <v>143.1</v>
      </c>
      <c r="X200">
        <v>139</v>
      </c>
      <c r="Y200">
        <v>127.5</v>
      </c>
      <c r="Z200">
        <v>138.4</v>
      </c>
      <c r="AA200">
        <v>145.80000000000001</v>
      </c>
      <c r="AB200">
        <v>131.4</v>
      </c>
      <c r="AC200">
        <v>136</v>
      </c>
      <c r="AD200">
        <v>141.80000000000001</v>
      </c>
    </row>
    <row r="201" spans="1:30" x14ac:dyDescent="0.3">
      <c r="A201" t="s">
        <v>33</v>
      </c>
      <c r="B201">
        <v>2018</v>
      </c>
      <c r="C201" t="s">
        <v>40</v>
      </c>
      <c r="D201">
        <v>135.6</v>
      </c>
      <c r="E201">
        <v>148.6</v>
      </c>
      <c r="F201">
        <v>139.1</v>
      </c>
      <c r="G201">
        <v>141</v>
      </c>
      <c r="H201">
        <v>116.7</v>
      </c>
      <c r="I201">
        <v>149.69999999999999</v>
      </c>
      <c r="J201">
        <v>159.19999999999999</v>
      </c>
      <c r="K201">
        <v>112.6</v>
      </c>
      <c r="L201">
        <v>111.8</v>
      </c>
      <c r="M201">
        <v>140.30000000000001</v>
      </c>
      <c r="N201">
        <v>126.8</v>
      </c>
      <c r="O201">
        <v>149.4</v>
      </c>
      <c r="P201">
        <v>140.30000000000001</v>
      </c>
      <c r="Q201">
        <v>161.4</v>
      </c>
      <c r="R201">
        <v>139.6</v>
      </c>
      <c r="S201">
        <v>128.9</v>
      </c>
      <c r="T201">
        <v>137.9</v>
      </c>
      <c r="U201">
        <v>143.6</v>
      </c>
      <c r="V201">
        <v>128.1</v>
      </c>
      <c r="W201">
        <v>133.6</v>
      </c>
      <c r="X201">
        <v>133.6</v>
      </c>
      <c r="Y201">
        <v>120.1</v>
      </c>
      <c r="Z201">
        <v>129</v>
      </c>
      <c r="AA201">
        <v>144</v>
      </c>
      <c r="AB201">
        <v>128.19999999999999</v>
      </c>
      <c r="AC201">
        <v>130.19999999999999</v>
      </c>
      <c r="AD201">
        <v>137.5</v>
      </c>
    </row>
    <row r="202" spans="1:30" x14ac:dyDescent="0.3">
      <c r="A202" t="s">
        <v>34</v>
      </c>
      <c r="B202">
        <v>2018</v>
      </c>
      <c r="C202" t="s">
        <v>40</v>
      </c>
      <c r="D202">
        <v>137.5</v>
      </c>
      <c r="E202">
        <v>149.1</v>
      </c>
      <c r="F202">
        <v>139.19999999999999</v>
      </c>
      <c r="G202">
        <v>142.5</v>
      </c>
      <c r="H202">
        <v>121.4</v>
      </c>
      <c r="I202">
        <v>151.6</v>
      </c>
      <c r="J202">
        <v>155.9</v>
      </c>
      <c r="K202">
        <v>121.7</v>
      </c>
      <c r="L202">
        <v>113.5</v>
      </c>
      <c r="M202">
        <v>138.9</v>
      </c>
      <c r="N202">
        <v>130.30000000000001</v>
      </c>
      <c r="O202">
        <v>152.30000000000001</v>
      </c>
      <c r="P202">
        <v>141.4</v>
      </c>
      <c r="Q202">
        <v>157.5</v>
      </c>
      <c r="R202">
        <v>146.80000000000001</v>
      </c>
      <c r="S202">
        <v>138.4</v>
      </c>
      <c r="T202">
        <v>145.6</v>
      </c>
      <c r="U202">
        <v>143.6</v>
      </c>
      <c r="V202">
        <v>139.69999999999999</v>
      </c>
      <c r="W202">
        <v>138.6</v>
      </c>
      <c r="X202">
        <v>137</v>
      </c>
      <c r="Y202">
        <v>123.6</v>
      </c>
      <c r="Z202">
        <v>133.1</v>
      </c>
      <c r="AA202">
        <v>144.69999999999999</v>
      </c>
      <c r="AB202">
        <v>130.1</v>
      </c>
      <c r="AC202">
        <v>133.19999999999999</v>
      </c>
      <c r="AD202">
        <v>139.80000000000001</v>
      </c>
    </row>
    <row r="203" spans="1:30" x14ac:dyDescent="0.3">
      <c r="A203" t="s">
        <v>30</v>
      </c>
      <c r="B203">
        <v>2018</v>
      </c>
      <c r="C203" t="s">
        <v>41</v>
      </c>
      <c r="D203">
        <v>139.19999999999999</v>
      </c>
      <c r="E203">
        <v>148.80000000000001</v>
      </c>
      <c r="F203">
        <v>139.1</v>
      </c>
      <c r="G203">
        <v>143.5</v>
      </c>
      <c r="H203">
        <v>125</v>
      </c>
      <c r="I203">
        <v>154.4</v>
      </c>
      <c r="J203">
        <v>156.30000000000001</v>
      </c>
      <c r="K203">
        <v>126.8</v>
      </c>
      <c r="L203">
        <v>115.4</v>
      </c>
      <c r="M203">
        <v>138.6</v>
      </c>
      <c r="N203">
        <v>133.80000000000001</v>
      </c>
      <c r="O203">
        <v>155.19999999999999</v>
      </c>
      <c r="P203">
        <v>142.69999999999999</v>
      </c>
      <c r="Q203">
        <v>156.4</v>
      </c>
      <c r="R203">
        <v>152.1</v>
      </c>
      <c r="S203">
        <v>145.80000000000001</v>
      </c>
      <c r="T203">
        <v>151.30000000000001</v>
      </c>
      <c r="U203" t="s">
        <v>32</v>
      </c>
      <c r="V203">
        <v>147.69999999999999</v>
      </c>
      <c r="W203">
        <v>143.80000000000001</v>
      </c>
      <c r="X203">
        <v>139.4</v>
      </c>
      <c r="Y203">
        <v>128.30000000000001</v>
      </c>
      <c r="Z203">
        <v>138.6</v>
      </c>
      <c r="AA203">
        <v>146.9</v>
      </c>
      <c r="AB203">
        <v>131.30000000000001</v>
      </c>
      <c r="AC203">
        <v>136.6</v>
      </c>
      <c r="AD203">
        <v>142.5</v>
      </c>
    </row>
    <row r="204" spans="1:30" x14ac:dyDescent="0.3">
      <c r="A204" t="s">
        <v>33</v>
      </c>
      <c r="B204">
        <v>2018</v>
      </c>
      <c r="C204" t="s">
        <v>41</v>
      </c>
      <c r="D204">
        <v>136.5</v>
      </c>
      <c r="E204">
        <v>146.4</v>
      </c>
      <c r="F204">
        <v>136.6</v>
      </c>
      <c r="G204">
        <v>141.19999999999999</v>
      </c>
      <c r="H204">
        <v>117.4</v>
      </c>
      <c r="I204">
        <v>146.30000000000001</v>
      </c>
      <c r="J204">
        <v>157.30000000000001</v>
      </c>
      <c r="K204">
        <v>113.6</v>
      </c>
      <c r="L204">
        <v>113.3</v>
      </c>
      <c r="M204">
        <v>141.1</v>
      </c>
      <c r="N204">
        <v>127.4</v>
      </c>
      <c r="O204">
        <v>150.4</v>
      </c>
      <c r="P204">
        <v>140.1</v>
      </c>
      <c r="Q204">
        <v>162.1</v>
      </c>
      <c r="R204">
        <v>140</v>
      </c>
      <c r="S204">
        <v>129</v>
      </c>
      <c r="T204">
        <v>138.30000000000001</v>
      </c>
      <c r="U204">
        <v>144.6</v>
      </c>
      <c r="V204">
        <v>129.80000000000001</v>
      </c>
      <c r="W204">
        <v>134.4</v>
      </c>
      <c r="X204">
        <v>134.9</v>
      </c>
      <c r="Y204">
        <v>120.7</v>
      </c>
      <c r="Z204">
        <v>129.80000000000001</v>
      </c>
      <c r="AA204">
        <v>145.30000000000001</v>
      </c>
      <c r="AB204">
        <v>128.30000000000001</v>
      </c>
      <c r="AC204">
        <v>131</v>
      </c>
      <c r="AD204">
        <v>138</v>
      </c>
    </row>
    <row r="205" spans="1:30" x14ac:dyDescent="0.3">
      <c r="A205" t="s">
        <v>34</v>
      </c>
      <c r="B205">
        <v>2018</v>
      </c>
      <c r="C205" t="s">
        <v>41</v>
      </c>
      <c r="D205">
        <v>138.30000000000001</v>
      </c>
      <c r="E205">
        <v>148</v>
      </c>
      <c r="F205">
        <v>138.1</v>
      </c>
      <c r="G205">
        <v>142.6</v>
      </c>
      <c r="H205">
        <v>122.2</v>
      </c>
      <c r="I205">
        <v>150.6</v>
      </c>
      <c r="J205">
        <v>156.6</v>
      </c>
      <c r="K205">
        <v>122.4</v>
      </c>
      <c r="L205">
        <v>114.7</v>
      </c>
      <c r="M205">
        <v>139.4</v>
      </c>
      <c r="N205">
        <v>131.1</v>
      </c>
      <c r="O205">
        <v>153</v>
      </c>
      <c r="P205">
        <v>141.69999999999999</v>
      </c>
      <c r="Q205">
        <v>157.9</v>
      </c>
      <c r="R205">
        <v>147.30000000000001</v>
      </c>
      <c r="S205">
        <v>138.80000000000001</v>
      </c>
      <c r="T205">
        <v>146.1</v>
      </c>
      <c r="U205">
        <v>144.6</v>
      </c>
      <c r="V205">
        <v>140.9</v>
      </c>
      <c r="W205">
        <v>139.4</v>
      </c>
      <c r="X205">
        <v>137.69999999999999</v>
      </c>
      <c r="Y205">
        <v>124.3</v>
      </c>
      <c r="Z205">
        <v>133.6</v>
      </c>
      <c r="AA205">
        <v>146</v>
      </c>
      <c r="AB205">
        <v>130.1</v>
      </c>
      <c r="AC205">
        <v>133.9</v>
      </c>
      <c r="AD205">
        <v>140.4</v>
      </c>
    </row>
    <row r="206" spans="1:30" x14ac:dyDescent="0.3">
      <c r="A206" t="s">
        <v>30</v>
      </c>
      <c r="B206">
        <v>2018</v>
      </c>
      <c r="C206" t="s">
        <v>42</v>
      </c>
      <c r="D206">
        <v>139.4</v>
      </c>
      <c r="E206">
        <v>147.19999999999999</v>
      </c>
      <c r="F206">
        <v>136.6</v>
      </c>
      <c r="G206">
        <v>143.69999999999999</v>
      </c>
      <c r="H206">
        <v>124.6</v>
      </c>
      <c r="I206">
        <v>150.1</v>
      </c>
      <c r="J206">
        <v>149.4</v>
      </c>
      <c r="K206">
        <v>125.4</v>
      </c>
      <c r="L206">
        <v>114.4</v>
      </c>
      <c r="M206">
        <v>138.69999999999999</v>
      </c>
      <c r="N206">
        <v>133.1</v>
      </c>
      <c r="O206">
        <v>155.9</v>
      </c>
      <c r="P206">
        <v>141.30000000000001</v>
      </c>
      <c r="Q206">
        <v>157.69999999999999</v>
      </c>
      <c r="R206">
        <v>152.1</v>
      </c>
      <c r="S206">
        <v>146.1</v>
      </c>
      <c r="T206">
        <v>151.30000000000001</v>
      </c>
      <c r="U206" t="s">
        <v>32</v>
      </c>
      <c r="V206">
        <v>149</v>
      </c>
      <c r="W206">
        <v>144</v>
      </c>
      <c r="X206">
        <v>140</v>
      </c>
      <c r="Y206">
        <v>129.9</v>
      </c>
      <c r="Z206">
        <v>140</v>
      </c>
      <c r="AA206">
        <v>147.6</v>
      </c>
      <c r="AB206">
        <v>132</v>
      </c>
      <c r="AC206">
        <v>137.4</v>
      </c>
      <c r="AD206">
        <v>142.1</v>
      </c>
    </row>
    <row r="207" spans="1:30" x14ac:dyDescent="0.3">
      <c r="A207" t="s">
        <v>33</v>
      </c>
      <c r="B207">
        <v>2018</v>
      </c>
      <c r="C207" t="s">
        <v>42</v>
      </c>
      <c r="D207">
        <v>137</v>
      </c>
      <c r="E207">
        <v>143.1</v>
      </c>
      <c r="F207">
        <v>132.80000000000001</v>
      </c>
      <c r="G207">
        <v>141.5</v>
      </c>
      <c r="H207">
        <v>117.8</v>
      </c>
      <c r="I207">
        <v>140</v>
      </c>
      <c r="J207">
        <v>151.30000000000001</v>
      </c>
      <c r="K207">
        <v>113.5</v>
      </c>
      <c r="L207">
        <v>112.3</v>
      </c>
      <c r="M207">
        <v>141.19999999999999</v>
      </c>
      <c r="N207">
        <v>127.7</v>
      </c>
      <c r="O207">
        <v>151.30000000000001</v>
      </c>
      <c r="P207">
        <v>138.9</v>
      </c>
      <c r="Q207">
        <v>163.30000000000001</v>
      </c>
      <c r="R207">
        <v>140.80000000000001</v>
      </c>
      <c r="S207">
        <v>129.30000000000001</v>
      </c>
      <c r="T207">
        <v>139.1</v>
      </c>
      <c r="U207">
        <v>145.30000000000001</v>
      </c>
      <c r="V207">
        <v>131.19999999999999</v>
      </c>
      <c r="W207">
        <v>134.9</v>
      </c>
      <c r="X207">
        <v>135.69999999999999</v>
      </c>
      <c r="Y207">
        <v>122.5</v>
      </c>
      <c r="Z207">
        <v>130.19999999999999</v>
      </c>
      <c r="AA207">
        <v>145.19999999999999</v>
      </c>
      <c r="AB207">
        <v>129.30000000000001</v>
      </c>
      <c r="AC207">
        <v>131.9</v>
      </c>
      <c r="AD207">
        <v>138.1</v>
      </c>
    </row>
    <row r="208" spans="1:30" x14ac:dyDescent="0.3">
      <c r="A208" t="s">
        <v>34</v>
      </c>
      <c r="B208">
        <v>2018</v>
      </c>
      <c r="C208" t="s">
        <v>42</v>
      </c>
      <c r="D208">
        <v>138.6</v>
      </c>
      <c r="E208">
        <v>145.80000000000001</v>
      </c>
      <c r="F208">
        <v>135.1</v>
      </c>
      <c r="G208">
        <v>142.9</v>
      </c>
      <c r="H208">
        <v>122.1</v>
      </c>
      <c r="I208">
        <v>145.4</v>
      </c>
      <c r="J208">
        <v>150</v>
      </c>
      <c r="K208">
        <v>121.4</v>
      </c>
      <c r="L208">
        <v>113.7</v>
      </c>
      <c r="M208">
        <v>139.5</v>
      </c>
      <c r="N208">
        <v>130.80000000000001</v>
      </c>
      <c r="O208">
        <v>153.80000000000001</v>
      </c>
      <c r="P208">
        <v>140.4</v>
      </c>
      <c r="Q208">
        <v>159.19999999999999</v>
      </c>
      <c r="R208">
        <v>147.69999999999999</v>
      </c>
      <c r="S208">
        <v>139.1</v>
      </c>
      <c r="T208">
        <v>146.5</v>
      </c>
      <c r="U208">
        <v>145.30000000000001</v>
      </c>
      <c r="V208">
        <v>142.30000000000001</v>
      </c>
      <c r="W208">
        <v>139.69999999999999</v>
      </c>
      <c r="X208">
        <v>138.4</v>
      </c>
      <c r="Y208">
        <v>126</v>
      </c>
      <c r="Z208">
        <v>134.5</v>
      </c>
      <c r="AA208">
        <v>146.19999999999999</v>
      </c>
      <c r="AB208">
        <v>130.9</v>
      </c>
      <c r="AC208">
        <v>134.69999999999999</v>
      </c>
      <c r="AD208">
        <v>140.19999999999999</v>
      </c>
    </row>
    <row r="209" spans="1:30" x14ac:dyDescent="0.3">
      <c r="A209" t="s">
        <v>30</v>
      </c>
      <c r="B209">
        <v>2018</v>
      </c>
      <c r="C209" t="s">
        <v>43</v>
      </c>
      <c r="D209">
        <v>139.30000000000001</v>
      </c>
      <c r="E209">
        <v>147.6</v>
      </c>
      <c r="F209">
        <v>134.6</v>
      </c>
      <c r="G209">
        <v>141.9</v>
      </c>
      <c r="H209">
        <v>123.5</v>
      </c>
      <c r="I209">
        <v>144.5</v>
      </c>
      <c r="J209">
        <v>147.6</v>
      </c>
      <c r="K209">
        <v>121.4</v>
      </c>
      <c r="L209">
        <v>112.3</v>
      </c>
      <c r="M209">
        <v>139.5</v>
      </c>
      <c r="N209">
        <v>134.6</v>
      </c>
      <c r="O209">
        <v>155.19999999999999</v>
      </c>
      <c r="P209">
        <v>140.19999999999999</v>
      </c>
      <c r="Q209">
        <v>159.6</v>
      </c>
      <c r="R209">
        <v>150.69999999999999</v>
      </c>
      <c r="S209">
        <v>144.5</v>
      </c>
      <c r="T209">
        <v>149.80000000000001</v>
      </c>
      <c r="U209" t="s">
        <v>32</v>
      </c>
      <c r="V209">
        <v>149.69999999999999</v>
      </c>
      <c r="W209">
        <v>147.5</v>
      </c>
      <c r="X209">
        <v>144.80000000000001</v>
      </c>
      <c r="Y209">
        <v>130.80000000000001</v>
      </c>
      <c r="Z209">
        <v>140.1</v>
      </c>
      <c r="AA209">
        <v>148</v>
      </c>
      <c r="AB209">
        <v>134.4</v>
      </c>
      <c r="AC209">
        <v>139.80000000000001</v>
      </c>
      <c r="AD209">
        <v>142.19999999999999</v>
      </c>
    </row>
    <row r="210" spans="1:30" x14ac:dyDescent="0.3">
      <c r="A210" t="s">
        <v>33</v>
      </c>
      <c r="B210">
        <v>2018</v>
      </c>
      <c r="C210" t="s">
        <v>43</v>
      </c>
      <c r="D210">
        <v>137.6</v>
      </c>
      <c r="E210">
        <v>144.9</v>
      </c>
      <c r="F210">
        <v>133.5</v>
      </c>
      <c r="G210">
        <v>141.5</v>
      </c>
      <c r="H210">
        <v>118</v>
      </c>
      <c r="I210">
        <v>139.5</v>
      </c>
      <c r="J210">
        <v>153</v>
      </c>
      <c r="K210">
        <v>113.2</v>
      </c>
      <c r="L210">
        <v>112.8</v>
      </c>
      <c r="M210">
        <v>141.1</v>
      </c>
      <c r="N210">
        <v>127.6</v>
      </c>
      <c r="O210">
        <v>152</v>
      </c>
      <c r="P210">
        <v>139.4</v>
      </c>
      <c r="Q210">
        <v>164</v>
      </c>
      <c r="R210">
        <v>141.5</v>
      </c>
      <c r="S210">
        <v>129.80000000000001</v>
      </c>
      <c r="T210">
        <v>139.69999999999999</v>
      </c>
      <c r="U210">
        <v>146.30000000000001</v>
      </c>
      <c r="V210">
        <v>133.4</v>
      </c>
      <c r="W210">
        <v>135.1</v>
      </c>
      <c r="X210">
        <v>136.19999999999999</v>
      </c>
      <c r="Y210">
        <v>123.3</v>
      </c>
      <c r="Z210">
        <v>130.69999999999999</v>
      </c>
      <c r="AA210">
        <v>145.5</v>
      </c>
      <c r="AB210">
        <v>130.4</v>
      </c>
      <c r="AC210">
        <v>132.5</v>
      </c>
      <c r="AD210">
        <v>138.9</v>
      </c>
    </row>
    <row r="211" spans="1:30" x14ac:dyDescent="0.3">
      <c r="A211" t="s">
        <v>34</v>
      </c>
      <c r="B211">
        <v>2018</v>
      </c>
      <c r="C211" t="s">
        <v>43</v>
      </c>
      <c r="D211">
        <v>137.4</v>
      </c>
      <c r="E211">
        <v>149.5</v>
      </c>
      <c r="F211">
        <v>137.30000000000001</v>
      </c>
      <c r="G211">
        <v>141.9</v>
      </c>
      <c r="H211">
        <v>121.1</v>
      </c>
      <c r="I211">
        <v>142.5</v>
      </c>
      <c r="J211">
        <v>146.69999999999999</v>
      </c>
      <c r="K211">
        <v>119.1</v>
      </c>
      <c r="L211">
        <v>111.9</v>
      </c>
      <c r="M211">
        <v>141</v>
      </c>
      <c r="N211">
        <v>133.6</v>
      </c>
      <c r="O211">
        <v>154.5</v>
      </c>
      <c r="P211">
        <v>139.69999999999999</v>
      </c>
      <c r="Q211">
        <v>162.6</v>
      </c>
      <c r="R211">
        <v>148</v>
      </c>
      <c r="S211">
        <v>139.19999999999999</v>
      </c>
      <c r="T211">
        <v>146.80000000000001</v>
      </c>
      <c r="U211">
        <v>146.9</v>
      </c>
      <c r="V211">
        <v>145.30000000000001</v>
      </c>
      <c r="W211">
        <v>142.19999999999999</v>
      </c>
      <c r="X211">
        <v>142.1</v>
      </c>
      <c r="Y211">
        <v>125.5</v>
      </c>
      <c r="Z211">
        <v>136.5</v>
      </c>
      <c r="AA211">
        <v>147.80000000000001</v>
      </c>
      <c r="AB211">
        <v>132</v>
      </c>
      <c r="AC211">
        <v>136.30000000000001</v>
      </c>
      <c r="AD211">
        <v>140.80000000000001</v>
      </c>
    </row>
    <row r="212" spans="1:30" x14ac:dyDescent="0.3">
      <c r="A212" t="s">
        <v>30</v>
      </c>
      <c r="B212">
        <v>2018</v>
      </c>
      <c r="C212" t="s">
        <v>45</v>
      </c>
      <c r="D212">
        <v>137.1</v>
      </c>
      <c r="E212">
        <v>150.80000000000001</v>
      </c>
      <c r="F212">
        <v>136.69999999999999</v>
      </c>
      <c r="G212">
        <v>141.9</v>
      </c>
      <c r="H212">
        <v>122.8</v>
      </c>
      <c r="I212">
        <v>143.9</v>
      </c>
      <c r="J212">
        <v>147.5</v>
      </c>
      <c r="K212">
        <v>121</v>
      </c>
      <c r="L212">
        <v>111.6</v>
      </c>
      <c r="M212">
        <v>140.6</v>
      </c>
      <c r="N212">
        <v>137.5</v>
      </c>
      <c r="O212">
        <v>156.1</v>
      </c>
      <c r="P212">
        <v>140</v>
      </c>
      <c r="Q212">
        <v>161.9</v>
      </c>
      <c r="R212">
        <v>151.69999999999999</v>
      </c>
      <c r="S212">
        <v>145.5</v>
      </c>
      <c r="T212">
        <v>150.80000000000001</v>
      </c>
      <c r="U212" t="s">
        <v>32</v>
      </c>
      <c r="V212">
        <v>150.30000000000001</v>
      </c>
      <c r="W212">
        <v>148</v>
      </c>
      <c r="X212">
        <v>145.4</v>
      </c>
      <c r="Y212">
        <v>130.30000000000001</v>
      </c>
      <c r="Z212">
        <v>143.1</v>
      </c>
      <c r="AA212">
        <v>150.19999999999999</v>
      </c>
      <c r="AB212">
        <v>133.1</v>
      </c>
      <c r="AC212">
        <v>140.1</v>
      </c>
      <c r="AD212">
        <v>142.4</v>
      </c>
    </row>
    <row r="213" spans="1:30" x14ac:dyDescent="0.3">
      <c r="A213" t="s">
        <v>33</v>
      </c>
      <c r="B213">
        <v>2018</v>
      </c>
      <c r="C213" t="s">
        <v>45</v>
      </c>
      <c r="D213">
        <v>138.1</v>
      </c>
      <c r="E213">
        <v>146.30000000000001</v>
      </c>
      <c r="F213">
        <v>137.80000000000001</v>
      </c>
      <c r="G213">
        <v>141.6</v>
      </c>
      <c r="H213">
        <v>118.1</v>
      </c>
      <c r="I213">
        <v>141.5</v>
      </c>
      <c r="J213">
        <v>145.19999999999999</v>
      </c>
      <c r="K213">
        <v>115.3</v>
      </c>
      <c r="L213">
        <v>112.5</v>
      </c>
      <c r="M213">
        <v>141.4</v>
      </c>
      <c r="N213">
        <v>128</v>
      </c>
      <c r="O213">
        <v>152.6</v>
      </c>
      <c r="P213">
        <v>139.1</v>
      </c>
      <c r="Q213">
        <v>164.4</v>
      </c>
      <c r="R213">
        <v>142.4</v>
      </c>
      <c r="S213">
        <v>130.19999999999999</v>
      </c>
      <c r="T213">
        <v>140.5</v>
      </c>
      <c r="U213">
        <v>146.9</v>
      </c>
      <c r="V213">
        <v>136.69999999999999</v>
      </c>
      <c r="W213">
        <v>135.80000000000001</v>
      </c>
      <c r="X213">
        <v>136.80000000000001</v>
      </c>
      <c r="Y213">
        <v>121.2</v>
      </c>
      <c r="Z213">
        <v>131.30000000000001</v>
      </c>
      <c r="AA213">
        <v>146.1</v>
      </c>
      <c r="AB213">
        <v>130.5</v>
      </c>
      <c r="AC213">
        <v>132.19999999999999</v>
      </c>
      <c r="AD213">
        <v>139</v>
      </c>
    </row>
    <row r="214" spans="1:30" x14ac:dyDescent="0.3">
      <c r="A214" t="s">
        <v>34</v>
      </c>
      <c r="B214">
        <v>2018</v>
      </c>
      <c r="C214" t="s">
        <v>45</v>
      </c>
      <c r="D214">
        <v>137.4</v>
      </c>
      <c r="E214">
        <v>149.19999999999999</v>
      </c>
      <c r="F214">
        <v>137.1</v>
      </c>
      <c r="G214">
        <v>141.80000000000001</v>
      </c>
      <c r="H214">
        <v>121.1</v>
      </c>
      <c r="I214">
        <v>142.80000000000001</v>
      </c>
      <c r="J214">
        <v>146.69999999999999</v>
      </c>
      <c r="K214">
        <v>119.1</v>
      </c>
      <c r="L214">
        <v>111.9</v>
      </c>
      <c r="M214">
        <v>140.9</v>
      </c>
      <c r="N214">
        <v>133.5</v>
      </c>
      <c r="O214">
        <v>154.5</v>
      </c>
      <c r="P214">
        <v>139.69999999999999</v>
      </c>
      <c r="Q214">
        <v>162.6</v>
      </c>
      <c r="R214">
        <v>148</v>
      </c>
      <c r="S214">
        <v>139.1</v>
      </c>
      <c r="T214">
        <v>146.69999999999999</v>
      </c>
      <c r="U214">
        <v>146.9</v>
      </c>
      <c r="V214">
        <v>145.1</v>
      </c>
      <c r="W214">
        <v>142.19999999999999</v>
      </c>
      <c r="X214">
        <v>142.1</v>
      </c>
      <c r="Y214">
        <v>125.5</v>
      </c>
      <c r="Z214">
        <v>136.5</v>
      </c>
      <c r="AA214">
        <v>147.80000000000001</v>
      </c>
      <c r="AB214">
        <v>132</v>
      </c>
      <c r="AC214">
        <v>136.30000000000001</v>
      </c>
      <c r="AD214">
        <v>140.80000000000001</v>
      </c>
    </row>
    <row r="215" spans="1:30" x14ac:dyDescent="0.3">
      <c r="A215" t="s">
        <v>30</v>
      </c>
      <c r="B215">
        <v>2018</v>
      </c>
      <c r="C215" t="s">
        <v>46</v>
      </c>
      <c r="D215">
        <v>137.1</v>
      </c>
      <c r="E215">
        <v>151.9</v>
      </c>
      <c r="F215">
        <v>137.4</v>
      </c>
      <c r="G215">
        <v>142.4</v>
      </c>
      <c r="H215">
        <v>124.2</v>
      </c>
      <c r="I215">
        <v>140.19999999999999</v>
      </c>
      <c r="J215">
        <v>136.6</v>
      </c>
      <c r="K215">
        <v>120.9</v>
      </c>
      <c r="L215">
        <v>109.9</v>
      </c>
      <c r="M215">
        <v>140.19999999999999</v>
      </c>
      <c r="N215">
        <v>137.80000000000001</v>
      </c>
      <c r="O215">
        <v>156</v>
      </c>
      <c r="P215">
        <v>138.5</v>
      </c>
      <c r="Q215">
        <v>162.4</v>
      </c>
      <c r="R215">
        <v>151.6</v>
      </c>
      <c r="S215">
        <v>145.9</v>
      </c>
      <c r="T215">
        <v>150.80000000000001</v>
      </c>
      <c r="U215" t="s">
        <v>32</v>
      </c>
      <c r="V215">
        <v>149</v>
      </c>
      <c r="W215">
        <v>149.5</v>
      </c>
      <c r="X215">
        <v>149.6</v>
      </c>
      <c r="Y215">
        <v>128.9</v>
      </c>
      <c r="Z215">
        <v>143.30000000000001</v>
      </c>
      <c r="AA215">
        <v>155.1</v>
      </c>
      <c r="AB215">
        <v>133.19999999999999</v>
      </c>
      <c r="AC215">
        <v>141.6</v>
      </c>
      <c r="AD215">
        <v>141.9</v>
      </c>
    </row>
    <row r="216" spans="1:30" x14ac:dyDescent="0.3">
      <c r="A216" t="s">
        <v>33</v>
      </c>
      <c r="B216">
        <v>2018</v>
      </c>
      <c r="C216" t="s">
        <v>46</v>
      </c>
      <c r="D216">
        <v>138.5</v>
      </c>
      <c r="E216">
        <v>147.80000000000001</v>
      </c>
      <c r="F216">
        <v>141.1</v>
      </c>
      <c r="G216">
        <v>141.6</v>
      </c>
      <c r="H216">
        <v>118.1</v>
      </c>
      <c r="I216">
        <v>138.5</v>
      </c>
      <c r="J216">
        <v>132.4</v>
      </c>
      <c r="K216">
        <v>117.5</v>
      </c>
      <c r="L216">
        <v>111</v>
      </c>
      <c r="M216">
        <v>141.5</v>
      </c>
      <c r="N216">
        <v>128.1</v>
      </c>
      <c r="O216">
        <v>152.9</v>
      </c>
      <c r="P216">
        <v>137.6</v>
      </c>
      <c r="Q216">
        <v>164.6</v>
      </c>
      <c r="R216">
        <v>142.69999999999999</v>
      </c>
      <c r="S216">
        <v>130.30000000000001</v>
      </c>
      <c r="T216">
        <v>140.80000000000001</v>
      </c>
      <c r="U216">
        <v>146.5</v>
      </c>
      <c r="V216">
        <v>132.4</v>
      </c>
      <c r="W216">
        <v>136.19999999999999</v>
      </c>
      <c r="X216">
        <v>137.30000000000001</v>
      </c>
      <c r="Y216">
        <v>118.8</v>
      </c>
      <c r="Z216">
        <v>131.69999999999999</v>
      </c>
      <c r="AA216">
        <v>146.5</v>
      </c>
      <c r="AB216">
        <v>130.80000000000001</v>
      </c>
      <c r="AC216">
        <v>131.69999999999999</v>
      </c>
      <c r="AD216">
        <v>138</v>
      </c>
    </row>
    <row r="217" spans="1:30" x14ac:dyDescent="0.3">
      <c r="A217" t="s">
        <v>34</v>
      </c>
      <c r="B217">
        <v>2018</v>
      </c>
      <c r="C217" t="s">
        <v>46</v>
      </c>
      <c r="D217">
        <v>137.5</v>
      </c>
      <c r="E217">
        <v>150.5</v>
      </c>
      <c r="F217">
        <v>138.80000000000001</v>
      </c>
      <c r="G217">
        <v>142.1</v>
      </c>
      <c r="H217">
        <v>122</v>
      </c>
      <c r="I217">
        <v>139.4</v>
      </c>
      <c r="J217">
        <v>135.19999999999999</v>
      </c>
      <c r="K217">
        <v>119.8</v>
      </c>
      <c r="L217">
        <v>110.3</v>
      </c>
      <c r="M217">
        <v>140.6</v>
      </c>
      <c r="N217">
        <v>133.80000000000001</v>
      </c>
      <c r="O217">
        <v>154.6</v>
      </c>
      <c r="P217">
        <v>138.19999999999999</v>
      </c>
      <c r="Q217">
        <v>163</v>
      </c>
      <c r="R217">
        <v>148.1</v>
      </c>
      <c r="S217">
        <v>139.4</v>
      </c>
      <c r="T217">
        <v>146.80000000000001</v>
      </c>
      <c r="U217">
        <v>146.5</v>
      </c>
      <c r="V217">
        <v>142.69999999999999</v>
      </c>
      <c r="W217">
        <v>143.19999999999999</v>
      </c>
      <c r="X217">
        <v>144.9</v>
      </c>
      <c r="Y217">
        <v>123.6</v>
      </c>
      <c r="Z217">
        <v>136.80000000000001</v>
      </c>
      <c r="AA217">
        <v>150.1</v>
      </c>
      <c r="AB217">
        <v>132.19999999999999</v>
      </c>
      <c r="AC217">
        <v>136.80000000000001</v>
      </c>
      <c r="AD217">
        <v>140.1</v>
      </c>
    </row>
    <row r="218" spans="1:30" x14ac:dyDescent="0.3">
      <c r="A218" t="s">
        <v>30</v>
      </c>
      <c r="B218">
        <v>2019</v>
      </c>
      <c r="C218" t="s">
        <v>31</v>
      </c>
      <c r="D218">
        <v>136.6</v>
      </c>
      <c r="E218">
        <v>152.5</v>
      </c>
      <c r="F218">
        <v>138.19999999999999</v>
      </c>
      <c r="G218">
        <v>142.4</v>
      </c>
      <c r="H218">
        <v>123.9</v>
      </c>
      <c r="I218">
        <v>135.5</v>
      </c>
      <c r="J218">
        <v>131.69999999999999</v>
      </c>
      <c r="K218">
        <v>121.3</v>
      </c>
      <c r="L218">
        <v>108.4</v>
      </c>
      <c r="M218">
        <v>138.9</v>
      </c>
      <c r="N218">
        <v>137</v>
      </c>
      <c r="O218">
        <v>155.80000000000001</v>
      </c>
      <c r="P218">
        <v>137.4</v>
      </c>
      <c r="Q218">
        <v>162.69999999999999</v>
      </c>
      <c r="R218">
        <v>150.6</v>
      </c>
      <c r="S218">
        <v>145.1</v>
      </c>
      <c r="T218">
        <v>149.9</v>
      </c>
      <c r="U218" t="s">
        <v>32</v>
      </c>
      <c r="V218">
        <v>146.19999999999999</v>
      </c>
      <c r="W218">
        <v>150.1</v>
      </c>
      <c r="X218">
        <v>149.6</v>
      </c>
      <c r="Y218">
        <v>128.6</v>
      </c>
      <c r="Z218">
        <v>142.9</v>
      </c>
      <c r="AA218">
        <v>155.19999999999999</v>
      </c>
      <c r="AB218">
        <v>133.5</v>
      </c>
      <c r="AC218">
        <v>141.69999999999999</v>
      </c>
      <c r="AD218">
        <v>141</v>
      </c>
    </row>
    <row r="219" spans="1:30" x14ac:dyDescent="0.3">
      <c r="A219" t="s">
        <v>33</v>
      </c>
      <c r="B219">
        <v>2019</v>
      </c>
      <c r="C219" t="s">
        <v>31</v>
      </c>
      <c r="D219">
        <v>138.30000000000001</v>
      </c>
      <c r="E219">
        <v>149.4</v>
      </c>
      <c r="F219">
        <v>143.5</v>
      </c>
      <c r="G219">
        <v>141.69999999999999</v>
      </c>
      <c r="H219">
        <v>118.1</v>
      </c>
      <c r="I219">
        <v>135.19999999999999</v>
      </c>
      <c r="J219">
        <v>130.5</v>
      </c>
      <c r="K219">
        <v>118.2</v>
      </c>
      <c r="L219">
        <v>110.4</v>
      </c>
      <c r="M219">
        <v>140.4</v>
      </c>
      <c r="N219">
        <v>128.1</v>
      </c>
      <c r="O219">
        <v>153.19999999999999</v>
      </c>
      <c r="P219">
        <v>137.30000000000001</v>
      </c>
      <c r="Q219">
        <v>164.7</v>
      </c>
      <c r="R219">
        <v>143</v>
      </c>
      <c r="S219">
        <v>130.4</v>
      </c>
      <c r="T219">
        <v>141.1</v>
      </c>
      <c r="U219">
        <v>147.69999999999999</v>
      </c>
      <c r="V219">
        <v>128.6</v>
      </c>
      <c r="W219">
        <v>136.30000000000001</v>
      </c>
      <c r="X219">
        <v>137.80000000000001</v>
      </c>
      <c r="Y219">
        <v>118.6</v>
      </c>
      <c r="Z219">
        <v>131.9</v>
      </c>
      <c r="AA219">
        <v>146.6</v>
      </c>
      <c r="AB219">
        <v>131.69999999999999</v>
      </c>
      <c r="AC219">
        <v>131.80000000000001</v>
      </c>
      <c r="AD219">
        <v>138</v>
      </c>
    </row>
    <row r="220" spans="1:30" x14ac:dyDescent="0.3">
      <c r="A220" t="s">
        <v>34</v>
      </c>
      <c r="B220">
        <v>2019</v>
      </c>
      <c r="C220" t="s">
        <v>31</v>
      </c>
      <c r="D220">
        <v>137.1</v>
      </c>
      <c r="E220">
        <v>151.4</v>
      </c>
      <c r="F220">
        <v>140.19999999999999</v>
      </c>
      <c r="G220">
        <v>142.1</v>
      </c>
      <c r="H220">
        <v>121.8</v>
      </c>
      <c r="I220">
        <v>135.4</v>
      </c>
      <c r="J220">
        <v>131.30000000000001</v>
      </c>
      <c r="K220">
        <v>120.3</v>
      </c>
      <c r="L220">
        <v>109.1</v>
      </c>
      <c r="M220">
        <v>139.4</v>
      </c>
      <c r="N220">
        <v>133.30000000000001</v>
      </c>
      <c r="O220">
        <v>154.6</v>
      </c>
      <c r="P220">
        <v>137.4</v>
      </c>
      <c r="Q220">
        <v>163.19999999999999</v>
      </c>
      <c r="R220">
        <v>147.6</v>
      </c>
      <c r="S220">
        <v>139</v>
      </c>
      <c r="T220">
        <v>146.4</v>
      </c>
      <c r="U220">
        <v>147.69999999999999</v>
      </c>
      <c r="V220">
        <v>139.5</v>
      </c>
      <c r="W220">
        <v>143.6</v>
      </c>
      <c r="X220">
        <v>145.1</v>
      </c>
      <c r="Y220">
        <v>123.3</v>
      </c>
      <c r="Z220">
        <v>136.69999999999999</v>
      </c>
      <c r="AA220">
        <v>150.19999999999999</v>
      </c>
      <c r="AB220">
        <v>132.80000000000001</v>
      </c>
      <c r="AC220">
        <v>136.9</v>
      </c>
      <c r="AD220">
        <v>139.6</v>
      </c>
    </row>
    <row r="221" spans="1:30" x14ac:dyDescent="0.3">
      <c r="A221" t="s">
        <v>30</v>
      </c>
      <c r="B221">
        <v>2019</v>
      </c>
      <c r="C221" t="s">
        <v>35</v>
      </c>
      <c r="D221">
        <v>136.80000000000001</v>
      </c>
      <c r="E221">
        <v>153</v>
      </c>
      <c r="F221">
        <v>139.1</v>
      </c>
      <c r="G221">
        <v>142.5</v>
      </c>
      <c r="H221">
        <v>124.1</v>
      </c>
      <c r="I221">
        <v>135.80000000000001</v>
      </c>
      <c r="J221">
        <v>128.69999999999999</v>
      </c>
      <c r="K221">
        <v>121.5</v>
      </c>
      <c r="L221">
        <v>108.3</v>
      </c>
      <c r="M221">
        <v>139.19999999999999</v>
      </c>
      <c r="N221">
        <v>137.4</v>
      </c>
      <c r="O221">
        <v>156.19999999999999</v>
      </c>
      <c r="P221">
        <v>137.19999999999999</v>
      </c>
      <c r="Q221">
        <v>162.80000000000001</v>
      </c>
      <c r="R221">
        <v>150.5</v>
      </c>
      <c r="S221">
        <v>146.1</v>
      </c>
      <c r="T221">
        <v>149.9</v>
      </c>
      <c r="U221" t="s">
        <v>32</v>
      </c>
      <c r="V221">
        <v>145.30000000000001</v>
      </c>
      <c r="W221">
        <v>150.1</v>
      </c>
      <c r="X221">
        <v>149.9</v>
      </c>
      <c r="Y221">
        <v>129.19999999999999</v>
      </c>
      <c r="Z221">
        <v>143.4</v>
      </c>
      <c r="AA221">
        <v>155.5</v>
      </c>
      <c r="AB221">
        <v>134.9</v>
      </c>
      <c r="AC221">
        <v>142.19999999999999</v>
      </c>
      <c r="AD221">
        <v>141</v>
      </c>
    </row>
    <row r="222" spans="1:30" x14ac:dyDescent="0.3">
      <c r="A222" t="s">
        <v>33</v>
      </c>
      <c r="B222">
        <v>2019</v>
      </c>
      <c r="C222" t="s">
        <v>35</v>
      </c>
      <c r="D222">
        <v>139.4</v>
      </c>
      <c r="E222">
        <v>150.1</v>
      </c>
      <c r="F222">
        <v>145.30000000000001</v>
      </c>
      <c r="G222">
        <v>141.69999999999999</v>
      </c>
      <c r="H222">
        <v>118.4</v>
      </c>
      <c r="I222">
        <v>137</v>
      </c>
      <c r="J222">
        <v>131.6</v>
      </c>
      <c r="K222">
        <v>119.9</v>
      </c>
      <c r="L222">
        <v>110.4</v>
      </c>
      <c r="M222">
        <v>140.80000000000001</v>
      </c>
      <c r="N222">
        <v>128.30000000000001</v>
      </c>
      <c r="O222">
        <v>153.5</v>
      </c>
      <c r="P222">
        <v>138</v>
      </c>
      <c r="Q222">
        <v>164.9</v>
      </c>
      <c r="R222">
        <v>143.30000000000001</v>
      </c>
      <c r="S222">
        <v>130.80000000000001</v>
      </c>
      <c r="T222">
        <v>141.4</v>
      </c>
      <c r="U222">
        <v>148.5</v>
      </c>
      <c r="V222">
        <v>127.1</v>
      </c>
      <c r="W222">
        <v>136.6</v>
      </c>
      <c r="X222">
        <v>138.5</v>
      </c>
      <c r="Y222">
        <v>119.2</v>
      </c>
      <c r="Z222">
        <v>132.19999999999999</v>
      </c>
      <c r="AA222">
        <v>146.6</v>
      </c>
      <c r="AB222">
        <v>133</v>
      </c>
      <c r="AC222">
        <v>132.4</v>
      </c>
      <c r="AD222">
        <v>138.6</v>
      </c>
    </row>
    <row r="223" spans="1:30" x14ac:dyDescent="0.3">
      <c r="A223" t="s">
        <v>34</v>
      </c>
      <c r="B223">
        <v>2019</v>
      </c>
      <c r="C223" t="s">
        <v>35</v>
      </c>
      <c r="D223">
        <v>137.6</v>
      </c>
      <c r="E223">
        <v>152</v>
      </c>
      <c r="F223">
        <v>141.5</v>
      </c>
      <c r="G223">
        <v>142.19999999999999</v>
      </c>
      <c r="H223">
        <v>122</v>
      </c>
      <c r="I223">
        <v>136.4</v>
      </c>
      <c r="J223">
        <v>129.69999999999999</v>
      </c>
      <c r="K223">
        <v>121</v>
      </c>
      <c r="L223">
        <v>109</v>
      </c>
      <c r="M223">
        <v>139.69999999999999</v>
      </c>
      <c r="N223">
        <v>133.6</v>
      </c>
      <c r="O223">
        <v>154.9</v>
      </c>
      <c r="P223">
        <v>137.5</v>
      </c>
      <c r="Q223">
        <v>163.4</v>
      </c>
      <c r="R223">
        <v>147.69999999999999</v>
      </c>
      <c r="S223">
        <v>139.69999999999999</v>
      </c>
      <c r="T223">
        <v>146.5</v>
      </c>
      <c r="U223">
        <v>148.5</v>
      </c>
      <c r="V223">
        <v>138.4</v>
      </c>
      <c r="W223">
        <v>143.69999999999999</v>
      </c>
      <c r="X223">
        <v>145.6</v>
      </c>
      <c r="Y223">
        <v>123.9</v>
      </c>
      <c r="Z223">
        <v>137.1</v>
      </c>
      <c r="AA223">
        <v>150.30000000000001</v>
      </c>
      <c r="AB223">
        <v>134.1</v>
      </c>
      <c r="AC223">
        <v>137.4</v>
      </c>
      <c r="AD223">
        <v>139.9</v>
      </c>
    </row>
    <row r="224" spans="1:30" x14ac:dyDescent="0.3">
      <c r="A224" t="s">
        <v>30</v>
      </c>
      <c r="B224">
        <v>2019</v>
      </c>
      <c r="C224" t="s">
        <v>36</v>
      </c>
      <c r="D224">
        <v>136.9</v>
      </c>
      <c r="E224">
        <v>154.1</v>
      </c>
      <c r="F224">
        <v>138.69999999999999</v>
      </c>
      <c r="G224">
        <v>142.5</v>
      </c>
      <c r="H224">
        <v>124.1</v>
      </c>
      <c r="I224">
        <v>136.1</v>
      </c>
      <c r="J224">
        <v>128.19999999999999</v>
      </c>
      <c r="K224">
        <v>122.3</v>
      </c>
      <c r="L224">
        <v>108.3</v>
      </c>
      <c r="M224">
        <v>138.9</v>
      </c>
      <c r="N224">
        <v>137.4</v>
      </c>
      <c r="O224">
        <v>156.4</v>
      </c>
      <c r="P224">
        <v>137.30000000000001</v>
      </c>
      <c r="Q224">
        <v>162.9</v>
      </c>
      <c r="R224">
        <v>150.80000000000001</v>
      </c>
      <c r="S224">
        <v>146.1</v>
      </c>
      <c r="T224">
        <v>150.1</v>
      </c>
      <c r="U224" t="s">
        <v>32</v>
      </c>
      <c r="V224">
        <v>146.4</v>
      </c>
      <c r="W224">
        <v>150</v>
      </c>
      <c r="X224">
        <v>150.4</v>
      </c>
      <c r="Y224">
        <v>129.9</v>
      </c>
      <c r="Z224">
        <v>143.80000000000001</v>
      </c>
      <c r="AA224">
        <v>155.5</v>
      </c>
      <c r="AB224">
        <v>134</v>
      </c>
      <c r="AC224">
        <v>142.4</v>
      </c>
      <c r="AD224">
        <v>141.19999999999999</v>
      </c>
    </row>
    <row r="225" spans="1:30" x14ac:dyDescent="0.3">
      <c r="A225" t="s">
        <v>33</v>
      </c>
      <c r="B225">
        <v>2019</v>
      </c>
      <c r="C225" t="s">
        <v>36</v>
      </c>
      <c r="D225">
        <v>139.69999999999999</v>
      </c>
      <c r="E225">
        <v>151.1</v>
      </c>
      <c r="F225">
        <v>142.9</v>
      </c>
      <c r="G225">
        <v>141.9</v>
      </c>
      <c r="H225">
        <v>118.4</v>
      </c>
      <c r="I225">
        <v>139.4</v>
      </c>
      <c r="J225">
        <v>141.19999999999999</v>
      </c>
      <c r="K225">
        <v>120.7</v>
      </c>
      <c r="L225">
        <v>110.4</v>
      </c>
      <c r="M225">
        <v>140.69999999999999</v>
      </c>
      <c r="N225">
        <v>128.5</v>
      </c>
      <c r="O225">
        <v>153.9</v>
      </c>
      <c r="P225">
        <v>139.6</v>
      </c>
      <c r="Q225">
        <v>165.3</v>
      </c>
      <c r="R225">
        <v>143.5</v>
      </c>
      <c r="S225">
        <v>131.19999999999999</v>
      </c>
      <c r="T225">
        <v>141.6</v>
      </c>
      <c r="U225">
        <v>149</v>
      </c>
      <c r="V225">
        <v>128.80000000000001</v>
      </c>
      <c r="W225">
        <v>136.80000000000001</v>
      </c>
      <c r="X225">
        <v>139.19999999999999</v>
      </c>
      <c r="Y225">
        <v>119.9</v>
      </c>
      <c r="Z225">
        <v>133</v>
      </c>
      <c r="AA225">
        <v>146.69999999999999</v>
      </c>
      <c r="AB225">
        <v>132.5</v>
      </c>
      <c r="AC225">
        <v>132.80000000000001</v>
      </c>
      <c r="AD225">
        <v>139.5</v>
      </c>
    </row>
    <row r="226" spans="1:30" x14ac:dyDescent="0.3">
      <c r="A226" t="s">
        <v>34</v>
      </c>
      <c r="B226">
        <v>2019</v>
      </c>
      <c r="C226" t="s">
        <v>36</v>
      </c>
      <c r="D226">
        <v>137.80000000000001</v>
      </c>
      <c r="E226">
        <v>153</v>
      </c>
      <c r="F226">
        <v>140.30000000000001</v>
      </c>
      <c r="G226">
        <v>142.30000000000001</v>
      </c>
      <c r="H226">
        <v>122</v>
      </c>
      <c r="I226">
        <v>137.6</v>
      </c>
      <c r="J226">
        <v>132.6</v>
      </c>
      <c r="K226">
        <v>121.8</v>
      </c>
      <c r="L226">
        <v>109</v>
      </c>
      <c r="M226">
        <v>139.5</v>
      </c>
      <c r="N226">
        <v>133.69999999999999</v>
      </c>
      <c r="O226">
        <v>155.19999999999999</v>
      </c>
      <c r="P226">
        <v>138.1</v>
      </c>
      <c r="Q226">
        <v>163.5</v>
      </c>
      <c r="R226">
        <v>147.9</v>
      </c>
      <c r="S226">
        <v>139.9</v>
      </c>
      <c r="T226">
        <v>146.69999999999999</v>
      </c>
      <c r="U226">
        <v>149</v>
      </c>
      <c r="V226">
        <v>139.69999999999999</v>
      </c>
      <c r="W226">
        <v>143.80000000000001</v>
      </c>
      <c r="X226">
        <v>146.19999999999999</v>
      </c>
      <c r="Y226">
        <v>124.6</v>
      </c>
      <c r="Z226">
        <v>137.69999999999999</v>
      </c>
      <c r="AA226">
        <v>150.30000000000001</v>
      </c>
      <c r="AB226">
        <v>133.4</v>
      </c>
      <c r="AC226">
        <v>137.69999999999999</v>
      </c>
      <c r="AD226">
        <v>140.4</v>
      </c>
    </row>
    <row r="227" spans="1:30" x14ac:dyDescent="0.3">
      <c r="A227" t="s">
        <v>30</v>
      </c>
      <c r="B227">
        <v>2019</v>
      </c>
      <c r="C227" t="s">
        <v>38</v>
      </c>
      <c r="D227">
        <v>137.4</v>
      </c>
      <c r="E227">
        <v>159.5</v>
      </c>
      <c r="F227">
        <v>134.5</v>
      </c>
      <c r="G227">
        <v>142.6</v>
      </c>
      <c r="H227">
        <v>124</v>
      </c>
      <c r="I227">
        <v>143.69999999999999</v>
      </c>
      <c r="J227">
        <v>133.4</v>
      </c>
      <c r="K227">
        <v>125.1</v>
      </c>
      <c r="L227">
        <v>109.3</v>
      </c>
      <c r="M227">
        <v>139.30000000000001</v>
      </c>
      <c r="N227">
        <v>137.69999999999999</v>
      </c>
      <c r="O227">
        <v>156.4</v>
      </c>
      <c r="P227">
        <v>139.19999999999999</v>
      </c>
      <c r="Q227">
        <v>163.30000000000001</v>
      </c>
      <c r="R227">
        <v>151.30000000000001</v>
      </c>
      <c r="S227">
        <v>146.6</v>
      </c>
      <c r="T227">
        <v>150.69999999999999</v>
      </c>
      <c r="U227" t="s">
        <v>32</v>
      </c>
      <c r="V227">
        <v>146.9</v>
      </c>
      <c r="W227">
        <v>149.5</v>
      </c>
      <c r="X227">
        <v>151.30000000000001</v>
      </c>
      <c r="Y227">
        <v>130.19999999999999</v>
      </c>
      <c r="Z227">
        <v>145.9</v>
      </c>
      <c r="AA227">
        <v>156.69999999999999</v>
      </c>
      <c r="AB227">
        <v>133.9</v>
      </c>
      <c r="AC227">
        <v>142.9</v>
      </c>
      <c r="AD227">
        <v>142.4</v>
      </c>
    </row>
    <row r="228" spans="1:30" x14ac:dyDescent="0.3">
      <c r="A228" t="s">
        <v>33</v>
      </c>
      <c r="B228">
        <v>2019</v>
      </c>
      <c r="C228" t="s">
        <v>38</v>
      </c>
      <c r="D228">
        <v>140.4</v>
      </c>
      <c r="E228">
        <v>156.69999999999999</v>
      </c>
      <c r="F228">
        <v>138.30000000000001</v>
      </c>
      <c r="G228">
        <v>142.4</v>
      </c>
      <c r="H228">
        <v>118.6</v>
      </c>
      <c r="I228">
        <v>149.69999999999999</v>
      </c>
      <c r="J228">
        <v>161.6</v>
      </c>
      <c r="K228">
        <v>124.4</v>
      </c>
      <c r="L228">
        <v>111.2</v>
      </c>
      <c r="M228">
        <v>141</v>
      </c>
      <c r="N228">
        <v>128.9</v>
      </c>
      <c r="O228">
        <v>154.5</v>
      </c>
      <c r="P228">
        <v>143.80000000000001</v>
      </c>
      <c r="Q228">
        <v>166.2</v>
      </c>
      <c r="R228">
        <v>144</v>
      </c>
      <c r="S228">
        <v>131.69999999999999</v>
      </c>
      <c r="T228">
        <v>142.19999999999999</v>
      </c>
      <c r="U228">
        <v>150.1</v>
      </c>
      <c r="V228">
        <v>129.4</v>
      </c>
      <c r="W228">
        <v>137.19999999999999</v>
      </c>
      <c r="X228">
        <v>139.80000000000001</v>
      </c>
      <c r="Y228">
        <v>120.1</v>
      </c>
      <c r="Z228">
        <v>134</v>
      </c>
      <c r="AA228">
        <v>148</v>
      </c>
      <c r="AB228">
        <v>132.6</v>
      </c>
      <c r="AC228">
        <v>133.30000000000001</v>
      </c>
      <c r="AD228">
        <v>141.5</v>
      </c>
    </row>
    <row r="229" spans="1:30" x14ac:dyDescent="0.3">
      <c r="A229" t="s">
        <v>34</v>
      </c>
      <c r="B229">
        <v>2019</v>
      </c>
      <c r="C229" t="s">
        <v>38</v>
      </c>
      <c r="D229">
        <v>138.30000000000001</v>
      </c>
      <c r="E229">
        <v>158.5</v>
      </c>
      <c r="F229">
        <v>136</v>
      </c>
      <c r="G229">
        <v>142.5</v>
      </c>
      <c r="H229">
        <v>122</v>
      </c>
      <c r="I229">
        <v>146.5</v>
      </c>
      <c r="J229">
        <v>143</v>
      </c>
      <c r="K229">
        <v>124.9</v>
      </c>
      <c r="L229">
        <v>109.9</v>
      </c>
      <c r="M229">
        <v>139.9</v>
      </c>
      <c r="N229">
        <v>134</v>
      </c>
      <c r="O229">
        <v>155.5</v>
      </c>
      <c r="P229">
        <v>140.9</v>
      </c>
      <c r="Q229">
        <v>164.1</v>
      </c>
      <c r="R229">
        <v>148.4</v>
      </c>
      <c r="S229">
        <v>140.4</v>
      </c>
      <c r="T229">
        <v>147.30000000000001</v>
      </c>
      <c r="U229">
        <v>150.1</v>
      </c>
      <c r="V229">
        <v>140.30000000000001</v>
      </c>
      <c r="W229">
        <v>143.69999999999999</v>
      </c>
      <c r="X229">
        <v>146.9</v>
      </c>
      <c r="Y229">
        <v>124.9</v>
      </c>
      <c r="Z229">
        <v>139.19999999999999</v>
      </c>
      <c r="AA229">
        <v>151.6</v>
      </c>
      <c r="AB229">
        <v>133.4</v>
      </c>
      <c r="AC229">
        <v>138.19999999999999</v>
      </c>
      <c r="AD229">
        <v>142</v>
      </c>
    </row>
    <row r="230" spans="1:30" x14ac:dyDescent="0.3">
      <c r="A230" t="s">
        <v>30</v>
      </c>
      <c r="B230">
        <v>2019</v>
      </c>
      <c r="C230" t="s">
        <v>39</v>
      </c>
      <c r="D230">
        <v>137.80000000000001</v>
      </c>
      <c r="E230">
        <v>163.5</v>
      </c>
      <c r="F230">
        <v>136.19999999999999</v>
      </c>
      <c r="G230">
        <v>143.19999999999999</v>
      </c>
      <c r="H230">
        <v>124.3</v>
      </c>
      <c r="I230">
        <v>143.30000000000001</v>
      </c>
      <c r="J230">
        <v>140.6</v>
      </c>
      <c r="K230">
        <v>128.69999999999999</v>
      </c>
      <c r="L230">
        <v>110.6</v>
      </c>
      <c r="M230">
        <v>140.4</v>
      </c>
      <c r="N230">
        <v>138</v>
      </c>
      <c r="O230">
        <v>156.6</v>
      </c>
      <c r="P230">
        <v>141</v>
      </c>
      <c r="Q230">
        <v>164.2</v>
      </c>
      <c r="R230">
        <v>151.4</v>
      </c>
      <c r="S230">
        <v>146.5</v>
      </c>
      <c r="T230">
        <v>150.69999999999999</v>
      </c>
      <c r="U230" t="s">
        <v>32</v>
      </c>
      <c r="V230">
        <v>147.80000000000001</v>
      </c>
      <c r="W230">
        <v>149.6</v>
      </c>
      <c r="X230">
        <v>151.69999999999999</v>
      </c>
      <c r="Y230">
        <v>130.19999999999999</v>
      </c>
      <c r="Z230">
        <v>146.4</v>
      </c>
      <c r="AA230">
        <v>157.69999999999999</v>
      </c>
      <c r="AB230">
        <v>134.80000000000001</v>
      </c>
      <c r="AC230">
        <v>143.30000000000001</v>
      </c>
      <c r="AD230">
        <v>143.6</v>
      </c>
    </row>
    <row r="231" spans="1:30" x14ac:dyDescent="0.3">
      <c r="A231" t="s">
        <v>33</v>
      </c>
      <c r="B231">
        <v>2019</v>
      </c>
      <c r="C231" t="s">
        <v>39</v>
      </c>
      <c r="D231">
        <v>140.69999999999999</v>
      </c>
      <c r="E231">
        <v>159.6</v>
      </c>
      <c r="F231">
        <v>140.4</v>
      </c>
      <c r="G231">
        <v>143.4</v>
      </c>
      <c r="H231">
        <v>118.6</v>
      </c>
      <c r="I231">
        <v>150.9</v>
      </c>
      <c r="J231">
        <v>169.8</v>
      </c>
      <c r="K231">
        <v>127.4</v>
      </c>
      <c r="L231">
        <v>111.8</v>
      </c>
      <c r="M231">
        <v>141</v>
      </c>
      <c r="N231">
        <v>129</v>
      </c>
      <c r="O231">
        <v>155.1</v>
      </c>
      <c r="P231">
        <v>145.6</v>
      </c>
      <c r="Q231">
        <v>166.7</v>
      </c>
      <c r="R231">
        <v>144.30000000000001</v>
      </c>
      <c r="S231">
        <v>131.69999999999999</v>
      </c>
      <c r="T231">
        <v>142.4</v>
      </c>
      <c r="U231">
        <v>149.4</v>
      </c>
      <c r="V231">
        <v>130.5</v>
      </c>
      <c r="W231">
        <v>137.4</v>
      </c>
      <c r="X231">
        <v>140.30000000000001</v>
      </c>
      <c r="Y231">
        <v>119.6</v>
      </c>
      <c r="Z231">
        <v>134.30000000000001</v>
      </c>
      <c r="AA231">
        <v>148.9</v>
      </c>
      <c r="AB231">
        <v>133.69999999999999</v>
      </c>
      <c r="AC231">
        <v>133.6</v>
      </c>
      <c r="AD231">
        <v>142.1</v>
      </c>
    </row>
    <row r="232" spans="1:30" x14ac:dyDescent="0.3">
      <c r="A232" t="s">
        <v>34</v>
      </c>
      <c r="B232">
        <v>2019</v>
      </c>
      <c r="C232" t="s">
        <v>39</v>
      </c>
      <c r="D232">
        <v>138.69999999999999</v>
      </c>
      <c r="E232">
        <v>162.1</v>
      </c>
      <c r="F232">
        <v>137.80000000000001</v>
      </c>
      <c r="G232">
        <v>143.30000000000001</v>
      </c>
      <c r="H232">
        <v>122.2</v>
      </c>
      <c r="I232">
        <v>146.80000000000001</v>
      </c>
      <c r="J232">
        <v>150.5</v>
      </c>
      <c r="K232">
        <v>128.30000000000001</v>
      </c>
      <c r="L232">
        <v>111</v>
      </c>
      <c r="M232">
        <v>140.6</v>
      </c>
      <c r="N232">
        <v>134.19999999999999</v>
      </c>
      <c r="O232">
        <v>155.9</v>
      </c>
      <c r="P232">
        <v>142.69999999999999</v>
      </c>
      <c r="Q232">
        <v>164.9</v>
      </c>
      <c r="R232">
        <v>148.6</v>
      </c>
      <c r="S232">
        <v>140.4</v>
      </c>
      <c r="T232">
        <v>147.4</v>
      </c>
      <c r="U232">
        <v>149.4</v>
      </c>
      <c r="V232">
        <v>141.19999999999999</v>
      </c>
      <c r="W232">
        <v>143.80000000000001</v>
      </c>
      <c r="X232">
        <v>147.4</v>
      </c>
      <c r="Y232">
        <v>124.6</v>
      </c>
      <c r="Z232">
        <v>139.6</v>
      </c>
      <c r="AA232">
        <v>152.5</v>
      </c>
      <c r="AB232">
        <v>134.30000000000001</v>
      </c>
      <c r="AC232">
        <v>138.6</v>
      </c>
      <c r="AD232">
        <v>142.9</v>
      </c>
    </row>
    <row r="233" spans="1:30" x14ac:dyDescent="0.3">
      <c r="A233" t="s">
        <v>30</v>
      </c>
      <c r="B233">
        <v>2019</v>
      </c>
      <c r="C233" t="s">
        <v>40</v>
      </c>
      <c r="D233">
        <v>138.4</v>
      </c>
      <c r="E233">
        <v>164</v>
      </c>
      <c r="F233">
        <v>138.4</v>
      </c>
      <c r="G233">
        <v>143.9</v>
      </c>
      <c r="H233">
        <v>124.4</v>
      </c>
      <c r="I233">
        <v>146.4</v>
      </c>
      <c r="J233">
        <v>150.1</v>
      </c>
      <c r="K233">
        <v>130.6</v>
      </c>
      <c r="L233">
        <v>110.8</v>
      </c>
      <c r="M233">
        <v>141.69999999999999</v>
      </c>
      <c r="N233">
        <v>138.5</v>
      </c>
      <c r="O233">
        <v>156.69999999999999</v>
      </c>
      <c r="P233">
        <v>143</v>
      </c>
      <c r="Q233">
        <v>164.5</v>
      </c>
      <c r="R233">
        <v>151.6</v>
      </c>
      <c r="S233">
        <v>146.6</v>
      </c>
      <c r="T233">
        <v>150.9</v>
      </c>
      <c r="U233" t="s">
        <v>32</v>
      </c>
      <c r="V233">
        <v>146.80000000000001</v>
      </c>
      <c r="W233">
        <v>150</v>
      </c>
      <c r="X233">
        <v>152.19999999999999</v>
      </c>
      <c r="Y233">
        <v>131.19999999999999</v>
      </c>
      <c r="Z233">
        <v>147.5</v>
      </c>
      <c r="AA233">
        <v>159.1</v>
      </c>
      <c r="AB233">
        <v>136.1</v>
      </c>
      <c r="AC233">
        <v>144.19999999999999</v>
      </c>
      <c r="AD233">
        <v>144.9</v>
      </c>
    </row>
    <row r="234" spans="1:30" x14ac:dyDescent="0.3">
      <c r="A234" t="s">
        <v>33</v>
      </c>
      <c r="B234">
        <v>2019</v>
      </c>
      <c r="C234" t="s">
        <v>40</v>
      </c>
      <c r="D234">
        <v>141.4</v>
      </c>
      <c r="E234">
        <v>160.19999999999999</v>
      </c>
      <c r="F234">
        <v>142.5</v>
      </c>
      <c r="G234">
        <v>144.1</v>
      </c>
      <c r="H234">
        <v>119.3</v>
      </c>
      <c r="I234">
        <v>154.69999999999999</v>
      </c>
      <c r="J234">
        <v>180.1</v>
      </c>
      <c r="K234">
        <v>128.9</v>
      </c>
      <c r="L234">
        <v>111.8</v>
      </c>
      <c r="M234">
        <v>141.6</v>
      </c>
      <c r="N234">
        <v>129.5</v>
      </c>
      <c r="O234">
        <v>155.6</v>
      </c>
      <c r="P234">
        <v>147.69999999999999</v>
      </c>
      <c r="Q234">
        <v>167.2</v>
      </c>
      <c r="R234">
        <v>144.69999999999999</v>
      </c>
      <c r="S234">
        <v>131.9</v>
      </c>
      <c r="T234">
        <v>142.69999999999999</v>
      </c>
      <c r="U234">
        <v>150.6</v>
      </c>
      <c r="V234">
        <v>127</v>
      </c>
      <c r="W234">
        <v>137.69999999999999</v>
      </c>
      <c r="X234">
        <v>140.80000000000001</v>
      </c>
      <c r="Y234">
        <v>120.6</v>
      </c>
      <c r="Z234">
        <v>135</v>
      </c>
      <c r="AA234">
        <v>150.4</v>
      </c>
      <c r="AB234">
        <v>135.1</v>
      </c>
      <c r="AC234">
        <v>134.5</v>
      </c>
      <c r="AD234">
        <v>143.30000000000001</v>
      </c>
    </row>
    <row r="235" spans="1:30" x14ac:dyDescent="0.3">
      <c r="A235" t="s">
        <v>34</v>
      </c>
      <c r="B235">
        <v>2019</v>
      </c>
      <c r="C235" t="s">
        <v>40</v>
      </c>
      <c r="D235">
        <v>139.30000000000001</v>
      </c>
      <c r="E235">
        <v>162.69999999999999</v>
      </c>
      <c r="F235">
        <v>140</v>
      </c>
      <c r="G235">
        <v>144</v>
      </c>
      <c r="H235">
        <v>122.5</v>
      </c>
      <c r="I235">
        <v>150.30000000000001</v>
      </c>
      <c r="J235">
        <v>160.30000000000001</v>
      </c>
      <c r="K235">
        <v>130</v>
      </c>
      <c r="L235">
        <v>111.1</v>
      </c>
      <c r="M235">
        <v>141.69999999999999</v>
      </c>
      <c r="N235">
        <v>134.69999999999999</v>
      </c>
      <c r="O235">
        <v>156.19999999999999</v>
      </c>
      <c r="P235">
        <v>144.69999999999999</v>
      </c>
      <c r="Q235">
        <v>165.2</v>
      </c>
      <c r="R235">
        <v>148.9</v>
      </c>
      <c r="S235">
        <v>140.5</v>
      </c>
      <c r="T235">
        <v>147.6</v>
      </c>
      <c r="U235">
        <v>150.6</v>
      </c>
      <c r="V235">
        <v>139.30000000000001</v>
      </c>
      <c r="W235">
        <v>144.19999999999999</v>
      </c>
      <c r="X235">
        <v>147.9</v>
      </c>
      <c r="Y235">
        <v>125.6</v>
      </c>
      <c r="Z235">
        <v>140.5</v>
      </c>
      <c r="AA235">
        <v>154</v>
      </c>
      <c r="AB235">
        <v>135.69999999999999</v>
      </c>
      <c r="AC235">
        <v>139.5</v>
      </c>
      <c r="AD235">
        <v>144.19999999999999</v>
      </c>
    </row>
    <row r="236" spans="1:30" x14ac:dyDescent="0.3">
      <c r="A236" t="s">
        <v>30</v>
      </c>
      <c r="B236">
        <v>2019</v>
      </c>
      <c r="C236" t="s">
        <v>41</v>
      </c>
      <c r="D236">
        <v>139.19999999999999</v>
      </c>
      <c r="E236">
        <v>161.9</v>
      </c>
      <c r="F236">
        <v>137.1</v>
      </c>
      <c r="G236">
        <v>144.6</v>
      </c>
      <c r="H236">
        <v>124.7</v>
      </c>
      <c r="I236">
        <v>145.5</v>
      </c>
      <c r="J236">
        <v>156.19999999999999</v>
      </c>
      <c r="K236">
        <v>131.5</v>
      </c>
      <c r="L236">
        <v>111.7</v>
      </c>
      <c r="M236">
        <v>142.69999999999999</v>
      </c>
      <c r="N236">
        <v>138.5</v>
      </c>
      <c r="O236">
        <v>156.9</v>
      </c>
      <c r="P236">
        <v>144</v>
      </c>
      <c r="Q236">
        <v>165.1</v>
      </c>
      <c r="R236">
        <v>151.80000000000001</v>
      </c>
      <c r="S236">
        <v>146.6</v>
      </c>
      <c r="T236">
        <v>151.1</v>
      </c>
      <c r="U236" t="s">
        <v>32</v>
      </c>
      <c r="V236">
        <v>146.4</v>
      </c>
      <c r="W236">
        <v>150.19999999999999</v>
      </c>
      <c r="X236">
        <v>152.69999999999999</v>
      </c>
      <c r="Y236">
        <v>131.4</v>
      </c>
      <c r="Z236">
        <v>148</v>
      </c>
      <c r="AA236">
        <v>159.69999999999999</v>
      </c>
      <c r="AB236">
        <v>138.80000000000001</v>
      </c>
      <c r="AC236">
        <v>144.9</v>
      </c>
      <c r="AD236">
        <v>145.69999999999999</v>
      </c>
    </row>
    <row r="237" spans="1:30" x14ac:dyDescent="0.3">
      <c r="A237" t="s">
        <v>33</v>
      </c>
      <c r="B237">
        <v>2019</v>
      </c>
      <c r="C237" t="s">
        <v>41</v>
      </c>
      <c r="D237">
        <v>142.1</v>
      </c>
      <c r="E237">
        <v>158.30000000000001</v>
      </c>
      <c r="F237">
        <v>140.80000000000001</v>
      </c>
      <c r="G237">
        <v>144.9</v>
      </c>
      <c r="H237">
        <v>119.9</v>
      </c>
      <c r="I237">
        <v>153.9</v>
      </c>
      <c r="J237">
        <v>189.1</v>
      </c>
      <c r="K237">
        <v>129.80000000000001</v>
      </c>
      <c r="L237">
        <v>112.7</v>
      </c>
      <c r="M237">
        <v>142.5</v>
      </c>
      <c r="N237">
        <v>129.80000000000001</v>
      </c>
      <c r="O237">
        <v>156.19999999999999</v>
      </c>
      <c r="P237">
        <v>149.1</v>
      </c>
      <c r="Q237">
        <v>167.9</v>
      </c>
      <c r="R237">
        <v>145</v>
      </c>
      <c r="S237">
        <v>132.19999999999999</v>
      </c>
      <c r="T237">
        <v>143</v>
      </c>
      <c r="U237">
        <v>151.6</v>
      </c>
      <c r="V237">
        <v>125.5</v>
      </c>
      <c r="W237">
        <v>138.1</v>
      </c>
      <c r="X237">
        <v>141.5</v>
      </c>
      <c r="Y237">
        <v>120.8</v>
      </c>
      <c r="Z237">
        <v>135.4</v>
      </c>
      <c r="AA237">
        <v>151.5</v>
      </c>
      <c r="AB237">
        <v>137.80000000000001</v>
      </c>
      <c r="AC237">
        <v>135.30000000000001</v>
      </c>
      <c r="AD237">
        <v>144.19999999999999</v>
      </c>
    </row>
    <row r="238" spans="1:30" x14ac:dyDescent="0.3">
      <c r="A238" t="s">
        <v>34</v>
      </c>
      <c r="B238">
        <v>2019</v>
      </c>
      <c r="C238" t="s">
        <v>41</v>
      </c>
      <c r="D238">
        <v>140.1</v>
      </c>
      <c r="E238">
        <v>160.6</v>
      </c>
      <c r="F238">
        <v>138.5</v>
      </c>
      <c r="G238">
        <v>144.69999999999999</v>
      </c>
      <c r="H238">
        <v>122.9</v>
      </c>
      <c r="I238">
        <v>149.4</v>
      </c>
      <c r="J238">
        <v>167.4</v>
      </c>
      <c r="K238">
        <v>130.9</v>
      </c>
      <c r="L238">
        <v>112</v>
      </c>
      <c r="M238">
        <v>142.6</v>
      </c>
      <c r="N238">
        <v>134.9</v>
      </c>
      <c r="O238">
        <v>156.6</v>
      </c>
      <c r="P238">
        <v>145.9</v>
      </c>
      <c r="Q238">
        <v>165.8</v>
      </c>
      <c r="R238">
        <v>149.1</v>
      </c>
      <c r="S238">
        <v>140.6</v>
      </c>
      <c r="T238">
        <v>147.9</v>
      </c>
      <c r="U238">
        <v>151.6</v>
      </c>
      <c r="V238">
        <v>138.5</v>
      </c>
      <c r="W238">
        <v>144.5</v>
      </c>
      <c r="X238">
        <v>148.5</v>
      </c>
      <c r="Y238">
        <v>125.8</v>
      </c>
      <c r="Z238">
        <v>140.9</v>
      </c>
      <c r="AA238">
        <v>154.9</v>
      </c>
      <c r="AB238">
        <v>138.4</v>
      </c>
      <c r="AC238">
        <v>140.19999999999999</v>
      </c>
      <c r="AD238">
        <v>145</v>
      </c>
    </row>
    <row r="239" spans="1:30" x14ac:dyDescent="0.3">
      <c r="A239" t="s">
        <v>30</v>
      </c>
      <c r="B239">
        <v>2019</v>
      </c>
      <c r="C239" t="s">
        <v>42</v>
      </c>
      <c r="D239">
        <v>140.1</v>
      </c>
      <c r="E239">
        <v>161.9</v>
      </c>
      <c r="F239">
        <v>138.30000000000001</v>
      </c>
      <c r="G239">
        <v>145.69999999999999</v>
      </c>
      <c r="H239">
        <v>125.1</v>
      </c>
      <c r="I239">
        <v>143.80000000000001</v>
      </c>
      <c r="J239">
        <v>163.4</v>
      </c>
      <c r="K239">
        <v>132.19999999999999</v>
      </c>
      <c r="L239">
        <v>112.8</v>
      </c>
      <c r="M239">
        <v>144.19999999999999</v>
      </c>
      <c r="N239">
        <v>138.5</v>
      </c>
      <c r="O239">
        <v>157.19999999999999</v>
      </c>
      <c r="P239">
        <v>145.5</v>
      </c>
      <c r="Q239">
        <v>165.7</v>
      </c>
      <c r="R239">
        <v>151.69999999999999</v>
      </c>
      <c r="S239">
        <v>146.6</v>
      </c>
      <c r="T239">
        <v>151</v>
      </c>
      <c r="U239" t="s">
        <v>32</v>
      </c>
      <c r="V239">
        <v>146.9</v>
      </c>
      <c r="W239">
        <v>150.30000000000001</v>
      </c>
      <c r="X239">
        <v>153.4</v>
      </c>
      <c r="Y239">
        <v>131.6</v>
      </c>
      <c r="Z239">
        <v>148.30000000000001</v>
      </c>
      <c r="AA239">
        <v>160.19999999999999</v>
      </c>
      <c r="AB239">
        <v>140.19999999999999</v>
      </c>
      <c r="AC239">
        <v>145.4</v>
      </c>
      <c r="AD239">
        <v>146.69999999999999</v>
      </c>
    </row>
    <row r="240" spans="1:30" x14ac:dyDescent="0.3">
      <c r="A240" t="s">
        <v>33</v>
      </c>
      <c r="B240">
        <v>2019</v>
      </c>
      <c r="C240" t="s">
        <v>42</v>
      </c>
      <c r="D240">
        <v>142.69999999999999</v>
      </c>
      <c r="E240">
        <v>158.69999999999999</v>
      </c>
      <c r="F240">
        <v>141.6</v>
      </c>
      <c r="G240">
        <v>144.9</v>
      </c>
      <c r="H240">
        <v>120.8</v>
      </c>
      <c r="I240">
        <v>149.80000000000001</v>
      </c>
      <c r="J240">
        <v>192.4</v>
      </c>
      <c r="K240">
        <v>130.30000000000001</v>
      </c>
      <c r="L240">
        <v>114</v>
      </c>
      <c r="M240">
        <v>143.80000000000001</v>
      </c>
      <c r="N240">
        <v>130</v>
      </c>
      <c r="O240">
        <v>156.4</v>
      </c>
      <c r="P240">
        <v>149.5</v>
      </c>
      <c r="Q240">
        <v>168.6</v>
      </c>
      <c r="R240">
        <v>145.30000000000001</v>
      </c>
      <c r="S240">
        <v>132.19999999999999</v>
      </c>
      <c r="T240">
        <v>143.30000000000001</v>
      </c>
      <c r="U240">
        <v>152.19999999999999</v>
      </c>
      <c r="V240">
        <v>126.6</v>
      </c>
      <c r="W240">
        <v>138.30000000000001</v>
      </c>
      <c r="X240">
        <v>141.9</v>
      </c>
      <c r="Y240">
        <v>121.2</v>
      </c>
      <c r="Z240">
        <v>135.9</v>
      </c>
      <c r="AA240">
        <v>151.6</v>
      </c>
      <c r="AB240">
        <v>139</v>
      </c>
      <c r="AC240">
        <v>135.69999999999999</v>
      </c>
      <c r="AD240">
        <v>144.69999999999999</v>
      </c>
    </row>
    <row r="241" spans="1:30" x14ac:dyDescent="0.3">
      <c r="A241" t="s">
        <v>34</v>
      </c>
      <c r="B241">
        <v>2019</v>
      </c>
      <c r="C241" t="s">
        <v>42</v>
      </c>
      <c r="D241">
        <v>140.9</v>
      </c>
      <c r="E241">
        <v>160.80000000000001</v>
      </c>
      <c r="F241">
        <v>139.6</v>
      </c>
      <c r="G241">
        <v>145.4</v>
      </c>
      <c r="H241">
        <v>123.5</v>
      </c>
      <c r="I241">
        <v>146.6</v>
      </c>
      <c r="J241">
        <v>173.2</v>
      </c>
      <c r="K241">
        <v>131.6</v>
      </c>
      <c r="L241">
        <v>113.2</v>
      </c>
      <c r="M241">
        <v>144.1</v>
      </c>
      <c r="N241">
        <v>135</v>
      </c>
      <c r="O241">
        <v>156.80000000000001</v>
      </c>
      <c r="P241">
        <v>147</v>
      </c>
      <c r="Q241">
        <v>166.5</v>
      </c>
      <c r="R241">
        <v>149.19999999999999</v>
      </c>
      <c r="S241">
        <v>140.6</v>
      </c>
      <c r="T241">
        <v>147.9</v>
      </c>
      <c r="U241">
        <v>152.19999999999999</v>
      </c>
      <c r="V241">
        <v>139.19999999999999</v>
      </c>
      <c r="W241">
        <v>144.6</v>
      </c>
      <c r="X241">
        <v>149</v>
      </c>
      <c r="Y241">
        <v>126.1</v>
      </c>
      <c r="Z241">
        <v>141.30000000000001</v>
      </c>
      <c r="AA241">
        <v>155.19999999999999</v>
      </c>
      <c r="AB241">
        <v>139.69999999999999</v>
      </c>
      <c r="AC241">
        <v>140.69999999999999</v>
      </c>
      <c r="AD241">
        <v>145.80000000000001</v>
      </c>
    </row>
    <row r="242" spans="1:30" x14ac:dyDescent="0.3">
      <c r="A242" t="s">
        <v>30</v>
      </c>
      <c r="B242">
        <v>2019</v>
      </c>
      <c r="C242" t="s">
        <v>43</v>
      </c>
      <c r="D242">
        <v>141</v>
      </c>
      <c r="E242">
        <v>161.6</v>
      </c>
      <c r="F242">
        <v>141.19999999999999</v>
      </c>
      <c r="G242">
        <v>146.5</v>
      </c>
      <c r="H242">
        <v>125.6</v>
      </c>
      <c r="I242">
        <v>145.69999999999999</v>
      </c>
      <c r="J242">
        <v>178.8</v>
      </c>
      <c r="K242">
        <v>133.1</v>
      </c>
      <c r="L242">
        <v>113.6</v>
      </c>
      <c r="M242">
        <v>145.5</v>
      </c>
      <c r="N242">
        <v>138.6</v>
      </c>
      <c r="O242">
        <v>157.4</v>
      </c>
      <c r="P242">
        <v>148.30000000000001</v>
      </c>
      <c r="Q242">
        <v>166.3</v>
      </c>
      <c r="R242">
        <v>151.69999999999999</v>
      </c>
      <c r="S242">
        <v>146.69999999999999</v>
      </c>
      <c r="T242">
        <v>151</v>
      </c>
      <c r="U242" t="s">
        <v>32</v>
      </c>
      <c r="V242">
        <v>147.69999999999999</v>
      </c>
      <c r="W242">
        <v>150.6</v>
      </c>
      <c r="X242">
        <v>153.69999999999999</v>
      </c>
      <c r="Y242">
        <v>131.69999999999999</v>
      </c>
      <c r="Z242">
        <v>148.69999999999999</v>
      </c>
      <c r="AA242">
        <v>160.69999999999999</v>
      </c>
      <c r="AB242">
        <v>140.30000000000001</v>
      </c>
      <c r="AC242">
        <v>145.69999999999999</v>
      </c>
      <c r="AD242">
        <v>148.30000000000001</v>
      </c>
    </row>
    <row r="243" spans="1:30" x14ac:dyDescent="0.3">
      <c r="A243" t="s">
        <v>33</v>
      </c>
      <c r="B243">
        <v>2019</v>
      </c>
      <c r="C243" t="s">
        <v>43</v>
      </c>
      <c r="D243">
        <v>143.5</v>
      </c>
      <c r="E243">
        <v>159.80000000000001</v>
      </c>
      <c r="F243">
        <v>144.69999999999999</v>
      </c>
      <c r="G243">
        <v>145.6</v>
      </c>
      <c r="H243">
        <v>121.1</v>
      </c>
      <c r="I243">
        <v>150.6</v>
      </c>
      <c r="J243">
        <v>207.2</v>
      </c>
      <c r="K243">
        <v>131.19999999999999</v>
      </c>
      <c r="L243">
        <v>114.8</v>
      </c>
      <c r="M243">
        <v>145.19999999999999</v>
      </c>
      <c r="N243">
        <v>130.19999999999999</v>
      </c>
      <c r="O243">
        <v>156.80000000000001</v>
      </c>
      <c r="P243">
        <v>151.9</v>
      </c>
      <c r="Q243">
        <v>169.3</v>
      </c>
      <c r="R243">
        <v>145.9</v>
      </c>
      <c r="S243">
        <v>132.4</v>
      </c>
      <c r="T243">
        <v>143.9</v>
      </c>
      <c r="U243">
        <v>153</v>
      </c>
      <c r="V243">
        <v>128.9</v>
      </c>
      <c r="W243">
        <v>138.69999999999999</v>
      </c>
      <c r="X243">
        <v>142.4</v>
      </c>
      <c r="Y243">
        <v>121.5</v>
      </c>
      <c r="Z243">
        <v>136.19999999999999</v>
      </c>
      <c r="AA243">
        <v>151.69999999999999</v>
      </c>
      <c r="AB243">
        <v>139.5</v>
      </c>
      <c r="AC243">
        <v>136</v>
      </c>
      <c r="AD243">
        <v>146</v>
      </c>
    </row>
    <row r="244" spans="1:30" x14ac:dyDescent="0.3">
      <c r="A244" t="s">
        <v>34</v>
      </c>
      <c r="B244">
        <v>2019</v>
      </c>
      <c r="C244" t="s">
        <v>43</v>
      </c>
      <c r="D244">
        <v>141.80000000000001</v>
      </c>
      <c r="E244">
        <v>161</v>
      </c>
      <c r="F244">
        <v>142.6</v>
      </c>
      <c r="G244">
        <v>146.19999999999999</v>
      </c>
      <c r="H244">
        <v>123.9</v>
      </c>
      <c r="I244">
        <v>148</v>
      </c>
      <c r="J244">
        <v>188.4</v>
      </c>
      <c r="K244">
        <v>132.5</v>
      </c>
      <c r="L244">
        <v>114</v>
      </c>
      <c r="M244">
        <v>145.4</v>
      </c>
      <c r="N244">
        <v>135.1</v>
      </c>
      <c r="O244">
        <v>157.1</v>
      </c>
      <c r="P244">
        <v>149.6</v>
      </c>
      <c r="Q244">
        <v>167.1</v>
      </c>
      <c r="R244">
        <v>149.4</v>
      </c>
      <c r="S244">
        <v>140.80000000000001</v>
      </c>
      <c r="T244">
        <v>148.19999999999999</v>
      </c>
      <c r="U244">
        <v>153</v>
      </c>
      <c r="V244">
        <v>140.6</v>
      </c>
      <c r="W244">
        <v>145</v>
      </c>
      <c r="X244">
        <v>149.4</v>
      </c>
      <c r="Y244">
        <v>126.3</v>
      </c>
      <c r="Z244">
        <v>141.69999999999999</v>
      </c>
      <c r="AA244">
        <v>155.4</v>
      </c>
      <c r="AB244">
        <v>140</v>
      </c>
      <c r="AC244">
        <v>141</v>
      </c>
      <c r="AD244">
        <v>147.19999999999999</v>
      </c>
    </row>
    <row r="245" spans="1:30" x14ac:dyDescent="0.3">
      <c r="A245" t="s">
        <v>30</v>
      </c>
      <c r="B245">
        <v>2019</v>
      </c>
      <c r="C245" t="s">
        <v>45</v>
      </c>
      <c r="D245">
        <v>141.80000000000001</v>
      </c>
      <c r="E245">
        <v>163.69999999999999</v>
      </c>
      <c r="F245">
        <v>143.80000000000001</v>
      </c>
      <c r="G245">
        <v>147.1</v>
      </c>
      <c r="H245">
        <v>126</v>
      </c>
      <c r="I245">
        <v>146.19999999999999</v>
      </c>
      <c r="J245">
        <v>191.4</v>
      </c>
      <c r="K245">
        <v>136.19999999999999</v>
      </c>
      <c r="L245">
        <v>113.8</v>
      </c>
      <c r="M245">
        <v>147.30000000000001</v>
      </c>
      <c r="N245">
        <v>138.69999999999999</v>
      </c>
      <c r="O245">
        <v>157.69999999999999</v>
      </c>
      <c r="P245">
        <v>150.9</v>
      </c>
      <c r="Q245">
        <v>167.2</v>
      </c>
      <c r="R245">
        <v>152.30000000000001</v>
      </c>
      <c r="S245">
        <v>147</v>
      </c>
      <c r="T245">
        <v>151.5</v>
      </c>
      <c r="U245" t="s">
        <v>32</v>
      </c>
      <c r="V245">
        <v>148.4</v>
      </c>
      <c r="W245">
        <v>150.9</v>
      </c>
      <c r="X245">
        <v>154.30000000000001</v>
      </c>
      <c r="Y245">
        <v>132.1</v>
      </c>
      <c r="Z245">
        <v>149.1</v>
      </c>
      <c r="AA245">
        <v>160.80000000000001</v>
      </c>
      <c r="AB245">
        <v>140.6</v>
      </c>
      <c r="AC245">
        <v>146.1</v>
      </c>
      <c r="AD245">
        <v>149.9</v>
      </c>
    </row>
    <row r="246" spans="1:30" x14ac:dyDescent="0.3">
      <c r="A246" t="s">
        <v>33</v>
      </c>
      <c r="B246">
        <v>2019</v>
      </c>
      <c r="C246" t="s">
        <v>45</v>
      </c>
      <c r="D246">
        <v>144.1</v>
      </c>
      <c r="E246">
        <v>162.4</v>
      </c>
      <c r="F246">
        <v>148.4</v>
      </c>
      <c r="G246">
        <v>145.9</v>
      </c>
      <c r="H246">
        <v>121.5</v>
      </c>
      <c r="I246">
        <v>148.80000000000001</v>
      </c>
      <c r="J246">
        <v>215.7</v>
      </c>
      <c r="K246">
        <v>134.6</v>
      </c>
      <c r="L246">
        <v>115</v>
      </c>
      <c r="M246">
        <v>146.30000000000001</v>
      </c>
      <c r="N246">
        <v>130.5</v>
      </c>
      <c r="O246">
        <v>157.19999999999999</v>
      </c>
      <c r="P246">
        <v>153.6</v>
      </c>
      <c r="Q246">
        <v>169.9</v>
      </c>
      <c r="R246">
        <v>146.30000000000001</v>
      </c>
      <c r="S246">
        <v>132.6</v>
      </c>
      <c r="T246">
        <v>144.19999999999999</v>
      </c>
      <c r="U246">
        <v>153.5</v>
      </c>
      <c r="V246">
        <v>132.19999999999999</v>
      </c>
      <c r="W246">
        <v>139.1</v>
      </c>
      <c r="X246">
        <v>142.80000000000001</v>
      </c>
      <c r="Y246">
        <v>121.7</v>
      </c>
      <c r="Z246">
        <v>136.69999999999999</v>
      </c>
      <c r="AA246">
        <v>151.80000000000001</v>
      </c>
      <c r="AB246">
        <v>139.80000000000001</v>
      </c>
      <c r="AC246">
        <v>136.30000000000001</v>
      </c>
      <c r="AD246">
        <v>147</v>
      </c>
    </row>
    <row r="247" spans="1:30" x14ac:dyDescent="0.3">
      <c r="A247" t="s">
        <v>34</v>
      </c>
      <c r="B247">
        <v>2019</v>
      </c>
      <c r="C247" t="s">
        <v>45</v>
      </c>
      <c r="D247">
        <v>142.5</v>
      </c>
      <c r="E247">
        <v>163.19999999999999</v>
      </c>
      <c r="F247">
        <v>145.6</v>
      </c>
      <c r="G247">
        <v>146.69999999999999</v>
      </c>
      <c r="H247">
        <v>124.3</v>
      </c>
      <c r="I247">
        <v>147.4</v>
      </c>
      <c r="J247">
        <v>199.6</v>
      </c>
      <c r="K247">
        <v>135.69999999999999</v>
      </c>
      <c r="L247">
        <v>114.2</v>
      </c>
      <c r="M247">
        <v>147</v>
      </c>
      <c r="N247">
        <v>135.30000000000001</v>
      </c>
      <c r="O247">
        <v>157.5</v>
      </c>
      <c r="P247">
        <v>151.9</v>
      </c>
      <c r="Q247">
        <v>167.9</v>
      </c>
      <c r="R247">
        <v>149.9</v>
      </c>
      <c r="S247">
        <v>141</v>
      </c>
      <c r="T247">
        <v>148.6</v>
      </c>
      <c r="U247">
        <v>153.5</v>
      </c>
      <c r="V247">
        <v>142.30000000000001</v>
      </c>
      <c r="W247">
        <v>145.30000000000001</v>
      </c>
      <c r="X247">
        <v>149.9</v>
      </c>
      <c r="Y247">
        <v>126.6</v>
      </c>
      <c r="Z247">
        <v>142.1</v>
      </c>
      <c r="AA247">
        <v>155.5</v>
      </c>
      <c r="AB247">
        <v>140.30000000000001</v>
      </c>
      <c r="AC247">
        <v>141.30000000000001</v>
      </c>
      <c r="AD247">
        <v>148.6</v>
      </c>
    </row>
    <row r="248" spans="1:30" x14ac:dyDescent="0.3">
      <c r="A248" t="s">
        <v>30</v>
      </c>
      <c r="B248">
        <v>2019</v>
      </c>
      <c r="C248" t="s">
        <v>46</v>
      </c>
      <c r="D248">
        <v>142.80000000000001</v>
      </c>
      <c r="E248">
        <v>165.3</v>
      </c>
      <c r="F248">
        <v>149.5</v>
      </c>
      <c r="G248">
        <v>148.69999999999999</v>
      </c>
      <c r="H248">
        <v>127.5</v>
      </c>
      <c r="I248">
        <v>144.30000000000001</v>
      </c>
      <c r="J248">
        <v>209.5</v>
      </c>
      <c r="K248">
        <v>138.80000000000001</v>
      </c>
      <c r="L248">
        <v>113.6</v>
      </c>
      <c r="M248">
        <v>149.1</v>
      </c>
      <c r="N248">
        <v>139.30000000000001</v>
      </c>
      <c r="O248">
        <v>158.30000000000001</v>
      </c>
      <c r="P248">
        <v>154.30000000000001</v>
      </c>
      <c r="Q248">
        <v>167.8</v>
      </c>
      <c r="R248">
        <v>152.6</v>
      </c>
      <c r="S248">
        <v>147.30000000000001</v>
      </c>
      <c r="T248">
        <v>151.9</v>
      </c>
      <c r="U248" t="s">
        <v>32</v>
      </c>
      <c r="V248">
        <v>149.9</v>
      </c>
      <c r="W248">
        <v>151.19999999999999</v>
      </c>
      <c r="X248">
        <v>154.80000000000001</v>
      </c>
      <c r="Y248">
        <v>135</v>
      </c>
      <c r="Z248">
        <v>149.5</v>
      </c>
      <c r="AA248">
        <v>161.1</v>
      </c>
      <c r="AB248">
        <v>140.6</v>
      </c>
      <c r="AC248">
        <v>147.1</v>
      </c>
      <c r="AD248">
        <v>152.30000000000001</v>
      </c>
    </row>
    <row r="249" spans="1:30" x14ac:dyDescent="0.3">
      <c r="A249" t="s">
        <v>33</v>
      </c>
      <c r="B249">
        <v>2019</v>
      </c>
      <c r="C249" t="s">
        <v>46</v>
      </c>
      <c r="D249">
        <v>144.9</v>
      </c>
      <c r="E249">
        <v>164.5</v>
      </c>
      <c r="F249">
        <v>153.69999999999999</v>
      </c>
      <c r="G249">
        <v>147.5</v>
      </c>
      <c r="H249">
        <v>122.7</v>
      </c>
      <c r="I249">
        <v>147.19999999999999</v>
      </c>
      <c r="J249">
        <v>231.5</v>
      </c>
      <c r="K249">
        <v>137.19999999999999</v>
      </c>
      <c r="L249">
        <v>114.7</v>
      </c>
      <c r="M249">
        <v>148</v>
      </c>
      <c r="N249">
        <v>130.80000000000001</v>
      </c>
      <c r="O249">
        <v>157.69999999999999</v>
      </c>
      <c r="P249">
        <v>156.30000000000001</v>
      </c>
      <c r="Q249">
        <v>170.4</v>
      </c>
      <c r="R249">
        <v>146.80000000000001</v>
      </c>
      <c r="S249">
        <v>132.80000000000001</v>
      </c>
      <c r="T249">
        <v>144.6</v>
      </c>
      <c r="U249">
        <v>152.80000000000001</v>
      </c>
      <c r="V249">
        <v>133.6</v>
      </c>
      <c r="W249">
        <v>139.80000000000001</v>
      </c>
      <c r="X249">
        <v>143.19999999999999</v>
      </c>
      <c r="Y249">
        <v>125.2</v>
      </c>
      <c r="Z249">
        <v>136.80000000000001</v>
      </c>
      <c r="AA249">
        <v>151.9</v>
      </c>
      <c r="AB249">
        <v>140.19999999999999</v>
      </c>
      <c r="AC249">
        <v>137.69999999999999</v>
      </c>
      <c r="AD249">
        <v>148.30000000000001</v>
      </c>
    </row>
    <row r="250" spans="1:30" x14ac:dyDescent="0.3">
      <c r="A250" t="s">
        <v>34</v>
      </c>
      <c r="B250">
        <v>2019</v>
      </c>
      <c r="C250" t="s">
        <v>46</v>
      </c>
      <c r="D250">
        <v>143.5</v>
      </c>
      <c r="E250">
        <v>165</v>
      </c>
      <c r="F250">
        <v>151.1</v>
      </c>
      <c r="G250">
        <v>148.30000000000001</v>
      </c>
      <c r="H250">
        <v>125.7</v>
      </c>
      <c r="I250">
        <v>145.69999999999999</v>
      </c>
      <c r="J250">
        <v>217</v>
      </c>
      <c r="K250">
        <v>138.30000000000001</v>
      </c>
      <c r="L250">
        <v>114</v>
      </c>
      <c r="M250">
        <v>148.69999999999999</v>
      </c>
      <c r="N250">
        <v>135.80000000000001</v>
      </c>
      <c r="O250">
        <v>158</v>
      </c>
      <c r="P250">
        <v>155</v>
      </c>
      <c r="Q250">
        <v>168.5</v>
      </c>
      <c r="R250">
        <v>150.30000000000001</v>
      </c>
      <c r="S250">
        <v>141.30000000000001</v>
      </c>
      <c r="T250">
        <v>149</v>
      </c>
      <c r="U250">
        <v>152.80000000000001</v>
      </c>
      <c r="V250">
        <v>143.69999999999999</v>
      </c>
      <c r="W250">
        <v>145.80000000000001</v>
      </c>
      <c r="X250">
        <v>150.4</v>
      </c>
      <c r="Y250">
        <v>129.80000000000001</v>
      </c>
      <c r="Z250">
        <v>142.30000000000001</v>
      </c>
      <c r="AA250">
        <v>155.69999999999999</v>
      </c>
      <c r="AB250">
        <v>140.4</v>
      </c>
      <c r="AC250">
        <v>142.5</v>
      </c>
      <c r="AD250">
        <v>150.4</v>
      </c>
    </row>
    <row r="251" spans="1:30" x14ac:dyDescent="0.3">
      <c r="A251" t="s">
        <v>30</v>
      </c>
      <c r="B251">
        <v>2020</v>
      </c>
      <c r="C251" t="s">
        <v>31</v>
      </c>
      <c r="D251">
        <v>143.69999999999999</v>
      </c>
      <c r="E251">
        <v>167.3</v>
      </c>
      <c r="F251">
        <v>153.5</v>
      </c>
      <c r="G251">
        <v>150.5</v>
      </c>
      <c r="H251">
        <v>132</v>
      </c>
      <c r="I251">
        <v>142.19999999999999</v>
      </c>
      <c r="J251">
        <v>191.5</v>
      </c>
      <c r="K251">
        <v>141.1</v>
      </c>
      <c r="L251">
        <v>113.8</v>
      </c>
      <c r="M251">
        <v>151.6</v>
      </c>
      <c r="N251">
        <v>139.69999999999999</v>
      </c>
      <c r="O251">
        <v>158.69999999999999</v>
      </c>
      <c r="P251">
        <v>153</v>
      </c>
      <c r="Q251">
        <v>168.6</v>
      </c>
      <c r="R251">
        <v>152.80000000000001</v>
      </c>
      <c r="S251">
        <v>147.4</v>
      </c>
      <c r="T251">
        <v>152.1</v>
      </c>
      <c r="U251" t="s">
        <v>32</v>
      </c>
      <c r="V251">
        <v>150.4</v>
      </c>
      <c r="W251">
        <v>151.69999999999999</v>
      </c>
      <c r="X251">
        <v>155.69999999999999</v>
      </c>
      <c r="Y251">
        <v>136.30000000000001</v>
      </c>
      <c r="Z251">
        <v>150.1</v>
      </c>
      <c r="AA251">
        <v>161.69999999999999</v>
      </c>
      <c r="AB251">
        <v>142.5</v>
      </c>
      <c r="AC251">
        <v>148.1</v>
      </c>
      <c r="AD251">
        <v>151.9</v>
      </c>
    </row>
    <row r="252" spans="1:30" x14ac:dyDescent="0.3">
      <c r="A252" t="s">
        <v>33</v>
      </c>
      <c r="B252">
        <v>2020</v>
      </c>
      <c r="C252" t="s">
        <v>31</v>
      </c>
      <c r="D252">
        <v>145.6</v>
      </c>
      <c r="E252">
        <v>167.6</v>
      </c>
      <c r="F252">
        <v>157</v>
      </c>
      <c r="G252">
        <v>149.30000000000001</v>
      </c>
      <c r="H252">
        <v>126.3</v>
      </c>
      <c r="I252">
        <v>144.4</v>
      </c>
      <c r="J252">
        <v>207.8</v>
      </c>
      <c r="K252">
        <v>139.1</v>
      </c>
      <c r="L252">
        <v>114.8</v>
      </c>
      <c r="M252">
        <v>149.5</v>
      </c>
      <c r="N252">
        <v>131.1</v>
      </c>
      <c r="O252">
        <v>158.5</v>
      </c>
      <c r="P252">
        <v>154.4</v>
      </c>
      <c r="Q252">
        <v>170.8</v>
      </c>
      <c r="R252">
        <v>147</v>
      </c>
      <c r="S252">
        <v>133.19999999999999</v>
      </c>
      <c r="T252">
        <v>144.9</v>
      </c>
      <c r="U252">
        <v>153.9</v>
      </c>
      <c r="V252">
        <v>135.1</v>
      </c>
      <c r="W252">
        <v>140.1</v>
      </c>
      <c r="X252">
        <v>143.80000000000001</v>
      </c>
      <c r="Y252">
        <v>126.1</v>
      </c>
      <c r="Z252">
        <v>137.19999999999999</v>
      </c>
      <c r="AA252">
        <v>152.1</v>
      </c>
      <c r="AB252">
        <v>142.1</v>
      </c>
      <c r="AC252">
        <v>138.4</v>
      </c>
      <c r="AD252">
        <v>148.19999999999999</v>
      </c>
    </row>
    <row r="253" spans="1:30" x14ac:dyDescent="0.3">
      <c r="A253" t="s">
        <v>34</v>
      </c>
      <c r="B253">
        <v>2020</v>
      </c>
      <c r="C253" t="s">
        <v>31</v>
      </c>
      <c r="D253">
        <v>144.30000000000001</v>
      </c>
      <c r="E253">
        <v>167.4</v>
      </c>
      <c r="F253">
        <v>154.9</v>
      </c>
      <c r="G253">
        <v>150.1</v>
      </c>
      <c r="H253">
        <v>129.9</v>
      </c>
      <c r="I253">
        <v>143.19999999999999</v>
      </c>
      <c r="J253">
        <v>197</v>
      </c>
      <c r="K253">
        <v>140.4</v>
      </c>
      <c r="L253">
        <v>114.1</v>
      </c>
      <c r="M253">
        <v>150.9</v>
      </c>
      <c r="N253">
        <v>136.1</v>
      </c>
      <c r="O253">
        <v>158.6</v>
      </c>
      <c r="P253">
        <v>153.5</v>
      </c>
      <c r="Q253">
        <v>169.2</v>
      </c>
      <c r="R253">
        <v>150.5</v>
      </c>
      <c r="S253">
        <v>141.5</v>
      </c>
      <c r="T253">
        <v>149.19999999999999</v>
      </c>
      <c r="U253">
        <v>153.9</v>
      </c>
      <c r="V253">
        <v>144.6</v>
      </c>
      <c r="W253">
        <v>146.19999999999999</v>
      </c>
      <c r="X253">
        <v>151.19999999999999</v>
      </c>
      <c r="Y253">
        <v>130.9</v>
      </c>
      <c r="Z253">
        <v>142.80000000000001</v>
      </c>
      <c r="AA253">
        <v>156.1</v>
      </c>
      <c r="AB253">
        <v>142.30000000000001</v>
      </c>
      <c r="AC253">
        <v>143.4</v>
      </c>
      <c r="AD253">
        <v>150.19999999999999</v>
      </c>
    </row>
    <row r="254" spans="1:30" x14ac:dyDescent="0.3">
      <c r="A254" t="s">
        <v>30</v>
      </c>
      <c r="B254">
        <v>2020</v>
      </c>
      <c r="C254" t="s">
        <v>35</v>
      </c>
      <c r="D254">
        <v>144.19999999999999</v>
      </c>
      <c r="E254">
        <v>167.5</v>
      </c>
      <c r="F254">
        <v>150.9</v>
      </c>
      <c r="G254">
        <v>150.9</v>
      </c>
      <c r="H254">
        <v>133.69999999999999</v>
      </c>
      <c r="I254">
        <v>140.69999999999999</v>
      </c>
      <c r="J254">
        <v>165.1</v>
      </c>
      <c r="K254">
        <v>141.80000000000001</v>
      </c>
      <c r="L254">
        <v>113.1</v>
      </c>
      <c r="M254">
        <v>152.80000000000001</v>
      </c>
      <c r="N254">
        <v>140.1</v>
      </c>
      <c r="O254">
        <v>159.19999999999999</v>
      </c>
      <c r="P254">
        <v>149.80000000000001</v>
      </c>
      <c r="Q254">
        <v>169.4</v>
      </c>
      <c r="R254">
        <v>153</v>
      </c>
      <c r="S254">
        <v>147.5</v>
      </c>
      <c r="T254">
        <v>152.30000000000001</v>
      </c>
      <c r="U254" t="s">
        <v>32</v>
      </c>
      <c r="V254">
        <v>152.30000000000001</v>
      </c>
      <c r="W254">
        <v>151.80000000000001</v>
      </c>
      <c r="X254">
        <v>156.19999999999999</v>
      </c>
      <c r="Y254">
        <v>136</v>
      </c>
      <c r="Z254">
        <v>150.4</v>
      </c>
      <c r="AA254">
        <v>161.9</v>
      </c>
      <c r="AB254">
        <v>143.4</v>
      </c>
      <c r="AC254">
        <v>148.4</v>
      </c>
      <c r="AD254">
        <v>150.4</v>
      </c>
    </row>
    <row r="255" spans="1:30" x14ac:dyDescent="0.3">
      <c r="A255" t="s">
        <v>33</v>
      </c>
      <c r="B255">
        <v>2020</v>
      </c>
      <c r="C255" t="s">
        <v>35</v>
      </c>
      <c r="D255">
        <v>146.19999999999999</v>
      </c>
      <c r="E255">
        <v>167.6</v>
      </c>
      <c r="F255">
        <v>153.1</v>
      </c>
      <c r="G255">
        <v>150.69999999999999</v>
      </c>
      <c r="H255">
        <v>127.4</v>
      </c>
      <c r="I255">
        <v>143.1</v>
      </c>
      <c r="J255">
        <v>181.7</v>
      </c>
      <c r="K255">
        <v>139.6</v>
      </c>
      <c r="L255">
        <v>114.6</v>
      </c>
      <c r="M255">
        <v>150.4</v>
      </c>
      <c r="N255">
        <v>131.5</v>
      </c>
      <c r="O255">
        <v>159</v>
      </c>
      <c r="P255">
        <v>151.69999999999999</v>
      </c>
      <c r="Q255">
        <v>172</v>
      </c>
      <c r="R255">
        <v>147.30000000000001</v>
      </c>
      <c r="S255">
        <v>133.5</v>
      </c>
      <c r="T255">
        <v>145.19999999999999</v>
      </c>
      <c r="U255">
        <v>154.80000000000001</v>
      </c>
      <c r="V255">
        <v>138.9</v>
      </c>
      <c r="W255">
        <v>140.4</v>
      </c>
      <c r="X255">
        <v>144.4</v>
      </c>
      <c r="Y255">
        <v>125.2</v>
      </c>
      <c r="Z255">
        <v>137.69999999999999</v>
      </c>
      <c r="AA255">
        <v>152.19999999999999</v>
      </c>
      <c r="AB255">
        <v>143.5</v>
      </c>
      <c r="AC255">
        <v>138.4</v>
      </c>
      <c r="AD255">
        <v>147.69999999999999</v>
      </c>
    </row>
    <row r="256" spans="1:30" x14ac:dyDescent="0.3">
      <c r="A256" t="s">
        <v>34</v>
      </c>
      <c r="B256">
        <v>2020</v>
      </c>
      <c r="C256" t="s">
        <v>35</v>
      </c>
      <c r="D256">
        <v>144.80000000000001</v>
      </c>
      <c r="E256">
        <v>167.5</v>
      </c>
      <c r="F256">
        <v>151.80000000000001</v>
      </c>
      <c r="G256">
        <v>150.80000000000001</v>
      </c>
      <c r="H256">
        <v>131.4</v>
      </c>
      <c r="I256">
        <v>141.80000000000001</v>
      </c>
      <c r="J256">
        <v>170.7</v>
      </c>
      <c r="K256">
        <v>141.1</v>
      </c>
      <c r="L256">
        <v>113.6</v>
      </c>
      <c r="M256">
        <v>152</v>
      </c>
      <c r="N256">
        <v>136.5</v>
      </c>
      <c r="O256">
        <v>159.1</v>
      </c>
      <c r="P256">
        <v>150.5</v>
      </c>
      <c r="Q256">
        <v>170.1</v>
      </c>
      <c r="R256">
        <v>150.80000000000001</v>
      </c>
      <c r="S256">
        <v>141.69999999999999</v>
      </c>
      <c r="T256">
        <v>149.5</v>
      </c>
      <c r="U256">
        <v>154.80000000000001</v>
      </c>
      <c r="V256">
        <v>147.19999999999999</v>
      </c>
      <c r="W256">
        <v>146.4</v>
      </c>
      <c r="X256">
        <v>151.69999999999999</v>
      </c>
      <c r="Y256">
        <v>130.30000000000001</v>
      </c>
      <c r="Z256">
        <v>143.19999999999999</v>
      </c>
      <c r="AA256">
        <v>156.19999999999999</v>
      </c>
      <c r="AB256">
        <v>143.4</v>
      </c>
      <c r="AC256">
        <v>143.6</v>
      </c>
      <c r="AD256">
        <v>149.1</v>
      </c>
    </row>
    <row r="257" spans="1:30" x14ac:dyDescent="0.3">
      <c r="A257" t="s">
        <v>30</v>
      </c>
      <c r="B257">
        <v>2020</v>
      </c>
      <c r="C257" t="s">
        <v>36</v>
      </c>
      <c r="D257">
        <v>144.4</v>
      </c>
      <c r="E257">
        <v>166.8</v>
      </c>
      <c r="F257">
        <v>147.6</v>
      </c>
      <c r="G257">
        <v>151.69999999999999</v>
      </c>
      <c r="H257">
        <v>133.30000000000001</v>
      </c>
      <c r="I257">
        <v>141.80000000000001</v>
      </c>
      <c r="J257">
        <v>152.30000000000001</v>
      </c>
      <c r="K257">
        <v>141.80000000000001</v>
      </c>
      <c r="L257">
        <v>112.6</v>
      </c>
      <c r="M257">
        <v>154</v>
      </c>
      <c r="N257">
        <v>140.1</v>
      </c>
      <c r="O257">
        <v>160</v>
      </c>
      <c r="P257">
        <v>148.19999999999999</v>
      </c>
      <c r="Q257">
        <v>170.5</v>
      </c>
      <c r="R257">
        <v>153.4</v>
      </c>
      <c r="S257">
        <v>147.6</v>
      </c>
      <c r="T257">
        <v>152.5</v>
      </c>
      <c r="U257" t="s">
        <v>32</v>
      </c>
      <c r="V257">
        <v>153.4</v>
      </c>
      <c r="W257">
        <v>151.5</v>
      </c>
      <c r="X257">
        <v>156.69999999999999</v>
      </c>
      <c r="Y257">
        <v>135.80000000000001</v>
      </c>
      <c r="Z257">
        <v>151.19999999999999</v>
      </c>
      <c r="AA257">
        <v>161.19999999999999</v>
      </c>
      <c r="AB257">
        <v>145.1</v>
      </c>
      <c r="AC257">
        <v>148.6</v>
      </c>
      <c r="AD257">
        <v>149.80000000000001</v>
      </c>
    </row>
    <row r="258" spans="1:30" x14ac:dyDescent="0.3">
      <c r="A258" t="s">
        <v>33</v>
      </c>
      <c r="B258">
        <v>2020</v>
      </c>
      <c r="C258" t="s">
        <v>36</v>
      </c>
      <c r="D258">
        <v>146.5</v>
      </c>
      <c r="E258">
        <v>167.5</v>
      </c>
      <c r="F258">
        <v>148.9</v>
      </c>
      <c r="G258">
        <v>151.1</v>
      </c>
      <c r="H258">
        <v>127.5</v>
      </c>
      <c r="I258">
        <v>143.30000000000001</v>
      </c>
      <c r="J258">
        <v>167</v>
      </c>
      <c r="K258">
        <v>139.69999999999999</v>
      </c>
      <c r="L258">
        <v>114.4</v>
      </c>
      <c r="M258">
        <v>151.5</v>
      </c>
      <c r="N258">
        <v>131.9</v>
      </c>
      <c r="O258">
        <v>159.1</v>
      </c>
      <c r="P258">
        <v>150.1</v>
      </c>
      <c r="Q258">
        <v>173.3</v>
      </c>
      <c r="R258">
        <v>147.69999999999999</v>
      </c>
      <c r="S258">
        <v>133.80000000000001</v>
      </c>
      <c r="T258">
        <v>145.6</v>
      </c>
      <c r="U258">
        <v>154.5</v>
      </c>
      <c r="V258">
        <v>141.4</v>
      </c>
      <c r="W258">
        <v>140.80000000000001</v>
      </c>
      <c r="X258">
        <v>145</v>
      </c>
      <c r="Y258">
        <v>124.6</v>
      </c>
      <c r="Z258">
        <v>137.9</v>
      </c>
      <c r="AA258">
        <v>152.5</v>
      </c>
      <c r="AB258">
        <v>145.30000000000001</v>
      </c>
      <c r="AC258">
        <v>138.69999999999999</v>
      </c>
      <c r="AD258">
        <v>147.30000000000001</v>
      </c>
    </row>
    <row r="259" spans="1:30" x14ac:dyDescent="0.3">
      <c r="A259" t="s">
        <v>34</v>
      </c>
      <c r="B259">
        <v>2020</v>
      </c>
      <c r="C259" t="s">
        <v>36</v>
      </c>
      <c r="D259">
        <v>145.1</v>
      </c>
      <c r="E259">
        <v>167</v>
      </c>
      <c r="F259">
        <v>148.1</v>
      </c>
      <c r="G259">
        <v>151.5</v>
      </c>
      <c r="H259">
        <v>131.19999999999999</v>
      </c>
      <c r="I259">
        <v>142.5</v>
      </c>
      <c r="J259">
        <v>157.30000000000001</v>
      </c>
      <c r="K259">
        <v>141.1</v>
      </c>
      <c r="L259">
        <v>113.2</v>
      </c>
      <c r="M259">
        <v>153.19999999999999</v>
      </c>
      <c r="N259">
        <v>136.69999999999999</v>
      </c>
      <c r="O259">
        <v>159.6</v>
      </c>
      <c r="P259">
        <v>148.9</v>
      </c>
      <c r="Q259">
        <v>171.2</v>
      </c>
      <c r="R259">
        <v>151.19999999999999</v>
      </c>
      <c r="S259">
        <v>141.9</v>
      </c>
      <c r="T259">
        <v>149.80000000000001</v>
      </c>
      <c r="U259">
        <v>154.5</v>
      </c>
      <c r="V259">
        <v>148.9</v>
      </c>
      <c r="W259">
        <v>146.4</v>
      </c>
      <c r="X259">
        <v>152.30000000000001</v>
      </c>
      <c r="Y259">
        <v>129.9</v>
      </c>
      <c r="Z259">
        <v>143.69999999999999</v>
      </c>
      <c r="AA259">
        <v>156.1</v>
      </c>
      <c r="AB259">
        <v>145.19999999999999</v>
      </c>
      <c r="AC259">
        <v>143.80000000000001</v>
      </c>
      <c r="AD259">
        <v>148.6</v>
      </c>
    </row>
    <row r="260" spans="1:30" x14ac:dyDescent="0.3">
      <c r="A260" t="s">
        <v>30</v>
      </c>
      <c r="B260">
        <v>2020</v>
      </c>
      <c r="C260" t="s">
        <v>37</v>
      </c>
      <c r="D260">
        <v>147.19999999999999</v>
      </c>
      <c r="E260" t="s">
        <v>32</v>
      </c>
      <c r="F260">
        <v>146.9</v>
      </c>
      <c r="G260">
        <v>155.6</v>
      </c>
      <c r="H260">
        <v>137.1</v>
      </c>
      <c r="I260">
        <v>147.30000000000001</v>
      </c>
      <c r="J260">
        <v>162.69999999999999</v>
      </c>
      <c r="K260">
        <v>150.19999999999999</v>
      </c>
      <c r="L260">
        <v>119.8</v>
      </c>
      <c r="M260">
        <v>158.69999999999999</v>
      </c>
      <c r="N260">
        <v>139.19999999999999</v>
      </c>
      <c r="O260" t="s">
        <v>32</v>
      </c>
      <c r="P260">
        <v>150.1</v>
      </c>
      <c r="Q260" t="s">
        <v>32</v>
      </c>
      <c r="R260" t="s">
        <v>32</v>
      </c>
      <c r="S260" t="s">
        <v>32</v>
      </c>
      <c r="T260" t="s">
        <v>32</v>
      </c>
      <c r="U260" t="s">
        <v>32</v>
      </c>
      <c r="V260">
        <v>148.4</v>
      </c>
      <c r="W260" t="s">
        <v>32</v>
      </c>
      <c r="X260">
        <v>154.30000000000001</v>
      </c>
      <c r="Y260" t="s">
        <v>32</v>
      </c>
      <c r="Z260" t="s">
        <v>32</v>
      </c>
      <c r="AA260" t="s">
        <v>32</v>
      </c>
      <c r="AB260" t="s">
        <v>32</v>
      </c>
      <c r="AC260" t="s">
        <v>32</v>
      </c>
      <c r="AD260" t="s">
        <v>32</v>
      </c>
    </row>
    <row r="261" spans="1:30" x14ac:dyDescent="0.3">
      <c r="A261" t="s">
        <v>33</v>
      </c>
      <c r="B261">
        <v>2020</v>
      </c>
      <c r="C261" t="s">
        <v>37</v>
      </c>
      <c r="D261">
        <v>151.80000000000001</v>
      </c>
      <c r="E261" t="s">
        <v>32</v>
      </c>
      <c r="F261">
        <v>151.9</v>
      </c>
      <c r="G261">
        <v>155.5</v>
      </c>
      <c r="H261">
        <v>131.6</v>
      </c>
      <c r="I261">
        <v>152.9</v>
      </c>
      <c r="J261">
        <v>180</v>
      </c>
      <c r="K261">
        <v>150.80000000000001</v>
      </c>
      <c r="L261">
        <v>121.2</v>
      </c>
      <c r="M261">
        <v>154</v>
      </c>
      <c r="N261">
        <v>133.5</v>
      </c>
      <c r="O261" t="s">
        <v>32</v>
      </c>
      <c r="P261">
        <v>153.5</v>
      </c>
      <c r="Q261" t="s">
        <v>32</v>
      </c>
      <c r="R261" t="s">
        <v>32</v>
      </c>
      <c r="S261" t="s">
        <v>32</v>
      </c>
      <c r="T261" t="s">
        <v>32</v>
      </c>
      <c r="U261">
        <v>155.6</v>
      </c>
      <c r="V261">
        <v>137.1</v>
      </c>
      <c r="W261" t="s">
        <v>32</v>
      </c>
      <c r="X261">
        <v>144.80000000000001</v>
      </c>
      <c r="Y261" t="s">
        <v>32</v>
      </c>
      <c r="Z261" t="s">
        <v>32</v>
      </c>
      <c r="AA261" t="s">
        <v>32</v>
      </c>
      <c r="AB261" t="s">
        <v>32</v>
      </c>
      <c r="AC261" t="s">
        <v>32</v>
      </c>
      <c r="AD261" t="s">
        <v>32</v>
      </c>
    </row>
    <row r="262" spans="1:30" x14ac:dyDescent="0.3">
      <c r="A262" t="s">
        <v>34</v>
      </c>
      <c r="B262">
        <v>2020</v>
      </c>
      <c r="C262" t="s">
        <v>37</v>
      </c>
      <c r="D262">
        <v>148.69999999999999</v>
      </c>
      <c r="E262" t="s">
        <v>32</v>
      </c>
      <c r="F262">
        <v>148.80000000000001</v>
      </c>
      <c r="G262">
        <v>155.6</v>
      </c>
      <c r="H262">
        <v>135.1</v>
      </c>
      <c r="I262">
        <v>149.9</v>
      </c>
      <c r="J262">
        <v>168.6</v>
      </c>
      <c r="K262">
        <v>150.4</v>
      </c>
      <c r="L262">
        <v>120.3</v>
      </c>
      <c r="M262">
        <v>157.1</v>
      </c>
      <c r="N262">
        <v>136.80000000000001</v>
      </c>
      <c r="O262" t="s">
        <v>32</v>
      </c>
      <c r="P262">
        <v>151.4</v>
      </c>
      <c r="Q262" t="s">
        <v>32</v>
      </c>
      <c r="R262" t="s">
        <v>32</v>
      </c>
      <c r="S262" t="s">
        <v>32</v>
      </c>
      <c r="T262" t="s">
        <v>32</v>
      </c>
      <c r="U262">
        <v>155.6</v>
      </c>
      <c r="V262">
        <v>144.1</v>
      </c>
      <c r="W262" t="s">
        <v>32</v>
      </c>
      <c r="X262">
        <v>150.69999999999999</v>
      </c>
      <c r="Y262" t="s">
        <v>32</v>
      </c>
      <c r="Z262" t="s">
        <v>32</v>
      </c>
      <c r="AA262" t="s">
        <v>32</v>
      </c>
      <c r="AB262" t="s">
        <v>32</v>
      </c>
      <c r="AC262" t="s">
        <v>32</v>
      </c>
      <c r="AD262" t="s">
        <v>32</v>
      </c>
    </row>
    <row r="263" spans="1:30" x14ac:dyDescent="0.3">
      <c r="A263" t="s">
        <v>30</v>
      </c>
      <c r="B263">
        <v>2020</v>
      </c>
      <c r="C263" t="s">
        <v>38</v>
      </c>
      <c r="D263" t="s">
        <v>32</v>
      </c>
      <c r="E263" t="s">
        <v>32</v>
      </c>
      <c r="F263" t="s">
        <v>32</v>
      </c>
      <c r="G263" t="s">
        <v>32</v>
      </c>
      <c r="H263" t="s">
        <v>32</v>
      </c>
      <c r="I263" t="s">
        <v>32</v>
      </c>
      <c r="J263" t="s">
        <v>32</v>
      </c>
      <c r="K263" t="s">
        <v>32</v>
      </c>
      <c r="L263" t="s">
        <v>32</v>
      </c>
      <c r="M263" t="s">
        <v>32</v>
      </c>
      <c r="N263" t="s">
        <v>32</v>
      </c>
      <c r="O263" t="s">
        <v>32</v>
      </c>
      <c r="P263" t="s">
        <v>32</v>
      </c>
      <c r="Q263" t="s">
        <v>32</v>
      </c>
      <c r="R263" t="s">
        <v>32</v>
      </c>
      <c r="S263" t="s">
        <v>32</v>
      </c>
      <c r="T263" t="s">
        <v>32</v>
      </c>
      <c r="U263" t="s">
        <v>32</v>
      </c>
      <c r="V263" t="s">
        <v>32</v>
      </c>
      <c r="W263" t="s">
        <v>32</v>
      </c>
      <c r="X263" t="s">
        <v>32</v>
      </c>
      <c r="Y263" t="s">
        <v>32</v>
      </c>
      <c r="Z263" t="s">
        <v>32</v>
      </c>
      <c r="AA263" t="s">
        <v>32</v>
      </c>
      <c r="AB263" t="s">
        <v>32</v>
      </c>
      <c r="AC263" t="s">
        <v>32</v>
      </c>
      <c r="AD263" t="s">
        <v>32</v>
      </c>
    </row>
    <row r="264" spans="1:30" x14ac:dyDescent="0.3">
      <c r="A264" t="s">
        <v>33</v>
      </c>
      <c r="B264">
        <v>2020</v>
      </c>
      <c r="C264" t="s">
        <v>38</v>
      </c>
      <c r="D264" t="s">
        <v>32</v>
      </c>
      <c r="E264" t="s">
        <v>32</v>
      </c>
      <c r="F264" t="s">
        <v>32</v>
      </c>
      <c r="G264" t="s">
        <v>32</v>
      </c>
      <c r="H264" t="s">
        <v>32</v>
      </c>
      <c r="I264" t="s">
        <v>32</v>
      </c>
      <c r="J264" t="s">
        <v>32</v>
      </c>
      <c r="K264" t="s">
        <v>32</v>
      </c>
      <c r="L264" t="s">
        <v>32</v>
      </c>
      <c r="M264" t="s">
        <v>32</v>
      </c>
      <c r="N264" t="s">
        <v>32</v>
      </c>
      <c r="O264" t="s">
        <v>32</v>
      </c>
      <c r="P264" t="s">
        <v>32</v>
      </c>
      <c r="Q264" t="s">
        <v>32</v>
      </c>
      <c r="R264" t="s">
        <v>32</v>
      </c>
      <c r="S264" t="s">
        <v>32</v>
      </c>
      <c r="T264" t="s">
        <v>32</v>
      </c>
      <c r="U264" t="s">
        <v>32</v>
      </c>
      <c r="V264" t="s">
        <v>32</v>
      </c>
      <c r="W264" t="s">
        <v>32</v>
      </c>
      <c r="X264" t="s">
        <v>32</v>
      </c>
      <c r="Y264" t="s">
        <v>32</v>
      </c>
      <c r="Z264" t="s">
        <v>32</v>
      </c>
      <c r="AA264" t="s">
        <v>32</v>
      </c>
      <c r="AB264" t="s">
        <v>32</v>
      </c>
      <c r="AC264" t="s">
        <v>32</v>
      </c>
      <c r="AD264" t="s">
        <v>32</v>
      </c>
    </row>
    <row r="265" spans="1:30" x14ac:dyDescent="0.3">
      <c r="A265" t="s">
        <v>34</v>
      </c>
      <c r="B265">
        <v>2020</v>
      </c>
      <c r="C265" t="s">
        <v>38</v>
      </c>
      <c r="D265" t="s">
        <v>32</v>
      </c>
      <c r="E265" t="s">
        <v>32</v>
      </c>
      <c r="F265" t="s">
        <v>32</v>
      </c>
      <c r="G265" t="s">
        <v>32</v>
      </c>
      <c r="H265" t="s">
        <v>32</v>
      </c>
      <c r="I265" t="s">
        <v>32</v>
      </c>
      <c r="J265" t="s">
        <v>32</v>
      </c>
      <c r="K265" t="s">
        <v>32</v>
      </c>
      <c r="L265" t="s">
        <v>32</v>
      </c>
      <c r="M265" t="s">
        <v>32</v>
      </c>
      <c r="N265" t="s">
        <v>32</v>
      </c>
      <c r="O265" t="s">
        <v>32</v>
      </c>
      <c r="P265" t="s">
        <v>32</v>
      </c>
      <c r="Q265" t="s">
        <v>32</v>
      </c>
      <c r="R265" t="s">
        <v>32</v>
      </c>
      <c r="S265" t="s">
        <v>32</v>
      </c>
      <c r="T265" t="s">
        <v>32</v>
      </c>
      <c r="U265" t="s">
        <v>32</v>
      </c>
      <c r="V265" t="s">
        <v>32</v>
      </c>
      <c r="W265" t="s">
        <v>32</v>
      </c>
      <c r="X265" t="s">
        <v>32</v>
      </c>
      <c r="Y265" t="s">
        <v>32</v>
      </c>
      <c r="Z265" t="s">
        <v>32</v>
      </c>
      <c r="AA265" t="s">
        <v>32</v>
      </c>
      <c r="AB265" t="s">
        <v>32</v>
      </c>
      <c r="AC265" t="s">
        <v>32</v>
      </c>
      <c r="AD265" t="s">
        <v>32</v>
      </c>
    </row>
    <row r="266" spans="1:30" x14ac:dyDescent="0.3">
      <c r="A266" t="s">
        <v>30</v>
      </c>
      <c r="B266">
        <v>2020</v>
      </c>
      <c r="C266" t="s">
        <v>39</v>
      </c>
      <c r="D266">
        <v>148.19999999999999</v>
      </c>
      <c r="E266">
        <v>190.3</v>
      </c>
      <c r="F266">
        <v>149.4</v>
      </c>
      <c r="G266">
        <v>153.30000000000001</v>
      </c>
      <c r="H266">
        <v>138.19999999999999</v>
      </c>
      <c r="I266">
        <v>143.19999999999999</v>
      </c>
      <c r="J266">
        <v>148.9</v>
      </c>
      <c r="K266">
        <v>150.30000000000001</v>
      </c>
      <c r="L266">
        <v>113.2</v>
      </c>
      <c r="M266">
        <v>159.80000000000001</v>
      </c>
      <c r="N266">
        <v>142.1</v>
      </c>
      <c r="O266">
        <v>161.80000000000001</v>
      </c>
      <c r="P266">
        <v>152.30000000000001</v>
      </c>
      <c r="Q266">
        <v>182.4</v>
      </c>
      <c r="R266">
        <v>154.69999999999999</v>
      </c>
      <c r="S266">
        <v>150</v>
      </c>
      <c r="T266">
        <v>154.1</v>
      </c>
      <c r="U266" t="s">
        <v>32</v>
      </c>
      <c r="V266">
        <v>144.9</v>
      </c>
      <c r="W266">
        <v>151.69999999999999</v>
      </c>
      <c r="X266">
        <v>158.19999999999999</v>
      </c>
      <c r="Y266">
        <v>141.4</v>
      </c>
      <c r="Z266">
        <v>153.19999999999999</v>
      </c>
      <c r="AA266">
        <v>161.80000000000001</v>
      </c>
      <c r="AB266">
        <v>151.19999999999999</v>
      </c>
      <c r="AC266">
        <v>151.69999999999999</v>
      </c>
      <c r="AD266">
        <v>152.69999999999999</v>
      </c>
    </row>
    <row r="267" spans="1:30" x14ac:dyDescent="0.3">
      <c r="A267" t="s">
        <v>33</v>
      </c>
      <c r="B267">
        <v>2020</v>
      </c>
      <c r="C267" t="s">
        <v>39</v>
      </c>
      <c r="D267">
        <v>152.69999999999999</v>
      </c>
      <c r="E267">
        <v>197</v>
      </c>
      <c r="F267">
        <v>154.6</v>
      </c>
      <c r="G267">
        <v>153.4</v>
      </c>
      <c r="H267">
        <v>132.9</v>
      </c>
      <c r="I267">
        <v>151.80000000000001</v>
      </c>
      <c r="J267">
        <v>171.2</v>
      </c>
      <c r="K267">
        <v>152</v>
      </c>
      <c r="L267">
        <v>116.3</v>
      </c>
      <c r="M267">
        <v>158.80000000000001</v>
      </c>
      <c r="N267">
        <v>135.6</v>
      </c>
      <c r="O267">
        <v>161.69999999999999</v>
      </c>
      <c r="P267">
        <v>157</v>
      </c>
      <c r="Q267">
        <v>186.7</v>
      </c>
      <c r="R267">
        <v>149.1</v>
      </c>
      <c r="S267">
        <v>136.6</v>
      </c>
      <c r="T267">
        <v>147.19999999999999</v>
      </c>
      <c r="U267">
        <v>154.69999999999999</v>
      </c>
      <c r="V267">
        <v>137.1</v>
      </c>
      <c r="W267">
        <v>140.4</v>
      </c>
      <c r="X267">
        <v>148.1</v>
      </c>
      <c r="Y267">
        <v>129.30000000000001</v>
      </c>
      <c r="Z267">
        <v>144.5</v>
      </c>
      <c r="AA267">
        <v>152.5</v>
      </c>
      <c r="AB267">
        <v>152.19999999999999</v>
      </c>
      <c r="AC267">
        <v>142</v>
      </c>
      <c r="AD267">
        <v>150.80000000000001</v>
      </c>
    </row>
    <row r="268" spans="1:30" x14ac:dyDescent="0.3">
      <c r="A268" t="s">
        <v>34</v>
      </c>
      <c r="B268">
        <v>2020</v>
      </c>
      <c r="C268" t="s">
        <v>39</v>
      </c>
      <c r="D268">
        <v>149.6</v>
      </c>
      <c r="E268">
        <v>192.7</v>
      </c>
      <c r="F268">
        <v>151.4</v>
      </c>
      <c r="G268">
        <v>153.30000000000001</v>
      </c>
      <c r="H268">
        <v>136.30000000000001</v>
      </c>
      <c r="I268">
        <v>147.19999999999999</v>
      </c>
      <c r="J268">
        <v>156.5</v>
      </c>
      <c r="K268">
        <v>150.9</v>
      </c>
      <c r="L268">
        <v>114.2</v>
      </c>
      <c r="M268">
        <v>159.5</v>
      </c>
      <c r="N268">
        <v>139.4</v>
      </c>
      <c r="O268">
        <v>161.80000000000001</v>
      </c>
      <c r="P268">
        <v>154</v>
      </c>
      <c r="Q268">
        <v>183.5</v>
      </c>
      <c r="R268">
        <v>152.5</v>
      </c>
      <c r="S268">
        <v>144.4</v>
      </c>
      <c r="T268">
        <v>151.4</v>
      </c>
      <c r="U268">
        <v>154.69999999999999</v>
      </c>
      <c r="V268">
        <v>141.9</v>
      </c>
      <c r="W268">
        <v>146.4</v>
      </c>
      <c r="X268">
        <v>154.4</v>
      </c>
      <c r="Y268">
        <v>135</v>
      </c>
      <c r="Z268">
        <v>148.30000000000001</v>
      </c>
      <c r="AA268">
        <v>156.4</v>
      </c>
      <c r="AB268">
        <v>151.6</v>
      </c>
      <c r="AC268">
        <v>147</v>
      </c>
      <c r="AD268">
        <v>151.80000000000001</v>
      </c>
    </row>
    <row r="269" spans="1:30" x14ac:dyDescent="0.3">
      <c r="A269" t="s">
        <v>30</v>
      </c>
      <c r="B269">
        <v>2020</v>
      </c>
      <c r="C269" t="s">
        <v>40</v>
      </c>
      <c r="D269">
        <v>148.19999999999999</v>
      </c>
      <c r="E269">
        <v>190.3</v>
      </c>
      <c r="F269">
        <v>149.4</v>
      </c>
      <c r="G269">
        <v>153.30000000000001</v>
      </c>
      <c r="H269">
        <v>138.19999999999999</v>
      </c>
      <c r="I269">
        <v>143.19999999999999</v>
      </c>
      <c r="J269">
        <v>148.9</v>
      </c>
      <c r="K269">
        <v>150.30000000000001</v>
      </c>
      <c r="L269">
        <v>113.2</v>
      </c>
      <c r="M269">
        <v>159.80000000000001</v>
      </c>
      <c r="N269">
        <v>142.1</v>
      </c>
      <c r="O269">
        <v>161.80000000000001</v>
      </c>
      <c r="P269">
        <v>152.30000000000001</v>
      </c>
      <c r="Q269">
        <v>182.4</v>
      </c>
      <c r="R269">
        <v>154.69999999999999</v>
      </c>
      <c r="S269">
        <v>150</v>
      </c>
      <c r="T269">
        <v>154.1</v>
      </c>
      <c r="U269" t="s">
        <v>32</v>
      </c>
      <c r="V269">
        <v>144.9</v>
      </c>
      <c r="W269">
        <v>151.69999999999999</v>
      </c>
      <c r="X269">
        <v>158.19999999999999</v>
      </c>
      <c r="Y269">
        <v>141.4</v>
      </c>
      <c r="Z269">
        <v>153.19999999999999</v>
      </c>
      <c r="AA269">
        <v>161.80000000000001</v>
      </c>
      <c r="AB269">
        <v>151.19999999999999</v>
      </c>
      <c r="AC269">
        <v>151.69999999999999</v>
      </c>
      <c r="AD269">
        <v>152.69999999999999</v>
      </c>
    </row>
    <row r="270" spans="1:30" x14ac:dyDescent="0.3">
      <c r="A270" t="s">
        <v>33</v>
      </c>
      <c r="B270">
        <v>2020</v>
      </c>
      <c r="C270" t="s">
        <v>40</v>
      </c>
      <c r="D270">
        <v>152.69999999999999</v>
      </c>
      <c r="E270">
        <v>197</v>
      </c>
      <c r="F270">
        <v>154.6</v>
      </c>
      <c r="G270">
        <v>153.4</v>
      </c>
      <c r="H270">
        <v>132.9</v>
      </c>
      <c r="I270">
        <v>151.80000000000001</v>
      </c>
      <c r="J270">
        <v>171.2</v>
      </c>
      <c r="K270">
        <v>152</v>
      </c>
      <c r="L270">
        <v>116.3</v>
      </c>
      <c r="M270">
        <v>158.80000000000001</v>
      </c>
      <c r="N270">
        <v>135.6</v>
      </c>
      <c r="O270">
        <v>161.69999999999999</v>
      </c>
      <c r="P270">
        <v>157</v>
      </c>
      <c r="Q270">
        <v>186.7</v>
      </c>
      <c r="R270">
        <v>149.1</v>
      </c>
      <c r="S270">
        <v>136.6</v>
      </c>
      <c r="T270">
        <v>147.19999999999999</v>
      </c>
      <c r="U270">
        <v>154.69999999999999</v>
      </c>
      <c r="V270">
        <v>137.1</v>
      </c>
      <c r="W270">
        <v>140.4</v>
      </c>
      <c r="X270">
        <v>148.1</v>
      </c>
      <c r="Y270">
        <v>129.30000000000001</v>
      </c>
      <c r="Z270">
        <v>144.5</v>
      </c>
      <c r="AA270">
        <v>152.5</v>
      </c>
      <c r="AB270">
        <v>152.19999999999999</v>
      </c>
      <c r="AC270">
        <v>142</v>
      </c>
      <c r="AD270">
        <v>150.80000000000001</v>
      </c>
    </row>
    <row r="271" spans="1:30" x14ac:dyDescent="0.3">
      <c r="A271" t="s">
        <v>34</v>
      </c>
      <c r="B271">
        <v>2020</v>
      </c>
      <c r="C271" t="s">
        <v>40</v>
      </c>
      <c r="D271">
        <v>149.6</v>
      </c>
      <c r="E271">
        <v>192.7</v>
      </c>
      <c r="F271">
        <v>151.4</v>
      </c>
      <c r="G271">
        <v>153.30000000000001</v>
      </c>
      <c r="H271">
        <v>136.30000000000001</v>
      </c>
      <c r="I271">
        <v>147.19999999999999</v>
      </c>
      <c r="J271">
        <v>156.5</v>
      </c>
      <c r="K271">
        <v>150.9</v>
      </c>
      <c r="L271">
        <v>114.2</v>
      </c>
      <c r="M271">
        <v>159.5</v>
      </c>
      <c r="N271">
        <v>139.4</v>
      </c>
      <c r="O271">
        <v>161.80000000000001</v>
      </c>
      <c r="P271">
        <v>154</v>
      </c>
      <c r="Q271">
        <v>183.5</v>
      </c>
      <c r="R271">
        <v>152.5</v>
      </c>
      <c r="S271">
        <v>144.4</v>
      </c>
      <c r="T271">
        <v>151.4</v>
      </c>
      <c r="U271">
        <v>154.69999999999999</v>
      </c>
      <c r="V271">
        <v>141.9</v>
      </c>
      <c r="W271">
        <v>146.4</v>
      </c>
      <c r="X271">
        <v>154.4</v>
      </c>
      <c r="Y271">
        <v>135</v>
      </c>
      <c r="Z271">
        <v>148.30000000000001</v>
      </c>
      <c r="AA271">
        <v>156.4</v>
      </c>
      <c r="AB271">
        <v>151.6</v>
      </c>
      <c r="AC271">
        <v>147</v>
      </c>
      <c r="AD271">
        <v>151.80000000000001</v>
      </c>
    </row>
    <row r="272" spans="1:30" x14ac:dyDescent="0.3">
      <c r="A272" t="s">
        <v>30</v>
      </c>
      <c r="B272">
        <v>2020</v>
      </c>
      <c r="C272" t="s">
        <v>41</v>
      </c>
      <c r="D272">
        <v>147.6</v>
      </c>
      <c r="E272">
        <v>187.2</v>
      </c>
      <c r="F272">
        <v>148.4</v>
      </c>
      <c r="G272">
        <v>153.30000000000001</v>
      </c>
      <c r="H272">
        <v>139.80000000000001</v>
      </c>
      <c r="I272">
        <v>146.9</v>
      </c>
      <c r="J272">
        <v>171</v>
      </c>
      <c r="K272">
        <v>149.9</v>
      </c>
      <c r="L272">
        <v>114.2</v>
      </c>
      <c r="M272">
        <v>160</v>
      </c>
      <c r="N272">
        <v>143.5</v>
      </c>
      <c r="O272">
        <v>161.5</v>
      </c>
      <c r="P272">
        <v>155.30000000000001</v>
      </c>
      <c r="Q272">
        <v>180.9</v>
      </c>
      <c r="R272">
        <v>155.1</v>
      </c>
      <c r="S272">
        <v>149.30000000000001</v>
      </c>
      <c r="T272">
        <v>154.30000000000001</v>
      </c>
      <c r="U272" t="s">
        <v>32</v>
      </c>
      <c r="V272">
        <v>145.80000000000001</v>
      </c>
      <c r="W272">
        <v>151.9</v>
      </c>
      <c r="X272">
        <v>158.80000000000001</v>
      </c>
      <c r="Y272">
        <v>143.6</v>
      </c>
      <c r="Z272">
        <v>152.19999999999999</v>
      </c>
      <c r="AA272">
        <v>162.69999999999999</v>
      </c>
      <c r="AB272">
        <v>153.6</v>
      </c>
      <c r="AC272">
        <v>153</v>
      </c>
      <c r="AD272">
        <v>154.69999999999999</v>
      </c>
    </row>
    <row r="273" spans="1:30" x14ac:dyDescent="0.3">
      <c r="A273" t="s">
        <v>33</v>
      </c>
      <c r="B273">
        <v>2020</v>
      </c>
      <c r="C273" t="s">
        <v>41</v>
      </c>
      <c r="D273">
        <v>151.6</v>
      </c>
      <c r="E273">
        <v>197.8</v>
      </c>
      <c r="F273">
        <v>154.5</v>
      </c>
      <c r="G273">
        <v>153.4</v>
      </c>
      <c r="H273">
        <v>133.4</v>
      </c>
      <c r="I273">
        <v>154.5</v>
      </c>
      <c r="J273">
        <v>191.9</v>
      </c>
      <c r="K273">
        <v>151.30000000000001</v>
      </c>
      <c r="L273">
        <v>116.8</v>
      </c>
      <c r="M273">
        <v>160</v>
      </c>
      <c r="N273">
        <v>136.5</v>
      </c>
      <c r="O273">
        <v>163.30000000000001</v>
      </c>
      <c r="P273">
        <v>159.9</v>
      </c>
      <c r="Q273">
        <v>187.2</v>
      </c>
      <c r="R273">
        <v>150</v>
      </c>
      <c r="S273">
        <v>135.19999999999999</v>
      </c>
      <c r="T273">
        <v>147.80000000000001</v>
      </c>
      <c r="U273">
        <v>155.5</v>
      </c>
      <c r="V273">
        <v>138.30000000000001</v>
      </c>
      <c r="W273">
        <v>144.5</v>
      </c>
      <c r="X273">
        <v>148.69999999999999</v>
      </c>
      <c r="Y273">
        <v>133.9</v>
      </c>
      <c r="Z273">
        <v>141.19999999999999</v>
      </c>
      <c r="AA273">
        <v>155.5</v>
      </c>
      <c r="AB273">
        <v>155.19999999999999</v>
      </c>
      <c r="AC273">
        <v>144.80000000000001</v>
      </c>
      <c r="AD273">
        <v>152.9</v>
      </c>
    </row>
    <row r="274" spans="1:30" x14ac:dyDescent="0.3">
      <c r="A274" t="s">
        <v>34</v>
      </c>
      <c r="B274">
        <v>2020</v>
      </c>
      <c r="C274" t="s">
        <v>41</v>
      </c>
      <c r="D274">
        <v>148.9</v>
      </c>
      <c r="E274">
        <v>190.9</v>
      </c>
      <c r="F274">
        <v>150.80000000000001</v>
      </c>
      <c r="G274">
        <v>153.30000000000001</v>
      </c>
      <c r="H274">
        <v>137.4</v>
      </c>
      <c r="I274">
        <v>150.4</v>
      </c>
      <c r="J274">
        <v>178.1</v>
      </c>
      <c r="K274">
        <v>150.4</v>
      </c>
      <c r="L274">
        <v>115.1</v>
      </c>
      <c r="M274">
        <v>160</v>
      </c>
      <c r="N274">
        <v>140.6</v>
      </c>
      <c r="O274">
        <v>162.30000000000001</v>
      </c>
      <c r="P274">
        <v>157</v>
      </c>
      <c r="Q274">
        <v>182.6</v>
      </c>
      <c r="R274">
        <v>153.1</v>
      </c>
      <c r="S274">
        <v>143.4</v>
      </c>
      <c r="T274">
        <v>151.69999999999999</v>
      </c>
      <c r="U274">
        <v>155.5</v>
      </c>
      <c r="V274">
        <v>143</v>
      </c>
      <c r="W274">
        <v>148.4</v>
      </c>
      <c r="X274">
        <v>155</v>
      </c>
      <c r="Y274">
        <v>138.5</v>
      </c>
      <c r="Z274">
        <v>146</v>
      </c>
      <c r="AA274">
        <v>158.5</v>
      </c>
      <c r="AB274">
        <v>154.30000000000001</v>
      </c>
      <c r="AC274">
        <v>149</v>
      </c>
      <c r="AD274">
        <v>153.9</v>
      </c>
    </row>
    <row r="275" spans="1:30" x14ac:dyDescent="0.3">
      <c r="A275" t="s">
        <v>30</v>
      </c>
      <c r="B275">
        <v>2020</v>
      </c>
      <c r="C275" t="s">
        <v>42</v>
      </c>
      <c r="D275">
        <v>146.9</v>
      </c>
      <c r="E275">
        <v>183.9</v>
      </c>
      <c r="F275">
        <v>149.5</v>
      </c>
      <c r="G275">
        <v>153.4</v>
      </c>
      <c r="H275">
        <v>140.4</v>
      </c>
      <c r="I275">
        <v>147</v>
      </c>
      <c r="J275">
        <v>178.8</v>
      </c>
      <c r="K275">
        <v>149.30000000000001</v>
      </c>
      <c r="L275">
        <v>115.1</v>
      </c>
      <c r="M275">
        <v>160</v>
      </c>
      <c r="N275">
        <v>145.4</v>
      </c>
      <c r="O275">
        <v>161.6</v>
      </c>
      <c r="P275">
        <v>156.1</v>
      </c>
      <c r="Q275">
        <v>182.9</v>
      </c>
      <c r="R275">
        <v>155.4</v>
      </c>
      <c r="S275">
        <v>149.9</v>
      </c>
      <c r="T275">
        <v>154.6</v>
      </c>
      <c r="U275" t="s">
        <v>32</v>
      </c>
      <c r="V275">
        <v>146.4</v>
      </c>
      <c r="W275">
        <v>151.6</v>
      </c>
      <c r="X275">
        <v>159.1</v>
      </c>
      <c r="Y275">
        <v>144.6</v>
      </c>
      <c r="Z275">
        <v>152.80000000000001</v>
      </c>
      <c r="AA275">
        <v>161.1</v>
      </c>
      <c r="AB275">
        <v>157.4</v>
      </c>
      <c r="AC275">
        <v>153.69999999999999</v>
      </c>
      <c r="AD275">
        <v>155.4</v>
      </c>
    </row>
    <row r="276" spans="1:30" x14ac:dyDescent="0.3">
      <c r="A276" t="s">
        <v>33</v>
      </c>
      <c r="B276">
        <v>2020</v>
      </c>
      <c r="C276" t="s">
        <v>42</v>
      </c>
      <c r="D276">
        <v>151.5</v>
      </c>
      <c r="E276">
        <v>193.1</v>
      </c>
      <c r="F276">
        <v>157.30000000000001</v>
      </c>
      <c r="G276">
        <v>153.9</v>
      </c>
      <c r="H276">
        <v>134.4</v>
      </c>
      <c r="I276">
        <v>155.4</v>
      </c>
      <c r="J276">
        <v>202</v>
      </c>
      <c r="K276">
        <v>150.80000000000001</v>
      </c>
      <c r="L276">
        <v>118.9</v>
      </c>
      <c r="M276">
        <v>160.9</v>
      </c>
      <c r="N276">
        <v>137.69999999999999</v>
      </c>
      <c r="O276">
        <v>164.4</v>
      </c>
      <c r="P276">
        <v>161.30000000000001</v>
      </c>
      <c r="Q276">
        <v>188.7</v>
      </c>
      <c r="R276">
        <v>150.19999999999999</v>
      </c>
      <c r="S276">
        <v>136.30000000000001</v>
      </c>
      <c r="T276">
        <v>148.1</v>
      </c>
      <c r="U276">
        <v>156.30000000000001</v>
      </c>
      <c r="V276">
        <v>137.19999999999999</v>
      </c>
      <c r="W276">
        <v>145.4</v>
      </c>
      <c r="X276">
        <v>150</v>
      </c>
      <c r="Y276">
        <v>135.1</v>
      </c>
      <c r="Z276">
        <v>141.80000000000001</v>
      </c>
      <c r="AA276">
        <v>154.9</v>
      </c>
      <c r="AB276">
        <v>159.80000000000001</v>
      </c>
      <c r="AC276">
        <v>146</v>
      </c>
      <c r="AD276">
        <v>154</v>
      </c>
    </row>
    <row r="277" spans="1:30" x14ac:dyDescent="0.3">
      <c r="A277" t="s">
        <v>34</v>
      </c>
      <c r="B277">
        <v>2020</v>
      </c>
      <c r="C277" t="s">
        <v>42</v>
      </c>
      <c r="D277">
        <v>148.4</v>
      </c>
      <c r="E277">
        <v>187.1</v>
      </c>
      <c r="F277">
        <v>152.5</v>
      </c>
      <c r="G277">
        <v>153.6</v>
      </c>
      <c r="H277">
        <v>138.19999999999999</v>
      </c>
      <c r="I277">
        <v>150.9</v>
      </c>
      <c r="J277">
        <v>186.7</v>
      </c>
      <c r="K277">
        <v>149.80000000000001</v>
      </c>
      <c r="L277">
        <v>116.4</v>
      </c>
      <c r="M277">
        <v>160.30000000000001</v>
      </c>
      <c r="N277">
        <v>142.19999999999999</v>
      </c>
      <c r="O277">
        <v>162.9</v>
      </c>
      <c r="P277">
        <v>158</v>
      </c>
      <c r="Q277">
        <v>184.4</v>
      </c>
      <c r="R277">
        <v>153.4</v>
      </c>
      <c r="S277">
        <v>144.30000000000001</v>
      </c>
      <c r="T277">
        <v>152</v>
      </c>
      <c r="U277">
        <v>156.30000000000001</v>
      </c>
      <c r="V277">
        <v>142.9</v>
      </c>
      <c r="W277">
        <v>148.69999999999999</v>
      </c>
      <c r="X277">
        <v>155.6</v>
      </c>
      <c r="Y277">
        <v>139.6</v>
      </c>
      <c r="Z277">
        <v>146.6</v>
      </c>
      <c r="AA277">
        <v>157.5</v>
      </c>
      <c r="AB277">
        <v>158.4</v>
      </c>
      <c r="AC277">
        <v>150</v>
      </c>
      <c r="AD277">
        <v>154.69999999999999</v>
      </c>
    </row>
    <row r="278" spans="1:30" x14ac:dyDescent="0.3">
      <c r="A278" t="s">
        <v>30</v>
      </c>
      <c r="B278">
        <v>2020</v>
      </c>
      <c r="C278" t="s">
        <v>43</v>
      </c>
      <c r="D278">
        <v>146</v>
      </c>
      <c r="E278">
        <v>186.3</v>
      </c>
      <c r="F278">
        <v>159.19999999999999</v>
      </c>
      <c r="G278">
        <v>153.6</v>
      </c>
      <c r="H278">
        <v>142.6</v>
      </c>
      <c r="I278">
        <v>147.19999999999999</v>
      </c>
      <c r="J278">
        <v>200.6</v>
      </c>
      <c r="K278">
        <v>150.30000000000001</v>
      </c>
      <c r="L278">
        <v>115.3</v>
      </c>
      <c r="M278">
        <v>160.9</v>
      </c>
      <c r="N278">
        <v>147.4</v>
      </c>
      <c r="O278">
        <v>161.9</v>
      </c>
      <c r="P278">
        <v>159.6</v>
      </c>
      <c r="Q278">
        <v>182.7</v>
      </c>
      <c r="R278">
        <v>155.69999999999999</v>
      </c>
      <c r="S278">
        <v>150.6</v>
      </c>
      <c r="T278">
        <v>155</v>
      </c>
      <c r="U278" t="s">
        <v>32</v>
      </c>
      <c r="V278">
        <v>146.80000000000001</v>
      </c>
      <c r="W278">
        <v>152</v>
      </c>
      <c r="X278">
        <v>159.5</v>
      </c>
      <c r="Y278">
        <v>146.4</v>
      </c>
      <c r="Z278">
        <v>152.4</v>
      </c>
      <c r="AA278">
        <v>162.5</v>
      </c>
      <c r="AB278">
        <v>156.19999999999999</v>
      </c>
      <c r="AC278">
        <v>154.30000000000001</v>
      </c>
      <c r="AD278">
        <v>157.5</v>
      </c>
    </row>
    <row r="279" spans="1:30" x14ac:dyDescent="0.3">
      <c r="A279" t="s">
        <v>33</v>
      </c>
      <c r="B279">
        <v>2020</v>
      </c>
      <c r="C279" t="s">
        <v>43</v>
      </c>
      <c r="D279">
        <v>150.6</v>
      </c>
      <c r="E279">
        <v>193.7</v>
      </c>
      <c r="F279">
        <v>164.8</v>
      </c>
      <c r="G279">
        <v>153.69999999999999</v>
      </c>
      <c r="H279">
        <v>135.69999999999999</v>
      </c>
      <c r="I279">
        <v>155.69999999999999</v>
      </c>
      <c r="J279">
        <v>226</v>
      </c>
      <c r="K279">
        <v>152.19999999999999</v>
      </c>
      <c r="L279">
        <v>118.1</v>
      </c>
      <c r="M279">
        <v>161.30000000000001</v>
      </c>
      <c r="N279">
        <v>139.19999999999999</v>
      </c>
      <c r="O279">
        <v>164.8</v>
      </c>
      <c r="P279">
        <v>164.4</v>
      </c>
      <c r="Q279">
        <v>188.7</v>
      </c>
      <c r="R279">
        <v>150.5</v>
      </c>
      <c r="S279">
        <v>136.1</v>
      </c>
      <c r="T279">
        <v>148.30000000000001</v>
      </c>
      <c r="U279">
        <v>156.5</v>
      </c>
      <c r="V279">
        <v>137.1</v>
      </c>
      <c r="W279">
        <v>145.1</v>
      </c>
      <c r="X279">
        <v>151</v>
      </c>
      <c r="Y279">
        <v>135.4</v>
      </c>
      <c r="Z279">
        <v>142</v>
      </c>
      <c r="AA279">
        <v>155.69999999999999</v>
      </c>
      <c r="AB279">
        <v>158.1</v>
      </c>
      <c r="AC279">
        <v>146.19999999999999</v>
      </c>
      <c r="AD279">
        <v>155.19999999999999</v>
      </c>
    </row>
    <row r="280" spans="1:30" x14ac:dyDescent="0.3">
      <c r="A280" t="s">
        <v>34</v>
      </c>
      <c r="B280">
        <v>2020</v>
      </c>
      <c r="C280" t="s">
        <v>43</v>
      </c>
      <c r="D280">
        <v>147.5</v>
      </c>
      <c r="E280">
        <v>188.9</v>
      </c>
      <c r="F280">
        <v>161.4</v>
      </c>
      <c r="G280">
        <v>153.6</v>
      </c>
      <c r="H280">
        <v>140.1</v>
      </c>
      <c r="I280">
        <v>151.19999999999999</v>
      </c>
      <c r="J280">
        <v>209.2</v>
      </c>
      <c r="K280">
        <v>150.9</v>
      </c>
      <c r="L280">
        <v>116.2</v>
      </c>
      <c r="M280">
        <v>161</v>
      </c>
      <c r="N280">
        <v>144</v>
      </c>
      <c r="O280">
        <v>163.19999999999999</v>
      </c>
      <c r="P280">
        <v>161.4</v>
      </c>
      <c r="Q280">
        <v>184.3</v>
      </c>
      <c r="R280">
        <v>153.69999999999999</v>
      </c>
      <c r="S280">
        <v>144.6</v>
      </c>
      <c r="T280">
        <v>152.30000000000001</v>
      </c>
      <c r="U280">
        <v>156.5</v>
      </c>
      <c r="V280">
        <v>143.1</v>
      </c>
      <c r="W280">
        <v>148.69999999999999</v>
      </c>
      <c r="X280">
        <v>156.30000000000001</v>
      </c>
      <c r="Y280">
        <v>140.6</v>
      </c>
      <c r="Z280">
        <v>146.5</v>
      </c>
      <c r="AA280">
        <v>158.5</v>
      </c>
      <c r="AB280">
        <v>157</v>
      </c>
      <c r="AC280">
        <v>150.4</v>
      </c>
      <c r="AD280">
        <v>156.4</v>
      </c>
    </row>
    <row r="281" spans="1:30" x14ac:dyDescent="0.3">
      <c r="A281" t="s">
        <v>30</v>
      </c>
      <c r="B281">
        <v>2020</v>
      </c>
      <c r="C281" t="s">
        <v>45</v>
      </c>
      <c r="D281">
        <v>145.4</v>
      </c>
      <c r="E281">
        <v>188.6</v>
      </c>
      <c r="F281">
        <v>171.6</v>
      </c>
      <c r="G281">
        <v>153.80000000000001</v>
      </c>
      <c r="H281">
        <v>145.4</v>
      </c>
      <c r="I281">
        <v>146.5</v>
      </c>
      <c r="J281">
        <v>222.2</v>
      </c>
      <c r="K281">
        <v>155.9</v>
      </c>
      <c r="L281">
        <v>114.9</v>
      </c>
      <c r="M281">
        <v>162</v>
      </c>
      <c r="N281">
        <v>150</v>
      </c>
      <c r="O281">
        <v>162.69999999999999</v>
      </c>
      <c r="P281">
        <v>163.4</v>
      </c>
      <c r="Q281">
        <v>183.4</v>
      </c>
      <c r="R281">
        <v>156.30000000000001</v>
      </c>
      <c r="S281">
        <v>151</v>
      </c>
      <c r="T281">
        <v>155.5</v>
      </c>
      <c r="U281" t="s">
        <v>32</v>
      </c>
      <c r="V281">
        <v>147.5</v>
      </c>
      <c r="W281">
        <v>152.80000000000001</v>
      </c>
      <c r="X281">
        <v>160.4</v>
      </c>
      <c r="Y281">
        <v>146.1</v>
      </c>
      <c r="Z281">
        <v>153.6</v>
      </c>
      <c r="AA281">
        <v>161.6</v>
      </c>
      <c r="AB281">
        <v>156.19999999999999</v>
      </c>
      <c r="AC281">
        <v>154.5</v>
      </c>
      <c r="AD281">
        <v>159.80000000000001</v>
      </c>
    </row>
    <row r="282" spans="1:30" x14ac:dyDescent="0.3">
      <c r="A282" t="s">
        <v>33</v>
      </c>
      <c r="B282">
        <v>2020</v>
      </c>
      <c r="C282" t="s">
        <v>45</v>
      </c>
      <c r="D282">
        <v>149.69999999999999</v>
      </c>
      <c r="E282">
        <v>195.5</v>
      </c>
      <c r="F282">
        <v>176.9</v>
      </c>
      <c r="G282">
        <v>153.9</v>
      </c>
      <c r="H282">
        <v>138</v>
      </c>
      <c r="I282">
        <v>150.5</v>
      </c>
      <c r="J282">
        <v>245.3</v>
      </c>
      <c r="K282">
        <v>158.69999999999999</v>
      </c>
      <c r="L282">
        <v>117.2</v>
      </c>
      <c r="M282">
        <v>161.4</v>
      </c>
      <c r="N282">
        <v>141.5</v>
      </c>
      <c r="O282">
        <v>165.1</v>
      </c>
      <c r="P282">
        <v>167</v>
      </c>
      <c r="Q282">
        <v>188.8</v>
      </c>
      <c r="R282">
        <v>151.1</v>
      </c>
      <c r="S282">
        <v>136.4</v>
      </c>
      <c r="T282">
        <v>148.80000000000001</v>
      </c>
      <c r="U282">
        <v>158</v>
      </c>
      <c r="V282">
        <v>137.30000000000001</v>
      </c>
      <c r="W282">
        <v>145.1</v>
      </c>
      <c r="X282">
        <v>152</v>
      </c>
      <c r="Y282">
        <v>135.19999999999999</v>
      </c>
      <c r="Z282">
        <v>144.4</v>
      </c>
      <c r="AA282">
        <v>156.4</v>
      </c>
      <c r="AB282">
        <v>157.9</v>
      </c>
      <c r="AC282">
        <v>146.6</v>
      </c>
      <c r="AD282">
        <v>156.69999999999999</v>
      </c>
    </row>
    <row r="283" spans="1:30" x14ac:dyDescent="0.3">
      <c r="A283" t="s">
        <v>34</v>
      </c>
      <c r="B283">
        <v>2020</v>
      </c>
      <c r="C283" t="s">
        <v>45</v>
      </c>
      <c r="D283">
        <v>146.80000000000001</v>
      </c>
      <c r="E283">
        <v>191</v>
      </c>
      <c r="F283">
        <v>173.6</v>
      </c>
      <c r="G283">
        <v>153.80000000000001</v>
      </c>
      <c r="H283">
        <v>142.69999999999999</v>
      </c>
      <c r="I283">
        <v>148.4</v>
      </c>
      <c r="J283">
        <v>230</v>
      </c>
      <c r="K283">
        <v>156.80000000000001</v>
      </c>
      <c r="L283">
        <v>115.7</v>
      </c>
      <c r="M283">
        <v>161.80000000000001</v>
      </c>
      <c r="N283">
        <v>146.5</v>
      </c>
      <c r="O283">
        <v>163.80000000000001</v>
      </c>
      <c r="P283">
        <v>164.7</v>
      </c>
      <c r="Q283">
        <v>184.8</v>
      </c>
      <c r="R283">
        <v>154.30000000000001</v>
      </c>
      <c r="S283">
        <v>144.9</v>
      </c>
      <c r="T283">
        <v>152.80000000000001</v>
      </c>
      <c r="U283">
        <v>158</v>
      </c>
      <c r="V283">
        <v>143.6</v>
      </c>
      <c r="W283">
        <v>149.19999999999999</v>
      </c>
      <c r="X283">
        <v>157.19999999999999</v>
      </c>
      <c r="Y283">
        <v>140.4</v>
      </c>
      <c r="Z283">
        <v>148.4</v>
      </c>
      <c r="AA283">
        <v>158.6</v>
      </c>
      <c r="AB283">
        <v>156.9</v>
      </c>
      <c r="AC283">
        <v>150.69999999999999</v>
      </c>
      <c r="AD283">
        <v>158.4</v>
      </c>
    </row>
    <row r="284" spans="1:30" x14ac:dyDescent="0.3">
      <c r="A284" t="s">
        <v>30</v>
      </c>
      <c r="B284">
        <v>2020</v>
      </c>
      <c r="C284" t="s">
        <v>46</v>
      </c>
      <c r="D284">
        <v>144.6</v>
      </c>
      <c r="E284">
        <v>188.5</v>
      </c>
      <c r="F284">
        <v>173.4</v>
      </c>
      <c r="G284">
        <v>154</v>
      </c>
      <c r="H284">
        <v>150</v>
      </c>
      <c r="I284">
        <v>145.9</v>
      </c>
      <c r="J284">
        <v>225.2</v>
      </c>
      <c r="K284">
        <v>159.5</v>
      </c>
      <c r="L284">
        <v>114.4</v>
      </c>
      <c r="M284">
        <v>163.5</v>
      </c>
      <c r="N284">
        <v>153.4</v>
      </c>
      <c r="O284">
        <v>163.6</v>
      </c>
      <c r="P284">
        <v>164.5</v>
      </c>
      <c r="Q284">
        <v>183.6</v>
      </c>
      <c r="R284">
        <v>157</v>
      </c>
      <c r="S284">
        <v>151.6</v>
      </c>
      <c r="T284">
        <v>156.30000000000001</v>
      </c>
      <c r="U284" t="s">
        <v>32</v>
      </c>
      <c r="V284">
        <v>148.69999999999999</v>
      </c>
      <c r="W284">
        <v>153.4</v>
      </c>
      <c r="X284">
        <v>161.6</v>
      </c>
      <c r="Y284">
        <v>146.4</v>
      </c>
      <c r="Z284">
        <v>153.9</v>
      </c>
      <c r="AA284">
        <v>162.9</v>
      </c>
      <c r="AB284">
        <v>156.6</v>
      </c>
      <c r="AC284">
        <v>155.19999999999999</v>
      </c>
      <c r="AD284">
        <v>160.69999999999999</v>
      </c>
    </row>
    <row r="285" spans="1:30" x14ac:dyDescent="0.3">
      <c r="A285" t="s">
        <v>33</v>
      </c>
      <c r="B285">
        <v>2020</v>
      </c>
      <c r="C285" t="s">
        <v>46</v>
      </c>
      <c r="D285">
        <v>149</v>
      </c>
      <c r="E285">
        <v>195.7</v>
      </c>
      <c r="F285">
        <v>178.3</v>
      </c>
      <c r="G285">
        <v>154.19999999999999</v>
      </c>
      <c r="H285">
        <v>140.69999999999999</v>
      </c>
      <c r="I285">
        <v>149.69999999999999</v>
      </c>
      <c r="J285">
        <v>240.9</v>
      </c>
      <c r="K285">
        <v>161.5</v>
      </c>
      <c r="L285">
        <v>117.1</v>
      </c>
      <c r="M285">
        <v>161.9</v>
      </c>
      <c r="N285">
        <v>143.30000000000001</v>
      </c>
      <c r="O285">
        <v>166.1</v>
      </c>
      <c r="P285">
        <v>167</v>
      </c>
      <c r="Q285">
        <v>190.2</v>
      </c>
      <c r="R285">
        <v>151.9</v>
      </c>
      <c r="S285">
        <v>136.69999999999999</v>
      </c>
      <c r="T285">
        <v>149.6</v>
      </c>
      <c r="U285">
        <v>158.4</v>
      </c>
      <c r="V285">
        <v>137.9</v>
      </c>
      <c r="W285">
        <v>145.5</v>
      </c>
      <c r="X285">
        <v>152.9</v>
      </c>
      <c r="Y285">
        <v>135.5</v>
      </c>
      <c r="Z285">
        <v>144.30000000000001</v>
      </c>
      <c r="AA285">
        <v>156.9</v>
      </c>
      <c r="AB285">
        <v>157.9</v>
      </c>
      <c r="AC285">
        <v>146.9</v>
      </c>
      <c r="AD285">
        <v>156.9</v>
      </c>
    </row>
    <row r="286" spans="1:30" x14ac:dyDescent="0.3">
      <c r="A286" t="s">
        <v>34</v>
      </c>
      <c r="B286">
        <v>2020</v>
      </c>
      <c r="C286" t="s">
        <v>46</v>
      </c>
      <c r="D286">
        <v>146</v>
      </c>
      <c r="E286">
        <v>191</v>
      </c>
      <c r="F286">
        <v>175.3</v>
      </c>
      <c r="G286">
        <v>154.1</v>
      </c>
      <c r="H286">
        <v>146.6</v>
      </c>
      <c r="I286">
        <v>147.69999999999999</v>
      </c>
      <c r="J286">
        <v>230.5</v>
      </c>
      <c r="K286">
        <v>160.19999999999999</v>
      </c>
      <c r="L286">
        <v>115.3</v>
      </c>
      <c r="M286">
        <v>163</v>
      </c>
      <c r="N286">
        <v>149.19999999999999</v>
      </c>
      <c r="O286">
        <v>164.8</v>
      </c>
      <c r="P286">
        <v>165.4</v>
      </c>
      <c r="Q286">
        <v>185.4</v>
      </c>
      <c r="R286">
        <v>155</v>
      </c>
      <c r="S286">
        <v>145.4</v>
      </c>
      <c r="T286">
        <v>153.6</v>
      </c>
      <c r="U286">
        <v>158.4</v>
      </c>
      <c r="V286">
        <v>144.6</v>
      </c>
      <c r="W286">
        <v>149.69999999999999</v>
      </c>
      <c r="X286">
        <v>158.30000000000001</v>
      </c>
      <c r="Y286">
        <v>140.69999999999999</v>
      </c>
      <c r="Z286">
        <v>148.5</v>
      </c>
      <c r="AA286">
        <v>159.4</v>
      </c>
      <c r="AB286">
        <v>157.1</v>
      </c>
      <c r="AC286">
        <v>151.19999999999999</v>
      </c>
      <c r="AD286">
        <v>158.9</v>
      </c>
    </row>
    <row r="287" spans="1:30" x14ac:dyDescent="0.3">
      <c r="A287" t="s">
        <v>30</v>
      </c>
      <c r="B287">
        <v>2021</v>
      </c>
      <c r="C287" t="s">
        <v>31</v>
      </c>
      <c r="D287">
        <v>143.4</v>
      </c>
      <c r="E287">
        <v>187.5</v>
      </c>
      <c r="F287">
        <v>173.4</v>
      </c>
      <c r="G287">
        <v>154</v>
      </c>
      <c r="H287">
        <v>154.80000000000001</v>
      </c>
      <c r="I287">
        <v>147</v>
      </c>
      <c r="J287">
        <v>187.8</v>
      </c>
      <c r="K287">
        <v>159.5</v>
      </c>
      <c r="L287">
        <v>113.8</v>
      </c>
      <c r="M287">
        <v>164.5</v>
      </c>
      <c r="N287">
        <v>156.1</v>
      </c>
      <c r="O287">
        <v>164.3</v>
      </c>
      <c r="P287">
        <v>159.6</v>
      </c>
      <c r="Q287">
        <v>184.6</v>
      </c>
      <c r="R287">
        <v>157.5</v>
      </c>
      <c r="S287">
        <v>152.4</v>
      </c>
      <c r="T287">
        <v>156.80000000000001</v>
      </c>
      <c r="U287" t="s">
        <v>32</v>
      </c>
      <c r="V287">
        <v>150.9</v>
      </c>
      <c r="W287">
        <v>153.9</v>
      </c>
      <c r="X287">
        <v>162.5</v>
      </c>
      <c r="Y287">
        <v>147.5</v>
      </c>
      <c r="Z287">
        <v>155.1</v>
      </c>
      <c r="AA287">
        <v>163.5</v>
      </c>
      <c r="AB287">
        <v>156.19999999999999</v>
      </c>
      <c r="AC287">
        <v>155.9</v>
      </c>
      <c r="AD287">
        <v>158.5</v>
      </c>
    </row>
    <row r="288" spans="1:30" x14ac:dyDescent="0.3">
      <c r="A288" t="s">
        <v>33</v>
      </c>
      <c r="B288">
        <v>2021</v>
      </c>
      <c r="C288" t="s">
        <v>31</v>
      </c>
      <c r="D288">
        <v>148</v>
      </c>
      <c r="E288">
        <v>194.8</v>
      </c>
      <c r="F288">
        <v>178.4</v>
      </c>
      <c r="G288">
        <v>154.4</v>
      </c>
      <c r="H288">
        <v>144.1</v>
      </c>
      <c r="I288">
        <v>152.6</v>
      </c>
      <c r="J288">
        <v>206.8</v>
      </c>
      <c r="K288">
        <v>162.1</v>
      </c>
      <c r="L288">
        <v>116.3</v>
      </c>
      <c r="M288">
        <v>163</v>
      </c>
      <c r="N288">
        <v>145.9</v>
      </c>
      <c r="O288">
        <v>167.2</v>
      </c>
      <c r="P288">
        <v>163.4</v>
      </c>
      <c r="Q288">
        <v>191.8</v>
      </c>
      <c r="R288">
        <v>152.5</v>
      </c>
      <c r="S288">
        <v>137.30000000000001</v>
      </c>
      <c r="T288">
        <v>150.19999999999999</v>
      </c>
      <c r="U288">
        <v>157.69999999999999</v>
      </c>
      <c r="V288">
        <v>142.9</v>
      </c>
      <c r="W288">
        <v>145.69999999999999</v>
      </c>
      <c r="X288">
        <v>154.1</v>
      </c>
      <c r="Y288">
        <v>136.9</v>
      </c>
      <c r="Z288">
        <v>145.4</v>
      </c>
      <c r="AA288">
        <v>156.1</v>
      </c>
      <c r="AB288">
        <v>157.69999999999999</v>
      </c>
      <c r="AC288">
        <v>147.6</v>
      </c>
      <c r="AD288">
        <v>156</v>
      </c>
    </row>
    <row r="289" spans="1:30" x14ac:dyDescent="0.3">
      <c r="A289" t="s">
        <v>34</v>
      </c>
      <c r="B289">
        <v>2021</v>
      </c>
      <c r="C289" t="s">
        <v>31</v>
      </c>
      <c r="D289">
        <v>144.9</v>
      </c>
      <c r="E289">
        <v>190.1</v>
      </c>
      <c r="F289">
        <v>175.3</v>
      </c>
      <c r="G289">
        <v>154.1</v>
      </c>
      <c r="H289">
        <v>150.9</v>
      </c>
      <c r="I289">
        <v>149.6</v>
      </c>
      <c r="J289">
        <v>194.2</v>
      </c>
      <c r="K289">
        <v>160.4</v>
      </c>
      <c r="L289">
        <v>114.6</v>
      </c>
      <c r="M289">
        <v>164</v>
      </c>
      <c r="N289">
        <v>151.80000000000001</v>
      </c>
      <c r="O289">
        <v>165.6</v>
      </c>
      <c r="P289">
        <v>161</v>
      </c>
      <c r="Q289">
        <v>186.5</v>
      </c>
      <c r="R289">
        <v>155.5</v>
      </c>
      <c r="S289">
        <v>146.1</v>
      </c>
      <c r="T289">
        <v>154.19999999999999</v>
      </c>
      <c r="U289">
        <v>157.69999999999999</v>
      </c>
      <c r="V289">
        <v>147.9</v>
      </c>
      <c r="W289">
        <v>150</v>
      </c>
      <c r="X289">
        <v>159.30000000000001</v>
      </c>
      <c r="Y289">
        <v>141.9</v>
      </c>
      <c r="Z289">
        <v>149.6</v>
      </c>
      <c r="AA289">
        <v>159.19999999999999</v>
      </c>
      <c r="AB289">
        <v>156.80000000000001</v>
      </c>
      <c r="AC289">
        <v>151.9</v>
      </c>
      <c r="AD289">
        <v>157.30000000000001</v>
      </c>
    </row>
    <row r="290" spans="1:30" x14ac:dyDescent="0.3">
      <c r="A290" t="s">
        <v>30</v>
      </c>
      <c r="B290">
        <v>2021</v>
      </c>
      <c r="C290" t="s">
        <v>35</v>
      </c>
      <c r="D290">
        <v>142.80000000000001</v>
      </c>
      <c r="E290">
        <v>184</v>
      </c>
      <c r="F290">
        <v>168</v>
      </c>
      <c r="G290">
        <v>154.4</v>
      </c>
      <c r="H290">
        <v>163</v>
      </c>
      <c r="I290">
        <v>147.80000000000001</v>
      </c>
      <c r="J290">
        <v>149.69999999999999</v>
      </c>
      <c r="K290">
        <v>158.30000000000001</v>
      </c>
      <c r="L290">
        <v>111.8</v>
      </c>
      <c r="M290">
        <v>165</v>
      </c>
      <c r="N290">
        <v>160</v>
      </c>
      <c r="O290">
        <v>165.8</v>
      </c>
      <c r="P290">
        <v>154.69999999999999</v>
      </c>
      <c r="Q290">
        <v>186.5</v>
      </c>
      <c r="R290">
        <v>159.1</v>
      </c>
      <c r="S290">
        <v>153.9</v>
      </c>
      <c r="T290">
        <v>158.4</v>
      </c>
      <c r="U290" t="s">
        <v>32</v>
      </c>
      <c r="V290">
        <v>154.4</v>
      </c>
      <c r="W290">
        <v>154.80000000000001</v>
      </c>
      <c r="X290">
        <v>164.3</v>
      </c>
      <c r="Y290">
        <v>150.19999999999999</v>
      </c>
      <c r="Z290">
        <v>157</v>
      </c>
      <c r="AA290">
        <v>163.6</v>
      </c>
      <c r="AB290">
        <v>155.19999999999999</v>
      </c>
      <c r="AC290">
        <v>157.19999999999999</v>
      </c>
      <c r="AD290">
        <v>156.69999999999999</v>
      </c>
    </row>
    <row r="291" spans="1:30" x14ac:dyDescent="0.3">
      <c r="A291" t="s">
        <v>33</v>
      </c>
      <c r="B291">
        <v>2021</v>
      </c>
      <c r="C291" t="s">
        <v>35</v>
      </c>
      <c r="D291">
        <v>147.6</v>
      </c>
      <c r="E291">
        <v>191.2</v>
      </c>
      <c r="F291">
        <v>169.9</v>
      </c>
      <c r="G291">
        <v>155.1</v>
      </c>
      <c r="H291">
        <v>151.4</v>
      </c>
      <c r="I291">
        <v>154</v>
      </c>
      <c r="J291">
        <v>180.2</v>
      </c>
      <c r="K291">
        <v>159.80000000000001</v>
      </c>
      <c r="L291">
        <v>114.9</v>
      </c>
      <c r="M291">
        <v>162.5</v>
      </c>
      <c r="N291">
        <v>149.19999999999999</v>
      </c>
      <c r="O291">
        <v>169.4</v>
      </c>
      <c r="P291">
        <v>160.80000000000001</v>
      </c>
      <c r="Q291">
        <v>193.3</v>
      </c>
      <c r="R291">
        <v>154.19999999999999</v>
      </c>
      <c r="S291">
        <v>138.19999999999999</v>
      </c>
      <c r="T291">
        <v>151.80000000000001</v>
      </c>
      <c r="U291">
        <v>159.80000000000001</v>
      </c>
      <c r="V291">
        <v>149.1</v>
      </c>
      <c r="W291">
        <v>146.5</v>
      </c>
      <c r="X291">
        <v>156.30000000000001</v>
      </c>
      <c r="Y291">
        <v>140.5</v>
      </c>
      <c r="Z291">
        <v>147.30000000000001</v>
      </c>
      <c r="AA291">
        <v>156.6</v>
      </c>
      <c r="AB291">
        <v>156.69999999999999</v>
      </c>
      <c r="AC291">
        <v>149.30000000000001</v>
      </c>
      <c r="AD291">
        <v>156.5</v>
      </c>
    </row>
    <row r="292" spans="1:30" x14ac:dyDescent="0.3">
      <c r="A292" t="s">
        <v>34</v>
      </c>
      <c r="B292">
        <v>2021</v>
      </c>
      <c r="C292" t="s">
        <v>35</v>
      </c>
      <c r="D292">
        <v>144.30000000000001</v>
      </c>
      <c r="E292">
        <v>186.5</v>
      </c>
      <c r="F292">
        <v>168.7</v>
      </c>
      <c r="G292">
        <v>154.69999999999999</v>
      </c>
      <c r="H292">
        <v>158.69999999999999</v>
      </c>
      <c r="I292">
        <v>150.69999999999999</v>
      </c>
      <c r="J292">
        <v>160</v>
      </c>
      <c r="K292">
        <v>158.80000000000001</v>
      </c>
      <c r="L292">
        <v>112.8</v>
      </c>
      <c r="M292">
        <v>164.2</v>
      </c>
      <c r="N292">
        <v>155.5</v>
      </c>
      <c r="O292">
        <v>167.5</v>
      </c>
      <c r="P292">
        <v>156.9</v>
      </c>
      <c r="Q292">
        <v>188.3</v>
      </c>
      <c r="R292">
        <v>157.19999999999999</v>
      </c>
      <c r="S292">
        <v>147.4</v>
      </c>
      <c r="T292">
        <v>155.80000000000001</v>
      </c>
      <c r="U292">
        <v>159.80000000000001</v>
      </c>
      <c r="V292">
        <v>152.4</v>
      </c>
      <c r="W292">
        <v>150.9</v>
      </c>
      <c r="X292">
        <v>161.30000000000001</v>
      </c>
      <c r="Y292">
        <v>145.1</v>
      </c>
      <c r="Z292">
        <v>151.5</v>
      </c>
      <c r="AA292">
        <v>159.5</v>
      </c>
      <c r="AB292">
        <v>155.80000000000001</v>
      </c>
      <c r="AC292">
        <v>153.4</v>
      </c>
      <c r="AD292">
        <v>156.6</v>
      </c>
    </row>
    <row r="293" spans="1:30" x14ac:dyDescent="0.3">
      <c r="A293" t="s">
        <v>30</v>
      </c>
      <c r="B293">
        <v>2021</v>
      </c>
      <c r="C293" t="s">
        <v>36</v>
      </c>
      <c r="D293">
        <v>142.5</v>
      </c>
      <c r="E293">
        <v>189.4</v>
      </c>
      <c r="F293">
        <v>163.19999999999999</v>
      </c>
      <c r="G293">
        <v>154.5</v>
      </c>
      <c r="H293">
        <v>168.2</v>
      </c>
      <c r="I293">
        <v>150.5</v>
      </c>
      <c r="J293">
        <v>141</v>
      </c>
      <c r="K293">
        <v>159.19999999999999</v>
      </c>
      <c r="L293">
        <v>111.7</v>
      </c>
      <c r="M293">
        <v>164</v>
      </c>
      <c r="N293">
        <v>160.6</v>
      </c>
      <c r="O293">
        <v>166.4</v>
      </c>
      <c r="P293">
        <v>154.5</v>
      </c>
      <c r="Q293">
        <v>186.1</v>
      </c>
      <c r="R293">
        <v>159.6</v>
      </c>
      <c r="S293">
        <v>154.4</v>
      </c>
      <c r="T293">
        <v>158.9</v>
      </c>
      <c r="U293" t="s">
        <v>48</v>
      </c>
      <c r="V293">
        <v>156</v>
      </c>
      <c r="W293">
        <v>154.80000000000001</v>
      </c>
      <c r="X293">
        <v>164.6</v>
      </c>
      <c r="Y293">
        <v>151.30000000000001</v>
      </c>
      <c r="Z293">
        <v>157.80000000000001</v>
      </c>
      <c r="AA293">
        <v>163.80000000000001</v>
      </c>
      <c r="AB293">
        <v>153.1</v>
      </c>
      <c r="AC293">
        <v>157.30000000000001</v>
      </c>
      <c r="AD293">
        <v>156.69999999999999</v>
      </c>
    </row>
    <row r="294" spans="1:30" x14ac:dyDescent="0.3">
      <c r="A294" t="s">
        <v>33</v>
      </c>
      <c r="B294">
        <v>2021</v>
      </c>
      <c r="C294" t="s">
        <v>36</v>
      </c>
      <c r="D294">
        <v>147.5</v>
      </c>
      <c r="E294">
        <v>197.5</v>
      </c>
      <c r="F294">
        <v>164.7</v>
      </c>
      <c r="G294">
        <v>155.6</v>
      </c>
      <c r="H294">
        <v>156.4</v>
      </c>
      <c r="I294">
        <v>157.30000000000001</v>
      </c>
      <c r="J294">
        <v>166.1</v>
      </c>
      <c r="K294">
        <v>161.1</v>
      </c>
      <c r="L294">
        <v>114.3</v>
      </c>
      <c r="M294">
        <v>162.6</v>
      </c>
      <c r="N294">
        <v>150.69999999999999</v>
      </c>
      <c r="O294">
        <v>170.3</v>
      </c>
      <c r="P294">
        <v>160.4</v>
      </c>
      <c r="Q294">
        <v>193.5</v>
      </c>
      <c r="R294">
        <v>155.1</v>
      </c>
      <c r="S294">
        <v>138.69999999999999</v>
      </c>
      <c r="T294">
        <v>152.6</v>
      </c>
      <c r="U294">
        <v>159.9</v>
      </c>
      <c r="V294">
        <v>154.80000000000001</v>
      </c>
      <c r="W294">
        <v>147.19999999999999</v>
      </c>
      <c r="X294">
        <v>156.9</v>
      </c>
      <c r="Y294">
        <v>141.69999999999999</v>
      </c>
      <c r="Z294">
        <v>148.6</v>
      </c>
      <c r="AA294">
        <v>157.6</v>
      </c>
      <c r="AB294">
        <v>154.9</v>
      </c>
      <c r="AC294">
        <v>150</v>
      </c>
      <c r="AD294">
        <v>156.9</v>
      </c>
    </row>
    <row r="295" spans="1:30" x14ac:dyDescent="0.3">
      <c r="A295" t="s">
        <v>34</v>
      </c>
      <c r="B295">
        <v>2021</v>
      </c>
      <c r="C295" t="s">
        <v>36</v>
      </c>
      <c r="D295">
        <v>144.1</v>
      </c>
      <c r="E295">
        <v>192.2</v>
      </c>
      <c r="F295">
        <v>163.80000000000001</v>
      </c>
      <c r="G295">
        <v>154.9</v>
      </c>
      <c r="H295">
        <v>163.9</v>
      </c>
      <c r="I295">
        <v>153.69999999999999</v>
      </c>
      <c r="J295">
        <v>149.5</v>
      </c>
      <c r="K295">
        <v>159.80000000000001</v>
      </c>
      <c r="L295">
        <v>112.6</v>
      </c>
      <c r="M295">
        <v>163.5</v>
      </c>
      <c r="N295">
        <v>156.5</v>
      </c>
      <c r="O295">
        <v>168.2</v>
      </c>
      <c r="P295">
        <v>156.69999999999999</v>
      </c>
      <c r="Q295">
        <v>188.1</v>
      </c>
      <c r="R295">
        <v>157.80000000000001</v>
      </c>
      <c r="S295">
        <v>147.9</v>
      </c>
      <c r="T295">
        <v>156.4</v>
      </c>
      <c r="U295">
        <v>159.9</v>
      </c>
      <c r="V295">
        <v>155.5</v>
      </c>
      <c r="W295">
        <v>151.19999999999999</v>
      </c>
      <c r="X295">
        <v>161.69999999999999</v>
      </c>
      <c r="Y295">
        <v>146.19999999999999</v>
      </c>
      <c r="Z295">
        <v>152.6</v>
      </c>
      <c r="AA295">
        <v>160.19999999999999</v>
      </c>
      <c r="AB295">
        <v>153.80000000000001</v>
      </c>
      <c r="AC295">
        <v>153.80000000000001</v>
      </c>
      <c r="AD295">
        <v>156.80000000000001</v>
      </c>
    </row>
    <row r="296" spans="1:30" x14ac:dyDescent="0.3">
      <c r="A296" t="s">
        <v>30</v>
      </c>
      <c r="B296">
        <v>2021</v>
      </c>
      <c r="C296" t="s">
        <v>37</v>
      </c>
      <c r="D296">
        <v>142.69999999999999</v>
      </c>
      <c r="E296">
        <v>195.5</v>
      </c>
      <c r="F296">
        <v>163.4</v>
      </c>
      <c r="G296">
        <v>155</v>
      </c>
      <c r="H296">
        <v>175.2</v>
      </c>
      <c r="I296">
        <v>160.6</v>
      </c>
      <c r="J296">
        <v>135.1</v>
      </c>
      <c r="K296">
        <v>161.1</v>
      </c>
      <c r="L296">
        <v>112.2</v>
      </c>
      <c r="M296">
        <v>164.4</v>
      </c>
      <c r="N296">
        <v>161.9</v>
      </c>
      <c r="O296">
        <v>166.8</v>
      </c>
      <c r="P296">
        <v>155.6</v>
      </c>
      <c r="Q296">
        <v>186.8</v>
      </c>
      <c r="R296">
        <v>160.69999999999999</v>
      </c>
      <c r="S296">
        <v>155.1</v>
      </c>
      <c r="T296">
        <v>159.9</v>
      </c>
      <c r="U296" t="s">
        <v>48</v>
      </c>
      <c r="V296">
        <v>156</v>
      </c>
      <c r="W296">
        <v>155.5</v>
      </c>
      <c r="X296">
        <v>165.3</v>
      </c>
      <c r="Y296">
        <v>151.69999999999999</v>
      </c>
      <c r="Z296">
        <v>158.6</v>
      </c>
      <c r="AA296">
        <v>164.1</v>
      </c>
      <c r="AB296">
        <v>154.6</v>
      </c>
      <c r="AC296">
        <v>158</v>
      </c>
      <c r="AD296">
        <v>157.6</v>
      </c>
    </row>
    <row r="297" spans="1:30" x14ac:dyDescent="0.3">
      <c r="A297" t="s">
        <v>33</v>
      </c>
      <c r="B297">
        <v>2021</v>
      </c>
      <c r="C297" t="s">
        <v>37</v>
      </c>
      <c r="D297">
        <v>147.6</v>
      </c>
      <c r="E297">
        <v>202.5</v>
      </c>
      <c r="F297">
        <v>166.4</v>
      </c>
      <c r="G297">
        <v>156</v>
      </c>
      <c r="H297">
        <v>161.4</v>
      </c>
      <c r="I297">
        <v>168.8</v>
      </c>
      <c r="J297">
        <v>161.6</v>
      </c>
      <c r="K297">
        <v>162.80000000000001</v>
      </c>
      <c r="L297">
        <v>114.8</v>
      </c>
      <c r="M297">
        <v>162.80000000000001</v>
      </c>
      <c r="N297">
        <v>151.5</v>
      </c>
      <c r="O297">
        <v>171.4</v>
      </c>
      <c r="P297">
        <v>162</v>
      </c>
      <c r="Q297">
        <v>194.4</v>
      </c>
      <c r="R297">
        <v>155.9</v>
      </c>
      <c r="S297">
        <v>139.30000000000001</v>
      </c>
      <c r="T297">
        <v>153.4</v>
      </c>
      <c r="U297">
        <v>161.4</v>
      </c>
      <c r="V297">
        <v>154.9</v>
      </c>
      <c r="W297">
        <v>147.6</v>
      </c>
      <c r="X297">
        <v>157.5</v>
      </c>
      <c r="Y297">
        <v>142.1</v>
      </c>
      <c r="Z297">
        <v>149.1</v>
      </c>
      <c r="AA297">
        <v>157.6</v>
      </c>
      <c r="AB297">
        <v>156.6</v>
      </c>
      <c r="AC297">
        <v>150.5</v>
      </c>
      <c r="AD297">
        <v>158</v>
      </c>
    </row>
    <row r="298" spans="1:30" x14ac:dyDescent="0.3">
      <c r="A298" t="s">
        <v>34</v>
      </c>
      <c r="B298">
        <v>2021</v>
      </c>
      <c r="C298" t="s">
        <v>37</v>
      </c>
      <c r="D298">
        <v>144.30000000000001</v>
      </c>
      <c r="E298">
        <v>198</v>
      </c>
      <c r="F298">
        <v>164.6</v>
      </c>
      <c r="G298">
        <v>155.4</v>
      </c>
      <c r="H298">
        <v>170.1</v>
      </c>
      <c r="I298">
        <v>164.4</v>
      </c>
      <c r="J298">
        <v>144.1</v>
      </c>
      <c r="K298">
        <v>161.69999999999999</v>
      </c>
      <c r="L298">
        <v>113.1</v>
      </c>
      <c r="M298">
        <v>163.9</v>
      </c>
      <c r="N298">
        <v>157.6</v>
      </c>
      <c r="O298">
        <v>168.9</v>
      </c>
      <c r="P298">
        <v>158</v>
      </c>
      <c r="Q298">
        <v>188.8</v>
      </c>
      <c r="R298">
        <v>158.80000000000001</v>
      </c>
      <c r="S298">
        <v>148.5</v>
      </c>
      <c r="T298">
        <v>157.30000000000001</v>
      </c>
      <c r="U298">
        <v>161.4</v>
      </c>
      <c r="V298">
        <v>155.6</v>
      </c>
      <c r="W298">
        <v>151.80000000000001</v>
      </c>
      <c r="X298">
        <v>162.30000000000001</v>
      </c>
      <c r="Y298">
        <v>146.6</v>
      </c>
      <c r="Z298">
        <v>153.19999999999999</v>
      </c>
      <c r="AA298">
        <v>160.30000000000001</v>
      </c>
      <c r="AB298">
        <v>155.4</v>
      </c>
      <c r="AC298">
        <v>154.4</v>
      </c>
      <c r="AD298">
        <v>157.80000000000001</v>
      </c>
    </row>
    <row r="299" spans="1:30" x14ac:dyDescent="0.3">
      <c r="A299" t="s">
        <v>30</v>
      </c>
      <c r="B299">
        <v>2021</v>
      </c>
      <c r="C299" t="s">
        <v>38</v>
      </c>
      <c r="D299">
        <v>145.1</v>
      </c>
      <c r="E299">
        <v>198.5</v>
      </c>
      <c r="F299">
        <v>168.6</v>
      </c>
      <c r="G299">
        <v>155.80000000000001</v>
      </c>
      <c r="H299">
        <v>184.4</v>
      </c>
      <c r="I299">
        <v>162.30000000000001</v>
      </c>
      <c r="J299">
        <v>138.4</v>
      </c>
      <c r="K299">
        <v>165.1</v>
      </c>
      <c r="L299">
        <v>114.3</v>
      </c>
      <c r="M299">
        <v>169.7</v>
      </c>
      <c r="N299">
        <v>164.6</v>
      </c>
      <c r="O299">
        <v>169.8</v>
      </c>
      <c r="P299">
        <v>158.69999999999999</v>
      </c>
      <c r="Q299">
        <v>189.6</v>
      </c>
      <c r="R299">
        <v>165.3</v>
      </c>
      <c r="S299">
        <v>160.6</v>
      </c>
      <c r="T299">
        <v>164.5</v>
      </c>
      <c r="U299" t="s">
        <v>32</v>
      </c>
      <c r="V299">
        <v>161.69999999999999</v>
      </c>
      <c r="W299">
        <v>158.80000000000001</v>
      </c>
      <c r="X299">
        <v>169.1</v>
      </c>
      <c r="Y299">
        <v>153.19999999999999</v>
      </c>
      <c r="Z299">
        <v>160</v>
      </c>
      <c r="AA299">
        <v>167.6</v>
      </c>
      <c r="AB299">
        <v>159.30000000000001</v>
      </c>
      <c r="AC299">
        <v>161.1</v>
      </c>
      <c r="AD299">
        <v>161.1</v>
      </c>
    </row>
    <row r="300" spans="1:30" x14ac:dyDescent="0.3">
      <c r="A300" t="s">
        <v>33</v>
      </c>
      <c r="B300">
        <v>2021</v>
      </c>
      <c r="C300" t="s">
        <v>38</v>
      </c>
      <c r="D300">
        <v>148.80000000000001</v>
      </c>
      <c r="E300">
        <v>204.3</v>
      </c>
      <c r="F300">
        <v>173</v>
      </c>
      <c r="G300">
        <v>156.5</v>
      </c>
      <c r="H300">
        <v>168.8</v>
      </c>
      <c r="I300">
        <v>172.5</v>
      </c>
      <c r="J300">
        <v>166.5</v>
      </c>
      <c r="K300">
        <v>165.9</v>
      </c>
      <c r="L300">
        <v>115.9</v>
      </c>
      <c r="M300">
        <v>165.2</v>
      </c>
      <c r="N300">
        <v>152</v>
      </c>
      <c r="O300">
        <v>171.1</v>
      </c>
      <c r="P300">
        <v>164.2</v>
      </c>
      <c r="Q300">
        <v>198.2</v>
      </c>
      <c r="R300">
        <v>156.5</v>
      </c>
      <c r="S300">
        <v>140.19999999999999</v>
      </c>
      <c r="T300">
        <v>154.1</v>
      </c>
      <c r="U300">
        <v>161.6</v>
      </c>
      <c r="V300">
        <v>155.5</v>
      </c>
      <c r="W300">
        <v>150.1</v>
      </c>
      <c r="X300">
        <v>160.4</v>
      </c>
      <c r="Y300">
        <v>145</v>
      </c>
      <c r="Z300">
        <v>152.6</v>
      </c>
      <c r="AA300">
        <v>156.6</v>
      </c>
      <c r="AB300">
        <v>157.5</v>
      </c>
      <c r="AC300">
        <v>152.30000000000001</v>
      </c>
      <c r="AD300">
        <v>159.5</v>
      </c>
    </row>
    <row r="301" spans="1:30" x14ac:dyDescent="0.3">
      <c r="A301" t="s">
        <v>34</v>
      </c>
      <c r="B301">
        <v>2021</v>
      </c>
      <c r="C301" t="s">
        <v>38</v>
      </c>
      <c r="D301">
        <v>146.30000000000001</v>
      </c>
      <c r="E301">
        <v>200.5</v>
      </c>
      <c r="F301">
        <v>170.3</v>
      </c>
      <c r="G301">
        <v>156.1</v>
      </c>
      <c r="H301">
        <v>178.7</v>
      </c>
      <c r="I301">
        <v>167.1</v>
      </c>
      <c r="J301">
        <v>147.9</v>
      </c>
      <c r="K301">
        <v>165.4</v>
      </c>
      <c r="L301">
        <v>114.8</v>
      </c>
      <c r="M301">
        <v>168.2</v>
      </c>
      <c r="N301">
        <v>159.30000000000001</v>
      </c>
      <c r="O301">
        <v>170.4</v>
      </c>
      <c r="P301">
        <v>160.69999999999999</v>
      </c>
      <c r="Q301">
        <v>191.9</v>
      </c>
      <c r="R301">
        <v>161.80000000000001</v>
      </c>
      <c r="S301">
        <v>152.1</v>
      </c>
      <c r="T301">
        <v>160.4</v>
      </c>
      <c r="U301">
        <v>161.6</v>
      </c>
      <c r="V301">
        <v>159.4</v>
      </c>
      <c r="W301">
        <v>154.69999999999999</v>
      </c>
      <c r="X301">
        <v>165.8</v>
      </c>
      <c r="Y301">
        <v>148.9</v>
      </c>
      <c r="Z301">
        <v>155.80000000000001</v>
      </c>
      <c r="AA301">
        <v>161.19999999999999</v>
      </c>
      <c r="AB301">
        <v>158.6</v>
      </c>
      <c r="AC301">
        <v>156.80000000000001</v>
      </c>
      <c r="AD301">
        <v>160.4</v>
      </c>
    </row>
    <row r="302" spans="1:30" x14ac:dyDescent="0.3">
      <c r="A302" t="s">
        <v>30</v>
      </c>
      <c r="B302">
        <v>2021</v>
      </c>
      <c r="C302" t="s">
        <v>39</v>
      </c>
      <c r="D302">
        <v>145.6</v>
      </c>
      <c r="E302">
        <v>200.1</v>
      </c>
      <c r="F302">
        <v>179.3</v>
      </c>
      <c r="G302">
        <v>156.1</v>
      </c>
      <c r="H302">
        <v>190.4</v>
      </c>
      <c r="I302">
        <v>158.6</v>
      </c>
      <c r="J302">
        <v>144.69999999999999</v>
      </c>
      <c r="K302">
        <v>165.5</v>
      </c>
      <c r="L302">
        <v>114.6</v>
      </c>
      <c r="M302">
        <v>170</v>
      </c>
      <c r="N302">
        <v>165.5</v>
      </c>
      <c r="O302">
        <v>171.7</v>
      </c>
      <c r="P302">
        <v>160.5</v>
      </c>
      <c r="Q302">
        <v>189.1</v>
      </c>
      <c r="R302">
        <v>165.3</v>
      </c>
      <c r="S302">
        <v>159.9</v>
      </c>
      <c r="T302">
        <v>164.6</v>
      </c>
      <c r="U302" t="s">
        <v>32</v>
      </c>
      <c r="V302">
        <v>162.1</v>
      </c>
      <c r="W302">
        <v>159.19999999999999</v>
      </c>
      <c r="X302">
        <v>169.7</v>
      </c>
      <c r="Y302">
        <v>154.19999999999999</v>
      </c>
      <c r="Z302">
        <v>160.4</v>
      </c>
      <c r="AA302">
        <v>166.8</v>
      </c>
      <c r="AB302">
        <v>159.4</v>
      </c>
      <c r="AC302">
        <v>161.5</v>
      </c>
      <c r="AD302">
        <v>162.1</v>
      </c>
    </row>
    <row r="303" spans="1:30" x14ac:dyDescent="0.3">
      <c r="A303" t="s">
        <v>33</v>
      </c>
      <c r="B303">
        <v>2021</v>
      </c>
      <c r="C303" t="s">
        <v>39</v>
      </c>
      <c r="D303">
        <v>149.19999999999999</v>
      </c>
      <c r="E303">
        <v>205.5</v>
      </c>
      <c r="F303">
        <v>182.8</v>
      </c>
      <c r="G303">
        <v>156.5</v>
      </c>
      <c r="H303">
        <v>172.2</v>
      </c>
      <c r="I303">
        <v>171.5</v>
      </c>
      <c r="J303">
        <v>176.2</v>
      </c>
      <c r="K303">
        <v>166.9</v>
      </c>
      <c r="L303">
        <v>116.1</v>
      </c>
      <c r="M303">
        <v>165.5</v>
      </c>
      <c r="N303">
        <v>152.30000000000001</v>
      </c>
      <c r="O303">
        <v>173.3</v>
      </c>
      <c r="P303">
        <v>166.2</v>
      </c>
      <c r="Q303">
        <v>195.6</v>
      </c>
      <c r="R303">
        <v>157.30000000000001</v>
      </c>
      <c r="S303">
        <v>140.5</v>
      </c>
      <c r="T303">
        <v>154.80000000000001</v>
      </c>
      <c r="U303">
        <v>160.5</v>
      </c>
      <c r="V303">
        <v>156.1</v>
      </c>
      <c r="W303">
        <v>149.80000000000001</v>
      </c>
      <c r="X303">
        <v>160.80000000000001</v>
      </c>
      <c r="Y303">
        <v>147.5</v>
      </c>
      <c r="Z303">
        <v>150.69999999999999</v>
      </c>
      <c r="AA303">
        <v>158.1</v>
      </c>
      <c r="AB303">
        <v>158</v>
      </c>
      <c r="AC303">
        <v>153.4</v>
      </c>
      <c r="AD303">
        <v>160.4</v>
      </c>
    </row>
    <row r="304" spans="1:30" x14ac:dyDescent="0.3">
      <c r="A304" t="s">
        <v>34</v>
      </c>
      <c r="B304">
        <v>2021</v>
      </c>
      <c r="C304" t="s">
        <v>39</v>
      </c>
      <c r="D304">
        <v>146.69999999999999</v>
      </c>
      <c r="E304">
        <v>202</v>
      </c>
      <c r="F304">
        <v>180.7</v>
      </c>
      <c r="G304">
        <v>156.19999999999999</v>
      </c>
      <c r="H304">
        <v>183.7</v>
      </c>
      <c r="I304">
        <v>164.6</v>
      </c>
      <c r="J304">
        <v>155.4</v>
      </c>
      <c r="K304">
        <v>166</v>
      </c>
      <c r="L304">
        <v>115.1</v>
      </c>
      <c r="M304">
        <v>168.5</v>
      </c>
      <c r="N304">
        <v>160</v>
      </c>
      <c r="O304">
        <v>172.4</v>
      </c>
      <c r="P304">
        <v>162.6</v>
      </c>
      <c r="Q304">
        <v>190.8</v>
      </c>
      <c r="R304">
        <v>162.19999999999999</v>
      </c>
      <c r="S304">
        <v>151.80000000000001</v>
      </c>
      <c r="T304">
        <v>160.69999999999999</v>
      </c>
      <c r="U304">
        <v>160.5</v>
      </c>
      <c r="V304">
        <v>159.80000000000001</v>
      </c>
      <c r="W304">
        <v>154.80000000000001</v>
      </c>
      <c r="X304">
        <v>166.3</v>
      </c>
      <c r="Y304">
        <v>150.69999999999999</v>
      </c>
      <c r="Z304">
        <v>154.9</v>
      </c>
      <c r="AA304">
        <v>161.69999999999999</v>
      </c>
      <c r="AB304">
        <v>158.80000000000001</v>
      </c>
      <c r="AC304">
        <v>157.6</v>
      </c>
      <c r="AD304">
        <v>161.30000000000001</v>
      </c>
    </row>
    <row r="305" spans="1:30" x14ac:dyDescent="0.3">
      <c r="A305" t="s">
        <v>30</v>
      </c>
      <c r="B305">
        <v>2021</v>
      </c>
      <c r="C305" t="s">
        <v>40</v>
      </c>
      <c r="D305">
        <v>145.1</v>
      </c>
      <c r="E305">
        <v>204.5</v>
      </c>
      <c r="F305">
        <v>180.4</v>
      </c>
      <c r="G305">
        <v>157.1</v>
      </c>
      <c r="H305">
        <v>188.7</v>
      </c>
      <c r="I305">
        <v>157.69999999999999</v>
      </c>
      <c r="J305">
        <v>152.80000000000001</v>
      </c>
      <c r="K305">
        <v>163.6</v>
      </c>
      <c r="L305">
        <v>113.9</v>
      </c>
      <c r="M305">
        <v>169.7</v>
      </c>
      <c r="N305">
        <v>166.2</v>
      </c>
      <c r="O305">
        <v>171</v>
      </c>
      <c r="P305">
        <v>161.69999999999999</v>
      </c>
      <c r="Q305">
        <v>189.7</v>
      </c>
      <c r="R305">
        <v>166</v>
      </c>
      <c r="S305">
        <v>161.1</v>
      </c>
      <c r="T305">
        <v>165.3</v>
      </c>
      <c r="U305" t="s">
        <v>32</v>
      </c>
      <c r="V305">
        <v>162.5</v>
      </c>
      <c r="W305">
        <v>160.30000000000001</v>
      </c>
      <c r="X305">
        <v>170.4</v>
      </c>
      <c r="Y305">
        <v>157.1</v>
      </c>
      <c r="Z305">
        <v>160.69999999999999</v>
      </c>
      <c r="AA305">
        <v>167.2</v>
      </c>
      <c r="AB305">
        <v>160.4</v>
      </c>
      <c r="AC305">
        <v>162.80000000000001</v>
      </c>
      <c r="AD305">
        <v>163.19999999999999</v>
      </c>
    </row>
    <row r="306" spans="1:30" x14ac:dyDescent="0.3">
      <c r="A306" t="s">
        <v>33</v>
      </c>
      <c r="B306">
        <v>2021</v>
      </c>
      <c r="C306" t="s">
        <v>40</v>
      </c>
      <c r="D306">
        <v>149.1</v>
      </c>
      <c r="E306">
        <v>210.9</v>
      </c>
      <c r="F306">
        <v>185</v>
      </c>
      <c r="G306">
        <v>158.19999999999999</v>
      </c>
      <c r="H306">
        <v>170.6</v>
      </c>
      <c r="I306">
        <v>170.9</v>
      </c>
      <c r="J306">
        <v>186.4</v>
      </c>
      <c r="K306">
        <v>164.7</v>
      </c>
      <c r="L306">
        <v>115.7</v>
      </c>
      <c r="M306">
        <v>165.5</v>
      </c>
      <c r="N306">
        <v>153.4</v>
      </c>
      <c r="O306">
        <v>173.5</v>
      </c>
      <c r="P306">
        <v>167.9</v>
      </c>
      <c r="Q306">
        <v>195.5</v>
      </c>
      <c r="R306">
        <v>157.9</v>
      </c>
      <c r="S306">
        <v>141.9</v>
      </c>
      <c r="T306">
        <v>155.5</v>
      </c>
      <c r="U306">
        <v>161.5</v>
      </c>
      <c r="V306">
        <v>157.69999999999999</v>
      </c>
      <c r="W306">
        <v>150.69999999999999</v>
      </c>
      <c r="X306">
        <v>161.5</v>
      </c>
      <c r="Y306">
        <v>149.5</v>
      </c>
      <c r="Z306">
        <v>151.19999999999999</v>
      </c>
      <c r="AA306">
        <v>160.30000000000001</v>
      </c>
      <c r="AB306">
        <v>159.6</v>
      </c>
      <c r="AC306">
        <v>155</v>
      </c>
      <c r="AD306">
        <v>161.80000000000001</v>
      </c>
    </row>
    <row r="307" spans="1:30" x14ac:dyDescent="0.3">
      <c r="A307" t="s">
        <v>34</v>
      </c>
      <c r="B307">
        <v>2021</v>
      </c>
      <c r="C307" t="s">
        <v>40</v>
      </c>
      <c r="D307">
        <v>146.4</v>
      </c>
      <c r="E307">
        <v>206.8</v>
      </c>
      <c r="F307">
        <v>182.2</v>
      </c>
      <c r="G307">
        <v>157.5</v>
      </c>
      <c r="H307">
        <v>182.1</v>
      </c>
      <c r="I307">
        <v>163.9</v>
      </c>
      <c r="J307">
        <v>164.2</v>
      </c>
      <c r="K307">
        <v>164</v>
      </c>
      <c r="L307">
        <v>114.5</v>
      </c>
      <c r="M307">
        <v>168.3</v>
      </c>
      <c r="N307">
        <v>160.9</v>
      </c>
      <c r="O307">
        <v>172.2</v>
      </c>
      <c r="P307">
        <v>164</v>
      </c>
      <c r="Q307">
        <v>191.2</v>
      </c>
      <c r="R307">
        <v>162.80000000000001</v>
      </c>
      <c r="S307">
        <v>153.1</v>
      </c>
      <c r="T307">
        <v>161.4</v>
      </c>
      <c r="U307">
        <v>161.5</v>
      </c>
      <c r="V307">
        <v>160.69999999999999</v>
      </c>
      <c r="W307">
        <v>155.80000000000001</v>
      </c>
      <c r="X307">
        <v>167</v>
      </c>
      <c r="Y307">
        <v>153.1</v>
      </c>
      <c r="Z307">
        <v>155.30000000000001</v>
      </c>
      <c r="AA307">
        <v>163.19999999999999</v>
      </c>
      <c r="AB307">
        <v>160.1</v>
      </c>
      <c r="AC307">
        <v>159</v>
      </c>
      <c r="AD307">
        <v>162.5</v>
      </c>
    </row>
    <row r="308" spans="1:30" x14ac:dyDescent="0.3">
      <c r="A308" t="s">
        <v>30</v>
      </c>
      <c r="B308">
        <v>2021</v>
      </c>
      <c r="C308" t="s">
        <v>41</v>
      </c>
      <c r="D308">
        <v>144.9</v>
      </c>
      <c r="E308">
        <v>202.3</v>
      </c>
      <c r="F308">
        <v>176.5</v>
      </c>
      <c r="G308">
        <v>157.5</v>
      </c>
      <c r="H308">
        <v>190.9</v>
      </c>
      <c r="I308">
        <v>155.69999999999999</v>
      </c>
      <c r="J308">
        <v>153.9</v>
      </c>
      <c r="K308">
        <v>162.80000000000001</v>
      </c>
      <c r="L308">
        <v>115.2</v>
      </c>
      <c r="M308">
        <v>169.8</v>
      </c>
      <c r="N308">
        <v>167.6</v>
      </c>
      <c r="O308">
        <v>171.9</v>
      </c>
      <c r="P308">
        <v>161.80000000000001</v>
      </c>
      <c r="Q308">
        <v>190.2</v>
      </c>
      <c r="R308">
        <v>167</v>
      </c>
      <c r="S308">
        <v>162.6</v>
      </c>
      <c r="T308">
        <v>166.3</v>
      </c>
      <c r="U308" t="s">
        <v>32</v>
      </c>
      <c r="V308">
        <v>163.1</v>
      </c>
      <c r="W308">
        <v>160.9</v>
      </c>
      <c r="X308">
        <v>171.1</v>
      </c>
      <c r="Y308">
        <v>157.69999999999999</v>
      </c>
      <c r="Z308">
        <v>161.1</v>
      </c>
      <c r="AA308">
        <v>167.5</v>
      </c>
      <c r="AB308">
        <v>160.30000000000001</v>
      </c>
      <c r="AC308">
        <v>163.30000000000001</v>
      </c>
      <c r="AD308">
        <v>163.6</v>
      </c>
    </row>
    <row r="309" spans="1:30" x14ac:dyDescent="0.3">
      <c r="A309" t="s">
        <v>33</v>
      </c>
      <c r="B309">
        <v>2021</v>
      </c>
      <c r="C309" t="s">
        <v>41</v>
      </c>
      <c r="D309">
        <v>149.30000000000001</v>
      </c>
      <c r="E309">
        <v>207.4</v>
      </c>
      <c r="F309">
        <v>174.1</v>
      </c>
      <c r="G309">
        <v>159.19999999999999</v>
      </c>
      <c r="H309">
        <v>175</v>
      </c>
      <c r="I309">
        <v>161.30000000000001</v>
      </c>
      <c r="J309">
        <v>183.3</v>
      </c>
      <c r="K309">
        <v>164.5</v>
      </c>
      <c r="L309">
        <v>120.4</v>
      </c>
      <c r="M309">
        <v>166.2</v>
      </c>
      <c r="N309">
        <v>154.80000000000001</v>
      </c>
      <c r="O309">
        <v>175.1</v>
      </c>
      <c r="P309">
        <v>167.3</v>
      </c>
      <c r="Q309">
        <v>196.5</v>
      </c>
      <c r="R309">
        <v>159.80000000000001</v>
      </c>
      <c r="S309">
        <v>143.6</v>
      </c>
      <c r="T309">
        <v>157.30000000000001</v>
      </c>
      <c r="U309">
        <v>162.1</v>
      </c>
      <c r="V309">
        <v>160.69999999999999</v>
      </c>
      <c r="W309">
        <v>153.19999999999999</v>
      </c>
      <c r="X309">
        <v>162.80000000000001</v>
      </c>
      <c r="Y309">
        <v>150.4</v>
      </c>
      <c r="Z309">
        <v>153.69999999999999</v>
      </c>
      <c r="AA309">
        <v>160.4</v>
      </c>
      <c r="AB309">
        <v>159.6</v>
      </c>
      <c r="AC309">
        <v>156</v>
      </c>
      <c r="AD309">
        <v>162.30000000000001</v>
      </c>
    </row>
    <row r="310" spans="1:30" x14ac:dyDescent="0.3">
      <c r="A310" t="s">
        <v>34</v>
      </c>
      <c r="B310">
        <v>2021</v>
      </c>
      <c r="C310" t="s">
        <v>41</v>
      </c>
      <c r="D310">
        <v>146.6</v>
      </c>
      <c r="E310">
        <v>204</v>
      </c>
      <c r="F310">
        <v>172.8</v>
      </c>
      <c r="G310">
        <v>158.4</v>
      </c>
      <c r="H310">
        <v>188</v>
      </c>
      <c r="I310">
        <v>156.80000000000001</v>
      </c>
      <c r="J310">
        <v>162.19999999999999</v>
      </c>
      <c r="K310">
        <v>164.1</v>
      </c>
      <c r="L310">
        <v>119.7</v>
      </c>
      <c r="M310">
        <v>168.8</v>
      </c>
      <c r="N310">
        <v>162.69999999999999</v>
      </c>
      <c r="O310">
        <v>173.9</v>
      </c>
      <c r="P310">
        <v>164</v>
      </c>
      <c r="Q310">
        <v>192.1</v>
      </c>
      <c r="R310">
        <v>164.5</v>
      </c>
      <c r="S310">
        <v>155.30000000000001</v>
      </c>
      <c r="T310">
        <v>163.19999999999999</v>
      </c>
      <c r="U310">
        <v>162.1</v>
      </c>
      <c r="V310">
        <v>162.6</v>
      </c>
      <c r="W310">
        <v>157.5</v>
      </c>
      <c r="X310">
        <v>168.4</v>
      </c>
      <c r="Y310">
        <v>154</v>
      </c>
      <c r="Z310">
        <v>157.6</v>
      </c>
      <c r="AA310">
        <v>163.80000000000001</v>
      </c>
      <c r="AB310">
        <v>160</v>
      </c>
      <c r="AC310">
        <v>160</v>
      </c>
      <c r="AD310">
        <v>163.19999999999999</v>
      </c>
    </row>
    <row r="311" spans="1:30" x14ac:dyDescent="0.3">
      <c r="A311" t="s">
        <v>30</v>
      </c>
      <c r="B311">
        <v>2021</v>
      </c>
      <c r="C311" t="s">
        <v>42</v>
      </c>
      <c r="D311">
        <v>145.4</v>
      </c>
      <c r="E311">
        <v>202.1</v>
      </c>
      <c r="F311">
        <v>172</v>
      </c>
      <c r="G311">
        <v>158</v>
      </c>
      <c r="H311">
        <v>195.5</v>
      </c>
      <c r="I311">
        <v>152.69999999999999</v>
      </c>
      <c r="J311">
        <v>151.4</v>
      </c>
      <c r="K311">
        <v>163.9</v>
      </c>
      <c r="L311">
        <v>119.3</v>
      </c>
      <c r="M311">
        <v>170.1</v>
      </c>
      <c r="N311">
        <v>168.3</v>
      </c>
      <c r="O311">
        <v>172.8</v>
      </c>
      <c r="P311">
        <v>162.1</v>
      </c>
      <c r="Q311">
        <v>190.5</v>
      </c>
      <c r="R311">
        <v>167.7</v>
      </c>
      <c r="S311">
        <v>163.6</v>
      </c>
      <c r="T311">
        <v>167.1</v>
      </c>
      <c r="U311" t="s">
        <v>32</v>
      </c>
      <c r="V311">
        <v>163.69999999999999</v>
      </c>
      <c r="W311">
        <v>161.30000000000001</v>
      </c>
      <c r="X311">
        <v>171.9</v>
      </c>
      <c r="Y311">
        <v>157.80000000000001</v>
      </c>
      <c r="Z311">
        <v>162.69999999999999</v>
      </c>
      <c r="AA311">
        <v>168.5</v>
      </c>
      <c r="AB311">
        <v>160.19999999999999</v>
      </c>
      <c r="AC311">
        <v>163.80000000000001</v>
      </c>
      <c r="AD311">
        <v>164</v>
      </c>
    </row>
    <row r="312" spans="1:30" x14ac:dyDescent="0.3">
      <c r="A312" t="s">
        <v>33</v>
      </c>
      <c r="B312">
        <v>2021</v>
      </c>
      <c r="C312" t="s">
        <v>42</v>
      </c>
      <c r="D312">
        <v>149.30000000000001</v>
      </c>
      <c r="E312">
        <v>207.4</v>
      </c>
      <c r="F312">
        <v>174.1</v>
      </c>
      <c r="G312">
        <v>159.1</v>
      </c>
      <c r="H312">
        <v>175</v>
      </c>
      <c r="I312">
        <v>161.19999999999999</v>
      </c>
      <c r="J312">
        <v>183.5</v>
      </c>
      <c r="K312">
        <v>164.5</v>
      </c>
      <c r="L312">
        <v>120.4</v>
      </c>
      <c r="M312">
        <v>166.2</v>
      </c>
      <c r="N312">
        <v>154.80000000000001</v>
      </c>
      <c r="O312">
        <v>175.1</v>
      </c>
      <c r="P312">
        <v>167.3</v>
      </c>
      <c r="Q312">
        <v>196.5</v>
      </c>
      <c r="R312">
        <v>159.80000000000001</v>
      </c>
      <c r="S312">
        <v>143.6</v>
      </c>
      <c r="T312">
        <v>157.4</v>
      </c>
      <c r="U312">
        <v>162.1</v>
      </c>
      <c r="V312">
        <v>160.80000000000001</v>
      </c>
      <c r="W312">
        <v>153.30000000000001</v>
      </c>
      <c r="X312">
        <v>162.80000000000001</v>
      </c>
      <c r="Y312">
        <v>150.5</v>
      </c>
      <c r="Z312">
        <v>153.9</v>
      </c>
      <c r="AA312">
        <v>160.30000000000001</v>
      </c>
      <c r="AB312">
        <v>159.6</v>
      </c>
      <c r="AC312">
        <v>156</v>
      </c>
      <c r="AD312">
        <v>162.30000000000001</v>
      </c>
    </row>
    <row r="313" spans="1:30" x14ac:dyDescent="0.3">
      <c r="A313" t="s">
        <v>34</v>
      </c>
      <c r="B313">
        <v>2021</v>
      </c>
      <c r="C313" t="s">
        <v>42</v>
      </c>
      <c r="D313">
        <v>146.6</v>
      </c>
      <c r="E313">
        <v>204</v>
      </c>
      <c r="F313">
        <v>172.8</v>
      </c>
      <c r="G313">
        <v>158.4</v>
      </c>
      <c r="H313">
        <v>188</v>
      </c>
      <c r="I313">
        <v>156.69999999999999</v>
      </c>
      <c r="J313">
        <v>162.30000000000001</v>
      </c>
      <c r="K313">
        <v>164.1</v>
      </c>
      <c r="L313">
        <v>119.7</v>
      </c>
      <c r="M313">
        <v>168.8</v>
      </c>
      <c r="N313">
        <v>162.69999999999999</v>
      </c>
      <c r="O313">
        <v>173.9</v>
      </c>
      <c r="P313">
        <v>164</v>
      </c>
      <c r="Q313">
        <v>192.1</v>
      </c>
      <c r="R313">
        <v>164.6</v>
      </c>
      <c r="S313">
        <v>155.30000000000001</v>
      </c>
      <c r="T313">
        <v>163.30000000000001</v>
      </c>
      <c r="U313">
        <v>162.1</v>
      </c>
      <c r="V313">
        <v>162.6</v>
      </c>
      <c r="W313">
        <v>157.5</v>
      </c>
      <c r="X313">
        <v>168.4</v>
      </c>
      <c r="Y313">
        <v>154</v>
      </c>
      <c r="Z313">
        <v>157.69999999999999</v>
      </c>
      <c r="AA313">
        <v>163.69999999999999</v>
      </c>
      <c r="AB313">
        <v>160</v>
      </c>
      <c r="AC313">
        <v>160</v>
      </c>
      <c r="AD313">
        <v>163.19999999999999</v>
      </c>
    </row>
    <row r="314" spans="1:30" x14ac:dyDescent="0.3">
      <c r="A314" t="s">
        <v>30</v>
      </c>
      <c r="B314">
        <v>2021</v>
      </c>
      <c r="C314" t="s">
        <v>43</v>
      </c>
      <c r="D314">
        <v>146.1</v>
      </c>
      <c r="E314">
        <v>202.5</v>
      </c>
      <c r="F314">
        <v>170.1</v>
      </c>
      <c r="G314">
        <v>158.4</v>
      </c>
      <c r="H314">
        <v>198.8</v>
      </c>
      <c r="I314">
        <v>152.6</v>
      </c>
      <c r="J314">
        <v>170.4</v>
      </c>
      <c r="K314">
        <v>165.2</v>
      </c>
      <c r="L314">
        <v>121.6</v>
      </c>
      <c r="M314">
        <v>170.6</v>
      </c>
      <c r="N314">
        <v>168.8</v>
      </c>
      <c r="O314">
        <v>173.6</v>
      </c>
      <c r="P314">
        <v>165.5</v>
      </c>
      <c r="Q314">
        <v>191.2</v>
      </c>
      <c r="R314">
        <v>168.9</v>
      </c>
      <c r="S314">
        <v>164.8</v>
      </c>
      <c r="T314">
        <v>168.3</v>
      </c>
      <c r="U314" t="s">
        <v>32</v>
      </c>
      <c r="V314">
        <v>165.5</v>
      </c>
      <c r="W314">
        <v>162</v>
      </c>
      <c r="X314">
        <v>172.5</v>
      </c>
      <c r="Y314">
        <v>159.5</v>
      </c>
      <c r="Z314">
        <v>163.19999999999999</v>
      </c>
      <c r="AA314">
        <v>169</v>
      </c>
      <c r="AB314">
        <v>161.1</v>
      </c>
      <c r="AC314">
        <v>164.7</v>
      </c>
      <c r="AD314">
        <v>166.3</v>
      </c>
    </row>
    <row r="315" spans="1:30" x14ac:dyDescent="0.3">
      <c r="A315" t="s">
        <v>33</v>
      </c>
      <c r="B315">
        <v>2021</v>
      </c>
      <c r="C315" t="s">
        <v>43</v>
      </c>
      <c r="D315">
        <v>150.1</v>
      </c>
      <c r="E315">
        <v>208.4</v>
      </c>
      <c r="F315">
        <v>173</v>
      </c>
      <c r="G315">
        <v>159.19999999999999</v>
      </c>
      <c r="H315">
        <v>176.6</v>
      </c>
      <c r="I315">
        <v>159.30000000000001</v>
      </c>
      <c r="J315">
        <v>214.4</v>
      </c>
      <c r="K315">
        <v>165.3</v>
      </c>
      <c r="L315">
        <v>122.5</v>
      </c>
      <c r="M315">
        <v>166.8</v>
      </c>
      <c r="N315">
        <v>155.4</v>
      </c>
      <c r="O315">
        <v>175.9</v>
      </c>
      <c r="P315">
        <v>171.5</v>
      </c>
      <c r="Q315">
        <v>197</v>
      </c>
      <c r="R315">
        <v>160.80000000000001</v>
      </c>
      <c r="S315">
        <v>144.4</v>
      </c>
      <c r="T315">
        <v>158.30000000000001</v>
      </c>
      <c r="U315">
        <v>163.6</v>
      </c>
      <c r="V315">
        <v>162.19999999999999</v>
      </c>
      <c r="W315">
        <v>154.30000000000001</v>
      </c>
      <c r="X315">
        <v>163.5</v>
      </c>
      <c r="Y315">
        <v>152.19999999999999</v>
      </c>
      <c r="Z315">
        <v>155.1</v>
      </c>
      <c r="AA315">
        <v>160.30000000000001</v>
      </c>
      <c r="AB315">
        <v>160.30000000000001</v>
      </c>
      <c r="AC315">
        <v>157</v>
      </c>
      <c r="AD315">
        <v>164.6</v>
      </c>
    </row>
    <row r="316" spans="1:30" x14ac:dyDescent="0.3">
      <c r="A316" t="s">
        <v>34</v>
      </c>
      <c r="B316">
        <v>2021</v>
      </c>
      <c r="C316" t="s">
        <v>43</v>
      </c>
      <c r="D316">
        <v>147.4</v>
      </c>
      <c r="E316">
        <v>204.6</v>
      </c>
      <c r="F316">
        <v>171.2</v>
      </c>
      <c r="G316">
        <v>158.69999999999999</v>
      </c>
      <c r="H316">
        <v>190.6</v>
      </c>
      <c r="I316">
        <v>155.69999999999999</v>
      </c>
      <c r="J316">
        <v>185.3</v>
      </c>
      <c r="K316">
        <v>165.2</v>
      </c>
      <c r="L316">
        <v>121.9</v>
      </c>
      <c r="M316">
        <v>169.3</v>
      </c>
      <c r="N316">
        <v>163.19999999999999</v>
      </c>
      <c r="O316">
        <v>174.7</v>
      </c>
      <c r="P316">
        <v>167.7</v>
      </c>
      <c r="Q316">
        <v>192.7</v>
      </c>
      <c r="R316">
        <v>165.7</v>
      </c>
      <c r="S316">
        <v>156.30000000000001</v>
      </c>
      <c r="T316">
        <v>164.3</v>
      </c>
      <c r="U316">
        <v>163.6</v>
      </c>
      <c r="V316">
        <v>164.2</v>
      </c>
      <c r="W316">
        <v>158.4</v>
      </c>
      <c r="X316">
        <v>169.1</v>
      </c>
      <c r="Y316">
        <v>155.69999999999999</v>
      </c>
      <c r="Z316">
        <v>158.6</v>
      </c>
      <c r="AA316">
        <v>163.9</v>
      </c>
      <c r="AB316">
        <v>160.80000000000001</v>
      </c>
      <c r="AC316">
        <v>161</v>
      </c>
      <c r="AD316">
        <v>165.5</v>
      </c>
    </row>
    <row r="317" spans="1:30" x14ac:dyDescent="0.3">
      <c r="A317" t="s">
        <v>30</v>
      </c>
      <c r="B317">
        <v>2021</v>
      </c>
      <c r="C317" t="s">
        <v>45</v>
      </c>
      <c r="D317">
        <v>146.9</v>
      </c>
      <c r="E317">
        <v>199.8</v>
      </c>
      <c r="F317">
        <v>171.5</v>
      </c>
      <c r="G317">
        <v>159.1</v>
      </c>
      <c r="H317">
        <v>198.4</v>
      </c>
      <c r="I317">
        <v>153.19999999999999</v>
      </c>
      <c r="J317">
        <v>183.9</v>
      </c>
      <c r="K317">
        <v>165.4</v>
      </c>
      <c r="L317">
        <v>122.1</v>
      </c>
      <c r="M317">
        <v>170.8</v>
      </c>
      <c r="N317">
        <v>169.1</v>
      </c>
      <c r="O317">
        <v>174.3</v>
      </c>
      <c r="P317">
        <v>167.5</v>
      </c>
      <c r="Q317">
        <v>191.4</v>
      </c>
      <c r="R317">
        <v>170.4</v>
      </c>
      <c r="S317">
        <v>166</v>
      </c>
      <c r="T317">
        <v>169.8</v>
      </c>
      <c r="U317" t="s">
        <v>32</v>
      </c>
      <c r="V317">
        <v>165.3</v>
      </c>
      <c r="W317">
        <v>162.9</v>
      </c>
      <c r="X317">
        <v>173.4</v>
      </c>
      <c r="Y317">
        <v>158.9</v>
      </c>
      <c r="Z317">
        <v>163.80000000000001</v>
      </c>
      <c r="AA317">
        <v>169.3</v>
      </c>
      <c r="AB317">
        <v>162.4</v>
      </c>
      <c r="AC317">
        <v>165.2</v>
      </c>
      <c r="AD317">
        <v>167.6</v>
      </c>
    </row>
    <row r="318" spans="1:30" x14ac:dyDescent="0.3">
      <c r="A318" t="s">
        <v>33</v>
      </c>
      <c r="B318">
        <v>2021</v>
      </c>
      <c r="C318" t="s">
        <v>45</v>
      </c>
      <c r="D318">
        <v>151</v>
      </c>
      <c r="E318">
        <v>204.9</v>
      </c>
      <c r="F318">
        <v>175.4</v>
      </c>
      <c r="G318">
        <v>159.6</v>
      </c>
      <c r="H318">
        <v>175.8</v>
      </c>
      <c r="I318">
        <v>160.30000000000001</v>
      </c>
      <c r="J318">
        <v>229.1</v>
      </c>
      <c r="K318">
        <v>165.1</v>
      </c>
      <c r="L318">
        <v>123.1</v>
      </c>
      <c r="M318">
        <v>167.2</v>
      </c>
      <c r="N318">
        <v>156.1</v>
      </c>
      <c r="O318">
        <v>176.8</v>
      </c>
      <c r="P318">
        <v>173.5</v>
      </c>
      <c r="Q318">
        <v>197</v>
      </c>
      <c r="R318">
        <v>162.30000000000001</v>
      </c>
      <c r="S318">
        <v>145.30000000000001</v>
      </c>
      <c r="T318">
        <v>159.69999999999999</v>
      </c>
      <c r="U318">
        <v>164.2</v>
      </c>
      <c r="V318">
        <v>161.6</v>
      </c>
      <c r="W318">
        <v>155.19999999999999</v>
      </c>
      <c r="X318">
        <v>164.2</v>
      </c>
      <c r="Y318">
        <v>151.19999999999999</v>
      </c>
      <c r="Z318">
        <v>156.69999999999999</v>
      </c>
      <c r="AA318">
        <v>160.80000000000001</v>
      </c>
      <c r="AB318">
        <v>161.80000000000001</v>
      </c>
      <c r="AC318">
        <v>157.30000000000001</v>
      </c>
      <c r="AD318">
        <v>165.6</v>
      </c>
    </row>
    <row r="319" spans="1:30" x14ac:dyDescent="0.3">
      <c r="A319" t="s">
        <v>34</v>
      </c>
      <c r="B319">
        <v>2021</v>
      </c>
      <c r="C319" t="s">
        <v>45</v>
      </c>
      <c r="D319">
        <v>148.19999999999999</v>
      </c>
      <c r="E319">
        <v>201.6</v>
      </c>
      <c r="F319">
        <v>173</v>
      </c>
      <c r="G319">
        <v>159.30000000000001</v>
      </c>
      <c r="H319">
        <v>190.1</v>
      </c>
      <c r="I319">
        <v>156.5</v>
      </c>
      <c r="J319">
        <v>199.2</v>
      </c>
      <c r="K319">
        <v>165.3</v>
      </c>
      <c r="L319">
        <v>122.4</v>
      </c>
      <c r="M319">
        <v>169.6</v>
      </c>
      <c r="N319">
        <v>163.69999999999999</v>
      </c>
      <c r="O319">
        <v>175.5</v>
      </c>
      <c r="P319">
        <v>169.7</v>
      </c>
      <c r="Q319">
        <v>192.9</v>
      </c>
      <c r="R319">
        <v>167.2</v>
      </c>
      <c r="S319">
        <v>157.4</v>
      </c>
      <c r="T319">
        <v>165.8</v>
      </c>
      <c r="U319">
        <v>164.2</v>
      </c>
      <c r="V319">
        <v>163.9</v>
      </c>
      <c r="W319">
        <v>159.30000000000001</v>
      </c>
      <c r="X319">
        <v>169.9</v>
      </c>
      <c r="Y319">
        <v>154.80000000000001</v>
      </c>
      <c r="Z319">
        <v>159.80000000000001</v>
      </c>
      <c r="AA319">
        <v>164.3</v>
      </c>
      <c r="AB319">
        <v>162.19999999999999</v>
      </c>
      <c r="AC319">
        <v>161.4</v>
      </c>
      <c r="AD319">
        <v>166.7</v>
      </c>
    </row>
    <row r="320" spans="1:30" x14ac:dyDescent="0.3">
      <c r="A320" t="s">
        <v>30</v>
      </c>
      <c r="B320">
        <v>2021</v>
      </c>
      <c r="C320" t="s">
        <v>46</v>
      </c>
      <c r="D320">
        <v>147.4</v>
      </c>
      <c r="E320">
        <v>197</v>
      </c>
      <c r="F320">
        <v>176.5</v>
      </c>
      <c r="G320">
        <v>159.80000000000001</v>
      </c>
      <c r="H320">
        <v>195.8</v>
      </c>
      <c r="I320">
        <v>152</v>
      </c>
      <c r="J320">
        <v>172.3</v>
      </c>
      <c r="K320">
        <v>164.5</v>
      </c>
      <c r="L320">
        <v>120.6</v>
      </c>
      <c r="M320">
        <v>171.7</v>
      </c>
      <c r="N320">
        <v>169.7</v>
      </c>
      <c r="O320">
        <v>175.1</v>
      </c>
      <c r="P320">
        <v>165.8</v>
      </c>
      <c r="Q320">
        <v>190.8</v>
      </c>
      <c r="R320">
        <v>171.8</v>
      </c>
      <c r="S320">
        <v>167.3</v>
      </c>
      <c r="T320">
        <v>171.2</v>
      </c>
      <c r="U320" t="s">
        <v>32</v>
      </c>
      <c r="V320">
        <v>165.6</v>
      </c>
      <c r="W320">
        <v>163.9</v>
      </c>
      <c r="X320">
        <v>174</v>
      </c>
      <c r="Y320">
        <v>160.1</v>
      </c>
      <c r="Z320">
        <v>164.5</v>
      </c>
      <c r="AA320">
        <v>169.7</v>
      </c>
      <c r="AB320">
        <v>162.80000000000001</v>
      </c>
      <c r="AC320">
        <v>166</v>
      </c>
      <c r="AD320">
        <v>167</v>
      </c>
    </row>
    <row r="321" spans="1:30" x14ac:dyDescent="0.3">
      <c r="A321" t="s">
        <v>33</v>
      </c>
      <c r="B321">
        <v>2021</v>
      </c>
      <c r="C321" t="s">
        <v>46</v>
      </c>
      <c r="D321">
        <v>151.6</v>
      </c>
      <c r="E321">
        <v>202.2</v>
      </c>
      <c r="F321">
        <v>180</v>
      </c>
      <c r="G321">
        <v>160</v>
      </c>
      <c r="H321">
        <v>173.5</v>
      </c>
      <c r="I321">
        <v>158.30000000000001</v>
      </c>
      <c r="J321">
        <v>219.5</v>
      </c>
      <c r="K321">
        <v>164.2</v>
      </c>
      <c r="L321">
        <v>121.9</v>
      </c>
      <c r="M321">
        <v>168.2</v>
      </c>
      <c r="N321">
        <v>156.5</v>
      </c>
      <c r="O321">
        <v>178.2</v>
      </c>
      <c r="P321">
        <v>172.2</v>
      </c>
      <c r="Q321">
        <v>196.8</v>
      </c>
      <c r="R321">
        <v>163.30000000000001</v>
      </c>
      <c r="S321">
        <v>146.69999999999999</v>
      </c>
      <c r="T321">
        <v>160.69999999999999</v>
      </c>
      <c r="U321">
        <v>163.4</v>
      </c>
      <c r="V321">
        <v>161.69999999999999</v>
      </c>
      <c r="W321">
        <v>156</v>
      </c>
      <c r="X321">
        <v>165.1</v>
      </c>
      <c r="Y321">
        <v>151.80000000000001</v>
      </c>
      <c r="Z321">
        <v>157.6</v>
      </c>
      <c r="AA321">
        <v>160.6</v>
      </c>
      <c r="AB321">
        <v>162.4</v>
      </c>
      <c r="AC321">
        <v>157.80000000000001</v>
      </c>
      <c r="AD321">
        <v>165.2</v>
      </c>
    </row>
    <row r="322" spans="1:30" x14ac:dyDescent="0.3">
      <c r="A322" t="s">
        <v>34</v>
      </c>
      <c r="B322">
        <v>2021</v>
      </c>
      <c r="C322" t="s">
        <v>46</v>
      </c>
      <c r="D322">
        <v>148.69999999999999</v>
      </c>
      <c r="E322">
        <v>198.8</v>
      </c>
      <c r="F322">
        <v>177.9</v>
      </c>
      <c r="G322">
        <v>159.9</v>
      </c>
      <c r="H322">
        <v>187.6</v>
      </c>
      <c r="I322">
        <v>154.9</v>
      </c>
      <c r="J322">
        <v>188.3</v>
      </c>
      <c r="K322">
        <v>164.4</v>
      </c>
      <c r="L322">
        <v>121</v>
      </c>
      <c r="M322">
        <v>170.5</v>
      </c>
      <c r="N322">
        <v>164.2</v>
      </c>
      <c r="O322">
        <v>176.5</v>
      </c>
      <c r="P322">
        <v>168.2</v>
      </c>
      <c r="Q322">
        <v>192.4</v>
      </c>
      <c r="R322">
        <v>168.5</v>
      </c>
      <c r="S322">
        <v>158.69999999999999</v>
      </c>
      <c r="T322">
        <v>167</v>
      </c>
      <c r="U322">
        <v>163.4</v>
      </c>
      <c r="V322">
        <v>164.1</v>
      </c>
      <c r="W322">
        <v>160.19999999999999</v>
      </c>
      <c r="X322">
        <v>170.6</v>
      </c>
      <c r="Y322">
        <v>155.69999999999999</v>
      </c>
      <c r="Z322">
        <v>160.6</v>
      </c>
      <c r="AA322">
        <v>164.4</v>
      </c>
      <c r="AB322">
        <v>162.6</v>
      </c>
      <c r="AC322">
        <v>162</v>
      </c>
      <c r="AD322">
        <v>166.2</v>
      </c>
    </row>
    <row r="323" spans="1:30" x14ac:dyDescent="0.3">
      <c r="A323" t="s">
        <v>30</v>
      </c>
      <c r="B323">
        <v>2022</v>
      </c>
      <c r="C323" t="s">
        <v>31</v>
      </c>
      <c r="D323">
        <v>148.30000000000001</v>
      </c>
      <c r="E323">
        <v>196.9</v>
      </c>
      <c r="F323">
        <v>178</v>
      </c>
      <c r="G323">
        <v>160.5</v>
      </c>
      <c r="H323">
        <v>192.6</v>
      </c>
      <c r="I323">
        <v>151.19999999999999</v>
      </c>
      <c r="J323">
        <v>159.19999999999999</v>
      </c>
      <c r="K323">
        <v>164</v>
      </c>
      <c r="L323">
        <v>119.3</v>
      </c>
      <c r="M323">
        <v>173.3</v>
      </c>
      <c r="N323">
        <v>169.8</v>
      </c>
      <c r="O323">
        <v>175.8</v>
      </c>
      <c r="P323">
        <v>164.1</v>
      </c>
      <c r="Q323">
        <v>190.7</v>
      </c>
      <c r="R323">
        <v>173.2</v>
      </c>
      <c r="S323">
        <v>169.3</v>
      </c>
      <c r="T323">
        <v>172.7</v>
      </c>
      <c r="U323" t="s">
        <v>32</v>
      </c>
      <c r="V323">
        <v>165.8</v>
      </c>
      <c r="W323">
        <v>164.9</v>
      </c>
      <c r="X323">
        <v>174.7</v>
      </c>
      <c r="Y323">
        <v>160.80000000000001</v>
      </c>
      <c r="Z323">
        <v>164.9</v>
      </c>
      <c r="AA323">
        <v>169.9</v>
      </c>
      <c r="AB323">
        <v>163.19999999999999</v>
      </c>
      <c r="AC323">
        <v>166.6</v>
      </c>
      <c r="AD323">
        <v>166.4</v>
      </c>
    </row>
    <row r="324" spans="1:30" x14ac:dyDescent="0.3">
      <c r="A324" t="s">
        <v>33</v>
      </c>
      <c r="B324">
        <v>2022</v>
      </c>
      <c r="C324" t="s">
        <v>31</v>
      </c>
      <c r="D324">
        <v>152.19999999999999</v>
      </c>
      <c r="E324">
        <v>202.1</v>
      </c>
      <c r="F324">
        <v>180.1</v>
      </c>
      <c r="G324">
        <v>160.4</v>
      </c>
      <c r="H324">
        <v>171</v>
      </c>
      <c r="I324">
        <v>156.5</v>
      </c>
      <c r="J324">
        <v>203.6</v>
      </c>
      <c r="K324">
        <v>163.80000000000001</v>
      </c>
      <c r="L324">
        <v>121.3</v>
      </c>
      <c r="M324">
        <v>169.8</v>
      </c>
      <c r="N324">
        <v>156.6</v>
      </c>
      <c r="O324">
        <v>179</v>
      </c>
      <c r="P324">
        <v>170.3</v>
      </c>
      <c r="Q324">
        <v>196.4</v>
      </c>
      <c r="R324">
        <v>164.7</v>
      </c>
      <c r="S324">
        <v>148.5</v>
      </c>
      <c r="T324">
        <v>162.19999999999999</v>
      </c>
      <c r="U324">
        <v>164.5</v>
      </c>
      <c r="V324">
        <v>161.6</v>
      </c>
      <c r="W324">
        <v>156.80000000000001</v>
      </c>
      <c r="X324">
        <v>166.1</v>
      </c>
      <c r="Y324">
        <v>152.69999999999999</v>
      </c>
      <c r="Z324">
        <v>158.4</v>
      </c>
      <c r="AA324">
        <v>161</v>
      </c>
      <c r="AB324">
        <v>162.80000000000001</v>
      </c>
      <c r="AC324">
        <v>158.6</v>
      </c>
      <c r="AD324">
        <v>165</v>
      </c>
    </row>
    <row r="325" spans="1:30" x14ac:dyDescent="0.3">
      <c r="A325" t="s">
        <v>34</v>
      </c>
      <c r="B325">
        <v>2022</v>
      </c>
      <c r="C325" t="s">
        <v>31</v>
      </c>
      <c r="D325">
        <v>149.5</v>
      </c>
      <c r="E325">
        <v>198.7</v>
      </c>
      <c r="F325">
        <v>178.8</v>
      </c>
      <c r="G325">
        <v>160.5</v>
      </c>
      <c r="H325">
        <v>184.7</v>
      </c>
      <c r="I325">
        <v>153.69999999999999</v>
      </c>
      <c r="J325">
        <v>174.3</v>
      </c>
      <c r="K325">
        <v>163.9</v>
      </c>
      <c r="L325">
        <v>120</v>
      </c>
      <c r="M325">
        <v>172.1</v>
      </c>
      <c r="N325">
        <v>164.3</v>
      </c>
      <c r="O325">
        <v>177.3</v>
      </c>
      <c r="P325">
        <v>166.4</v>
      </c>
      <c r="Q325">
        <v>192.2</v>
      </c>
      <c r="R325">
        <v>169.9</v>
      </c>
      <c r="S325">
        <v>160.69999999999999</v>
      </c>
      <c r="T325">
        <v>168.5</v>
      </c>
      <c r="U325">
        <v>164.5</v>
      </c>
      <c r="V325">
        <v>164.2</v>
      </c>
      <c r="W325">
        <v>161.1</v>
      </c>
      <c r="X325">
        <v>171.4</v>
      </c>
      <c r="Y325">
        <v>156.5</v>
      </c>
      <c r="Z325">
        <v>161.19999999999999</v>
      </c>
      <c r="AA325">
        <v>164.7</v>
      </c>
      <c r="AB325">
        <v>163</v>
      </c>
      <c r="AC325">
        <v>162.69999999999999</v>
      </c>
      <c r="AD325">
        <v>165.7</v>
      </c>
    </row>
    <row r="326" spans="1:30" x14ac:dyDescent="0.3">
      <c r="A326" t="s">
        <v>30</v>
      </c>
      <c r="B326">
        <v>2022</v>
      </c>
      <c r="C326" t="s">
        <v>35</v>
      </c>
      <c r="D326">
        <v>148.80000000000001</v>
      </c>
      <c r="E326">
        <v>198.1</v>
      </c>
      <c r="F326">
        <v>175.5</v>
      </c>
      <c r="G326">
        <v>160.69999999999999</v>
      </c>
      <c r="H326">
        <v>192.6</v>
      </c>
      <c r="I326">
        <v>151.4</v>
      </c>
      <c r="J326">
        <v>155.19999999999999</v>
      </c>
      <c r="K326">
        <v>163.9</v>
      </c>
      <c r="L326">
        <v>118.1</v>
      </c>
      <c r="M326">
        <v>175.4</v>
      </c>
      <c r="N326">
        <v>170.5</v>
      </c>
      <c r="O326">
        <v>176.3</v>
      </c>
      <c r="P326">
        <v>163.9</v>
      </c>
      <c r="Q326">
        <v>191.5</v>
      </c>
      <c r="R326">
        <v>174.1</v>
      </c>
      <c r="S326">
        <v>171</v>
      </c>
      <c r="T326">
        <v>173.7</v>
      </c>
      <c r="U326" t="s">
        <v>32</v>
      </c>
      <c r="V326">
        <v>167.4</v>
      </c>
      <c r="W326">
        <v>165.7</v>
      </c>
      <c r="X326">
        <v>175.3</v>
      </c>
      <c r="Y326">
        <v>161.19999999999999</v>
      </c>
      <c r="Z326">
        <v>165.5</v>
      </c>
      <c r="AA326">
        <v>170.3</v>
      </c>
      <c r="AB326">
        <v>164.5</v>
      </c>
      <c r="AC326">
        <v>167.3</v>
      </c>
      <c r="AD326">
        <v>166.7</v>
      </c>
    </row>
    <row r="327" spans="1:30" x14ac:dyDescent="0.3">
      <c r="A327" t="s">
        <v>33</v>
      </c>
      <c r="B327">
        <v>2022</v>
      </c>
      <c r="C327" t="s">
        <v>35</v>
      </c>
      <c r="D327">
        <v>152.5</v>
      </c>
      <c r="E327">
        <v>205.2</v>
      </c>
      <c r="F327">
        <v>176.4</v>
      </c>
      <c r="G327">
        <v>160.6</v>
      </c>
      <c r="H327">
        <v>171.5</v>
      </c>
      <c r="I327">
        <v>156.4</v>
      </c>
      <c r="J327">
        <v>198</v>
      </c>
      <c r="K327">
        <v>163.19999999999999</v>
      </c>
      <c r="L327">
        <v>120.6</v>
      </c>
      <c r="M327">
        <v>172.2</v>
      </c>
      <c r="N327">
        <v>156.69999999999999</v>
      </c>
      <c r="O327">
        <v>180</v>
      </c>
      <c r="P327">
        <v>170.2</v>
      </c>
      <c r="Q327">
        <v>196.5</v>
      </c>
      <c r="R327">
        <v>165.7</v>
      </c>
      <c r="S327">
        <v>150.4</v>
      </c>
      <c r="T327">
        <v>163.4</v>
      </c>
      <c r="U327">
        <v>165.5</v>
      </c>
      <c r="V327">
        <v>163</v>
      </c>
      <c r="W327">
        <v>157.4</v>
      </c>
      <c r="X327">
        <v>167.2</v>
      </c>
      <c r="Y327">
        <v>153.1</v>
      </c>
      <c r="Z327">
        <v>159.5</v>
      </c>
      <c r="AA327">
        <v>162</v>
      </c>
      <c r="AB327">
        <v>164.2</v>
      </c>
      <c r="AC327">
        <v>159.4</v>
      </c>
      <c r="AD327">
        <v>165.5</v>
      </c>
    </row>
    <row r="328" spans="1:30" x14ac:dyDescent="0.3">
      <c r="A328" t="s">
        <v>34</v>
      </c>
      <c r="B328">
        <v>2022</v>
      </c>
      <c r="C328" t="s">
        <v>35</v>
      </c>
      <c r="D328">
        <v>150</v>
      </c>
      <c r="E328">
        <v>200.6</v>
      </c>
      <c r="F328">
        <v>175.8</v>
      </c>
      <c r="G328">
        <v>160.69999999999999</v>
      </c>
      <c r="H328">
        <v>184.9</v>
      </c>
      <c r="I328">
        <v>153.69999999999999</v>
      </c>
      <c r="J328">
        <v>169.7</v>
      </c>
      <c r="K328">
        <v>163.69999999999999</v>
      </c>
      <c r="L328">
        <v>118.9</v>
      </c>
      <c r="M328">
        <v>174.3</v>
      </c>
      <c r="N328">
        <v>164.7</v>
      </c>
      <c r="O328">
        <v>178</v>
      </c>
      <c r="P328">
        <v>166.2</v>
      </c>
      <c r="Q328">
        <v>192.8</v>
      </c>
      <c r="R328">
        <v>170.8</v>
      </c>
      <c r="S328">
        <v>162.4</v>
      </c>
      <c r="T328">
        <v>169.6</v>
      </c>
      <c r="U328">
        <v>165.5</v>
      </c>
      <c r="V328">
        <v>165.7</v>
      </c>
      <c r="W328">
        <v>161.80000000000001</v>
      </c>
      <c r="X328">
        <v>172.2</v>
      </c>
      <c r="Y328">
        <v>156.9</v>
      </c>
      <c r="Z328">
        <v>162.1</v>
      </c>
      <c r="AA328">
        <v>165.4</v>
      </c>
      <c r="AB328">
        <v>164.4</v>
      </c>
      <c r="AC328">
        <v>163.5</v>
      </c>
      <c r="AD328">
        <v>166.1</v>
      </c>
    </row>
    <row r="329" spans="1:30" x14ac:dyDescent="0.3">
      <c r="A329" t="s">
        <v>30</v>
      </c>
      <c r="B329">
        <v>2022</v>
      </c>
      <c r="C329" t="s">
        <v>36</v>
      </c>
      <c r="D329">
        <v>150.19999999999999</v>
      </c>
      <c r="E329">
        <v>208</v>
      </c>
      <c r="F329">
        <v>167.9</v>
      </c>
      <c r="G329">
        <v>162</v>
      </c>
      <c r="H329">
        <v>203.1</v>
      </c>
      <c r="I329">
        <v>155.9</v>
      </c>
      <c r="J329">
        <v>155.80000000000001</v>
      </c>
      <c r="K329">
        <v>164.2</v>
      </c>
      <c r="L329">
        <v>118.1</v>
      </c>
      <c r="M329">
        <v>178.7</v>
      </c>
      <c r="N329">
        <v>171.2</v>
      </c>
      <c r="O329">
        <v>177.4</v>
      </c>
      <c r="P329">
        <v>166.6</v>
      </c>
      <c r="Q329">
        <v>192.3</v>
      </c>
      <c r="R329">
        <v>175.4</v>
      </c>
      <c r="S329">
        <v>173.2</v>
      </c>
      <c r="T329">
        <v>175.1</v>
      </c>
      <c r="U329" t="s">
        <v>32</v>
      </c>
      <c r="V329">
        <v>168.9</v>
      </c>
      <c r="W329">
        <v>166.5</v>
      </c>
      <c r="X329">
        <v>176</v>
      </c>
      <c r="Y329">
        <v>162</v>
      </c>
      <c r="Z329">
        <v>166.6</v>
      </c>
      <c r="AA329">
        <v>170.6</v>
      </c>
      <c r="AB329">
        <v>167.4</v>
      </c>
      <c r="AC329">
        <v>168.3</v>
      </c>
      <c r="AD329">
        <v>168.7</v>
      </c>
    </row>
    <row r="330" spans="1:30" x14ac:dyDescent="0.3">
      <c r="A330" t="s">
        <v>33</v>
      </c>
      <c r="B330">
        <v>2022</v>
      </c>
      <c r="C330" t="s">
        <v>36</v>
      </c>
      <c r="D330">
        <v>153.69999999999999</v>
      </c>
      <c r="E330">
        <v>215.8</v>
      </c>
      <c r="F330">
        <v>167.7</v>
      </c>
      <c r="G330">
        <v>162.6</v>
      </c>
      <c r="H330">
        <v>180</v>
      </c>
      <c r="I330">
        <v>159.6</v>
      </c>
      <c r="J330">
        <v>188.4</v>
      </c>
      <c r="K330">
        <v>163.4</v>
      </c>
      <c r="L330">
        <v>120.3</v>
      </c>
      <c r="M330">
        <v>174.7</v>
      </c>
      <c r="N330">
        <v>157.1</v>
      </c>
      <c r="O330">
        <v>181.5</v>
      </c>
      <c r="P330">
        <v>171.5</v>
      </c>
      <c r="Q330">
        <v>197.5</v>
      </c>
      <c r="R330">
        <v>167.1</v>
      </c>
      <c r="S330">
        <v>152.6</v>
      </c>
      <c r="T330">
        <v>164.9</v>
      </c>
      <c r="U330">
        <v>165.3</v>
      </c>
      <c r="V330">
        <v>164.5</v>
      </c>
      <c r="W330">
        <v>158.6</v>
      </c>
      <c r="X330">
        <v>168.2</v>
      </c>
      <c r="Y330">
        <v>154.19999999999999</v>
      </c>
      <c r="Z330">
        <v>160.80000000000001</v>
      </c>
      <c r="AA330">
        <v>162.69999999999999</v>
      </c>
      <c r="AB330">
        <v>166.8</v>
      </c>
      <c r="AC330">
        <v>160.6</v>
      </c>
      <c r="AD330">
        <v>166.5</v>
      </c>
    </row>
    <row r="331" spans="1:30" x14ac:dyDescent="0.3">
      <c r="A331" t="s">
        <v>34</v>
      </c>
      <c r="B331">
        <v>2022</v>
      </c>
      <c r="C331" t="s">
        <v>36</v>
      </c>
      <c r="D331">
        <v>151.30000000000001</v>
      </c>
      <c r="E331">
        <v>210.7</v>
      </c>
      <c r="F331">
        <v>167.8</v>
      </c>
      <c r="G331">
        <v>162.19999999999999</v>
      </c>
      <c r="H331">
        <v>194.6</v>
      </c>
      <c r="I331">
        <v>157.6</v>
      </c>
      <c r="J331">
        <v>166.9</v>
      </c>
      <c r="K331">
        <v>163.9</v>
      </c>
      <c r="L331">
        <v>118.8</v>
      </c>
      <c r="M331">
        <v>177.4</v>
      </c>
      <c r="N331">
        <v>165.3</v>
      </c>
      <c r="O331">
        <v>179.3</v>
      </c>
      <c r="P331">
        <v>168.4</v>
      </c>
      <c r="Q331">
        <v>193.7</v>
      </c>
      <c r="R331">
        <v>172.1</v>
      </c>
      <c r="S331">
        <v>164.6</v>
      </c>
      <c r="T331">
        <v>171.1</v>
      </c>
      <c r="U331">
        <v>165.3</v>
      </c>
      <c r="V331">
        <v>167.2</v>
      </c>
      <c r="W331">
        <v>162.80000000000001</v>
      </c>
      <c r="X331">
        <v>173</v>
      </c>
      <c r="Y331">
        <v>157.9</v>
      </c>
      <c r="Z331">
        <v>163.30000000000001</v>
      </c>
      <c r="AA331">
        <v>166</v>
      </c>
      <c r="AB331">
        <v>167.2</v>
      </c>
      <c r="AC331">
        <v>164.6</v>
      </c>
      <c r="AD331">
        <v>167.7</v>
      </c>
    </row>
    <row r="332" spans="1:30" x14ac:dyDescent="0.3">
      <c r="A332" t="s">
        <v>30</v>
      </c>
      <c r="B332">
        <v>2022</v>
      </c>
      <c r="C332" t="s">
        <v>37</v>
      </c>
      <c r="D332">
        <v>151.80000000000001</v>
      </c>
      <c r="E332">
        <v>209.7</v>
      </c>
      <c r="F332">
        <v>164.5</v>
      </c>
      <c r="G332">
        <v>163.80000000000001</v>
      </c>
      <c r="H332">
        <v>207.4</v>
      </c>
      <c r="I332">
        <v>169.7</v>
      </c>
      <c r="J332">
        <v>153.6</v>
      </c>
      <c r="K332">
        <v>165.1</v>
      </c>
      <c r="L332">
        <v>118.2</v>
      </c>
      <c r="M332">
        <v>182.9</v>
      </c>
      <c r="N332">
        <v>172.4</v>
      </c>
      <c r="O332">
        <v>178.9</v>
      </c>
      <c r="P332">
        <v>168.6</v>
      </c>
      <c r="Q332">
        <v>192.8</v>
      </c>
      <c r="R332">
        <v>177.5</v>
      </c>
      <c r="S332">
        <v>175.1</v>
      </c>
      <c r="T332">
        <v>177.1</v>
      </c>
      <c r="U332" t="s">
        <v>32</v>
      </c>
      <c r="V332">
        <v>173.3</v>
      </c>
      <c r="W332">
        <v>167.7</v>
      </c>
      <c r="X332">
        <v>177</v>
      </c>
      <c r="Y332">
        <v>166.2</v>
      </c>
      <c r="Z332">
        <v>167.2</v>
      </c>
      <c r="AA332">
        <v>170.9</v>
      </c>
      <c r="AB332">
        <v>169</v>
      </c>
      <c r="AC332">
        <v>170.2</v>
      </c>
      <c r="AD332">
        <v>170.8</v>
      </c>
    </row>
    <row r="333" spans="1:30" x14ac:dyDescent="0.3">
      <c r="A333" t="s">
        <v>33</v>
      </c>
      <c r="B333">
        <v>2022</v>
      </c>
      <c r="C333" t="s">
        <v>37</v>
      </c>
      <c r="D333">
        <v>155.4</v>
      </c>
      <c r="E333">
        <v>215.8</v>
      </c>
      <c r="F333">
        <v>164.6</v>
      </c>
      <c r="G333">
        <v>164.2</v>
      </c>
      <c r="H333">
        <v>186</v>
      </c>
      <c r="I333">
        <v>175.9</v>
      </c>
      <c r="J333">
        <v>190.7</v>
      </c>
      <c r="K333">
        <v>164</v>
      </c>
      <c r="L333">
        <v>120.5</v>
      </c>
      <c r="M333">
        <v>178</v>
      </c>
      <c r="N333">
        <v>157.5</v>
      </c>
      <c r="O333">
        <v>183.3</v>
      </c>
      <c r="P333">
        <v>174.5</v>
      </c>
      <c r="Q333">
        <v>197.1</v>
      </c>
      <c r="R333">
        <v>168.4</v>
      </c>
      <c r="S333">
        <v>154.5</v>
      </c>
      <c r="T333">
        <v>166.3</v>
      </c>
      <c r="U333">
        <v>167</v>
      </c>
      <c r="V333">
        <v>170.5</v>
      </c>
      <c r="W333">
        <v>159.80000000000001</v>
      </c>
      <c r="X333">
        <v>169</v>
      </c>
      <c r="Y333">
        <v>159.30000000000001</v>
      </c>
      <c r="Z333">
        <v>162.19999999999999</v>
      </c>
      <c r="AA333">
        <v>164</v>
      </c>
      <c r="AB333">
        <v>168.4</v>
      </c>
      <c r="AC333">
        <v>163.1</v>
      </c>
      <c r="AD333">
        <v>169.2</v>
      </c>
    </row>
    <row r="334" spans="1:30" x14ac:dyDescent="0.3">
      <c r="A334" t="s">
        <v>34</v>
      </c>
      <c r="B334">
        <v>2022</v>
      </c>
      <c r="C334" t="s">
        <v>37</v>
      </c>
      <c r="D334">
        <v>152.9</v>
      </c>
      <c r="E334">
        <v>211.8</v>
      </c>
      <c r="F334">
        <v>164.5</v>
      </c>
      <c r="G334">
        <v>163.9</v>
      </c>
      <c r="H334">
        <v>199.5</v>
      </c>
      <c r="I334">
        <v>172.6</v>
      </c>
      <c r="J334">
        <v>166.2</v>
      </c>
      <c r="K334">
        <v>164.7</v>
      </c>
      <c r="L334">
        <v>119</v>
      </c>
      <c r="M334">
        <v>181.3</v>
      </c>
      <c r="N334">
        <v>166.2</v>
      </c>
      <c r="O334">
        <v>180.9</v>
      </c>
      <c r="P334">
        <v>170.8</v>
      </c>
      <c r="Q334">
        <v>193.9</v>
      </c>
      <c r="R334">
        <v>173.9</v>
      </c>
      <c r="S334">
        <v>166.5</v>
      </c>
      <c r="T334">
        <v>172.8</v>
      </c>
      <c r="U334">
        <v>167</v>
      </c>
      <c r="V334">
        <v>172.2</v>
      </c>
      <c r="W334">
        <v>164</v>
      </c>
      <c r="X334">
        <v>174</v>
      </c>
      <c r="Y334">
        <v>162.6</v>
      </c>
      <c r="Z334">
        <v>164.4</v>
      </c>
      <c r="AA334">
        <v>166.9</v>
      </c>
      <c r="AB334">
        <v>168.8</v>
      </c>
      <c r="AC334">
        <v>166.8</v>
      </c>
      <c r="AD334">
        <v>170.1</v>
      </c>
    </row>
    <row r="335" spans="1:30" x14ac:dyDescent="0.3">
      <c r="A335" t="s">
        <v>30</v>
      </c>
      <c r="B335">
        <v>2022</v>
      </c>
      <c r="C335" t="s">
        <v>38</v>
      </c>
      <c r="D335">
        <v>152.9</v>
      </c>
      <c r="E335">
        <v>214.7</v>
      </c>
      <c r="F335">
        <v>161.4</v>
      </c>
      <c r="G335">
        <v>164.6</v>
      </c>
      <c r="H335">
        <v>209.9</v>
      </c>
      <c r="I335">
        <v>168</v>
      </c>
      <c r="J335">
        <v>160.4</v>
      </c>
      <c r="K335">
        <v>165</v>
      </c>
      <c r="L335">
        <v>118.9</v>
      </c>
      <c r="M335">
        <v>186.6</v>
      </c>
      <c r="N335">
        <v>173.2</v>
      </c>
      <c r="O335">
        <v>180.4</v>
      </c>
      <c r="P335">
        <v>170.8</v>
      </c>
      <c r="Q335">
        <v>192.9</v>
      </c>
      <c r="R335">
        <v>179.3</v>
      </c>
      <c r="S335">
        <v>177.2</v>
      </c>
      <c r="T335">
        <v>179</v>
      </c>
      <c r="U335" t="s">
        <v>32</v>
      </c>
      <c r="V335">
        <v>175.3</v>
      </c>
      <c r="W335">
        <v>168.9</v>
      </c>
      <c r="X335">
        <v>177.7</v>
      </c>
      <c r="Y335">
        <v>167.1</v>
      </c>
      <c r="Z335">
        <v>167.6</v>
      </c>
      <c r="AA335">
        <v>171.8</v>
      </c>
      <c r="AB335">
        <v>168.5</v>
      </c>
      <c r="AC335">
        <v>170.9</v>
      </c>
      <c r="AD335">
        <v>172.5</v>
      </c>
    </row>
    <row r="336" spans="1:30" x14ac:dyDescent="0.3">
      <c r="A336" t="s">
        <v>33</v>
      </c>
      <c r="B336">
        <v>2022</v>
      </c>
      <c r="C336" t="s">
        <v>38</v>
      </c>
      <c r="D336">
        <v>156.69999999999999</v>
      </c>
      <c r="E336">
        <v>221.2</v>
      </c>
      <c r="F336">
        <v>164.1</v>
      </c>
      <c r="G336">
        <v>165.4</v>
      </c>
      <c r="H336">
        <v>189.5</v>
      </c>
      <c r="I336">
        <v>174.5</v>
      </c>
      <c r="J336">
        <v>203.2</v>
      </c>
      <c r="K336">
        <v>164.1</v>
      </c>
      <c r="L336">
        <v>121.2</v>
      </c>
      <c r="M336">
        <v>181.4</v>
      </c>
      <c r="N336">
        <v>158.5</v>
      </c>
      <c r="O336">
        <v>184.9</v>
      </c>
      <c r="P336">
        <v>177.5</v>
      </c>
      <c r="Q336">
        <v>197.5</v>
      </c>
      <c r="R336">
        <v>170</v>
      </c>
      <c r="S336">
        <v>155.9</v>
      </c>
      <c r="T336">
        <v>167.8</v>
      </c>
      <c r="U336">
        <v>167.5</v>
      </c>
      <c r="V336">
        <v>173.5</v>
      </c>
      <c r="W336">
        <v>161.1</v>
      </c>
      <c r="X336">
        <v>170.1</v>
      </c>
      <c r="Y336">
        <v>159.4</v>
      </c>
      <c r="Z336">
        <v>163.19999999999999</v>
      </c>
      <c r="AA336">
        <v>165.2</v>
      </c>
      <c r="AB336">
        <v>168.2</v>
      </c>
      <c r="AC336">
        <v>163.80000000000001</v>
      </c>
      <c r="AD336">
        <v>170.8</v>
      </c>
    </row>
    <row r="337" spans="1:30" x14ac:dyDescent="0.3">
      <c r="A337" t="s">
        <v>34</v>
      </c>
      <c r="B337">
        <v>2022</v>
      </c>
      <c r="C337" t="s">
        <v>38</v>
      </c>
      <c r="D337">
        <v>154.1</v>
      </c>
      <c r="E337">
        <v>217</v>
      </c>
      <c r="F337">
        <v>162.4</v>
      </c>
      <c r="G337">
        <v>164.9</v>
      </c>
      <c r="H337">
        <v>202.4</v>
      </c>
      <c r="I337">
        <v>171</v>
      </c>
      <c r="J337">
        <v>174.9</v>
      </c>
      <c r="K337">
        <v>164.7</v>
      </c>
      <c r="L337">
        <v>119.7</v>
      </c>
      <c r="M337">
        <v>184.9</v>
      </c>
      <c r="N337">
        <v>167.1</v>
      </c>
      <c r="O337">
        <v>182.5</v>
      </c>
      <c r="P337">
        <v>173.3</v>
      </c>
      <c r="Q337">
        <v>194.1</v>
      </c>
      <c r="R337">
        <v>175.6</v>
      </c>
      <c r="S337">
        <v>168.4</v>
      </c>
      <c r="T337">
        <v>174.6</v>
      </c>
      <c r="U337">
        <v>167.5</v>
      </c>
      <c r="V337">
        <v>174.6</v>
      </c>
      <c r="W337">
        <v>165.2</v>
      </c>
      <c r="X337">
        <v>174.8</v>
      </c>
      <c r="Y337">
        <v>163</v>
      </c>
      <c r="Z337">
        <v>165.1</v>
      </c>
      <c r="AA337">
        <v>167.9</v>
      </c>
      <c r="AB337">
        <v>168.4</v>
      </c>
      <c r="AC337">
        <v>167.5</v>
      </c>
      <c r="AD337">
        <v>171.7</v>
      </c>
    </row>
    <row r="338" spans="1:30" x14ac:dyDescent="0.3">
      <c r="A338" t="s">
        <v>30</v>
      </c>
      <c r="B338">
        <v>2022</v>
      </c>
      <c r="C338" t="s">
        <v>39</v>
      </c>
      <c r="D338">
        <v>153.80000000000001</v>
      </c>
      <c r="E338">
        <v>217.2</v>
      </c>
      <c r="F338">
        <v>169.6</v>
      </c>
      <c r="G338">
        <v>165.4</v>
      </c>
      <c r="H338">
        <v>208.1</v>
      </c>
      <c r="I338">
        <v>165.8</v>
      </c>
      <c r="J338">
        <v>167.3</v>
      </c>
      <c r="K338">
        <v>164.6</v>
      </c>
      <c r="L338">
        <v>119.1</v>
      </c>
      <c r="M338">
        <v>188.9</v>
      </c>
      <c r="N338">
        <v>174.2</v>
      </c>
      <c r="O338">
        <v>181.9</v>
      </c>
      <c r="P338">
        <v>172.4</v>
      </c>
      <c r="Q338">
        <v>192.9</v>
      </c>
      <c r="R338">
        <v>180.7</v>
      </c>
      <c r="S338">
        <v>178.7</v>
      </c>
      <c r="T338">
        <v>180.4</v>
      </c>
      <c r="U338" t="s">
        <v>32</v>
      </c>
      <c r="V338">
        <v>176.7</v>
      </c>
      <c r="W338">
        <v>170.3</v>
      </c>
      <c r="X338">
        <v>178.2</v>
      </c>
      <c r="Y338">
        <v>165.5</v>
      </c>
      <c r="Z338">
        <v>168</v>
      </c>
      <c r="AA338">
        <v>172.6</v>
      </c>
      <c r="AB338">
        <v>169.5</v>
      </c>
      <c r="AC338">
        <v>171</v>
      </c>
      <c r="AD338">
        <v>173.6</v>
      </c>
    </row>
    <row r="339" spans="1:30" x14ac:dyDescent="0.3">
      <c r="A339" t="s">
        <v>33</v>
      </c>
      <c r="B339">
        <v>2022</v>
      </c>
      <c r="C339" t="s">
        <v>39</v>
      </c>
      <c r="D339">
        <v>157.5</v>
      </c>
      <c r="E339">
        <v>223.4</v>
      </c>
      <c r="F339">
        <v>172.8</v>
      </c>
      <c r="G339">
        <v>166.4</v>
      </c>
      <c r="H339">
        <v>188.6</v>
      </c>
      <c r="I339">
        <v>174.1</v>
      </c>
      <c r="J339">
        <v>211.5</v>
      </c>
      <c r="K339">
        <v>163.6</v>
      </c>
      <c r="L339">
        <v>121.4</v>
      </c>
      <c r="M339">
        <v>183.5</v>
      </c>
      <c r="N339">
        <v>159.1</v>
      </c>
      <c r="O339">
        <v>186.3</v>
      </c>
      <c r="P339">
        <v>179.3</v>
      </c>
      <c r="Q339">
        <v>198.3</v>
      </c>
      <c r="R339">
        <v>171.6</v>
      </c>
      <c r="S339">
        <v>157.4</v>
      </c>
      <c r="T339">
        <v>169.4</v>
      </c>
      <c r="U339">
        <v>166.8</v>
      </c>
      <c r="V339">
        <v>174.9</v>
      </c>
      <c r="W339">
        <v>162.1</v>
      </c>
      <c r="X339">
        <v>170.9</v>
      </c>
      <c r="Y339">
        <v>157.19999999999999</v>
      </c>
      <c r="Z339">
        <v>164.1</v>
      </c>
      <c r="AA339">
        <v>166.5</v>
      </c>
      <c r="AB339">
        <v>169.2</v>
      </c>
      <c r="AC339">
        <v>163.80000000000001</v>
      </c>
      <c r="AD339">
        <v>171.4</v>
      </c>
    </row>
    <row r="340" spans="1:30" x14ac:dyDescent="0.3">
      <c r="A340" t="s">
        <v>34</v>
      </c>
      <c r="B340">
        <v>2022</v>
      </c>
      <c r="C340" t="s">
        <v>39</v>
      </c>
      <c r="D340">
        <v>155</v>
      </c>
      <c r="E340">
        <v>219.4</v>
      </c>
      <c r="F340">
        <v>170.8</v>
      </c>
      <c r="G340">
        <v>165.8</v>
      </c>
      <c r="H340">
        <v>200.9</v>
      </c>
      <c r="I340">
        <v>169.7</v>
      </c>
      <c r="J340">
        <v>182.3</v>
      </c>
      <c r="K340">
        <v>164.3</v>
      </c>
      <c r="L340">
        <v>119.9</v>
      </c>
      <c r="M340">
        <v>187.1</v>
      </c>
      <c r="N340">
        <v>167.9</v>
      </c>
      <c r="O340">
        <v>183.9</v>
      </c>
      <c r="P340">
        <v>174.9</v>
      </c>
      <c r="Q340">
        <v>194.3</v>
      </c>
      <c r="R340">
        <v>177.1</v>
      </c>
      <c r="S340">
        <v>169.9</v>
      </c>
      <c r="T340">
        <v>176</v>
      </c>
      <c r="U340">
        <v>166.8</v>
      </c>
      <c r="V340">
        <v>176</v>
      </c>
      <c r="W340">
        <v>166.4</v>
      </c>
      <c r="X340">
        <v>175.4</v>
      </c>
      <c r="Y340">
        <v>161.1</v>
      </c>
      <c r="Z340">
        <v>165.8</v>
      </c>
      <c r="AA340">
        <v>169</v>
      </c>
      <c r="AB340">
        <v>169.4</v>
      </c>
      <c r="AC340">
        <v>167.5</v>
      </c>
      <c r="AD340">
        <v>172.6</v>
      </c>
    </row>
    <row r="341" spans="1:30" x14ac:dyDescent="0.3">
      <c r="A341" t="s">
        <v>30</v>
      </c>
      <c r="B341">
        <v>2022</v>
      </c>
      <c r="C341" t="s">
        <v>40</v>
      </c>
      <c r="D341">
        <v>155.19999999999999</v>
      </c>
      <c r="E341">
        <v>210.8</v>
      </c>
      <c r="F341">
        <v>174.3</v>
      </c>
      <c r="G341">
        <v>166.3</v>
      </c>
      <c r="H341">
        <v>202.2</v>
      </c>
      <c r="I341">
        <v>169.6</v>
      </c>
      <c r="J341">
        <v>168.6</v>
      </c>
      <c r="K341">
        <v>164.4</v>
      </c>
      <c r="L341">
        <v>119.2</v>
      </c>
      <c r="M341">
        <v>191.8</v>
      </c>
      <c r="N341">
        <v>174.5</v>
      </c>
      <c r="O341">
        <v>183.1</v>
      </c>
      <c r="P341">
        <v>172.5</v>
      </c>
      <c r="Q341">
        <v>193.2</v>
      </c>
      <c r="R341">
        <v>182</v>
      </c>
      <c r="S341">
        <v>180.3</v>
      </c>
      <c r="T341">
        <v>181.7</v>
      </c>
      <c r="U341" t="s">
        <v>32</v>
      </c>
      <c r="V341">
        <v>179.6</v>
      </c>
      <c r="W341">
        <v>171.3</v>
      </c>
      <c r="X341">
        <v>178.8</v>
      </c>
      <c r="Y341">
        <v>166.3</v>
      </c>
      <c r="Z341">
        <v>168.6</v>
      </c>
      <c r="AA341">
        <v>174.7</v>
      </c>
      <c r="AB341">
        <v>169.7</v>
      </c>
      <c r="AC341">
        <v>171.8</v>
      </c>
      <c r="AD341">
        <v>174.3</v>
      </c>
    </row>
    <row r="342" spans="1:30" x14ac:dyDescent="0.3">
      <c r="A342" t="s">
        <v>33</v>
      </c>
      <c r="B342">
        <v>2022</v>
      </c>
      <c r="C342" t="s">
        <v>40</v>
      </c>
      <c r="D342">
        <v>159.30000000000001</v>
      </c>
      <c r="E342">
        <v>217.1</v>
      </c>
      <c r="F342">
        <v>176.6</v>
      </c>
      <c r="G342">
        <v>167.1</v>
      </c>
      <c r="H342">
        <v>184.8</v>
      </c>
      <c r="I342">
        <v>179.5</v>
      </c>
      <c r="J342">
        <v>208.5</v>
      </c>
      <c r="K342">
        <v>164</v>
      </c>
      <c r="L342">
        <v>121.5</v>
      </c>
      <c r="M342">
        <v>186.3</v>
      </c>
      <c r="N342">
        <v>159.80000000000001</v>
      </c>
      <c r="O342">
        <v>187.7</v>
      </c>
      <c r="P342">
        <v>179.4</v>
      </c>
      <c r="Q342">
        <v>198.6</v>
      </c>
      <c r="R342">
        <v>172.7</v>
      </c>
      <c r="S342">
        <v>158.69999999999999</v>
      </c>
      <c r="T342">
        <v>170.6</v>
      </c>
      <c r="U342">
        <v>167.8</v>
      </c>
      <c r="V342">
        <v>179.5</v>
      </c>
      <c r="W342">
        <v>163.1</v>
      </c>
      <c r="X342">
        <v>171.7</v>
      </c>
      <c r="Y342">
        <v>157.4</v>
      </c>
      <c r="Z342">
        <v>164.6</v>
      </c>
      <c r="AA342">
        <v>169.1</v>
      </c>
      <c r="AB342">
        <v>169.8</v>
      </c>
      <c r="AC342">
        <v>164.7</v>
      </c>
      <c r="AD342">
        <v>172.3</v>
      </c>
    </row>
    <row r="343" spans="1:30" x14ac:dyDescent="0.3">
      <c r="A343" t="s">
        <v>34</v>
      </c>
      <c r="B343">
        <v>2022</v>
      </c>
      <c r="C343" t="s">
        <v>40</v>
      </c>
      <c r="D343">
        <v>156.5</v>
      </c>
      <c r="E343">
        <v>213</v>
      </c>
      <c r="F343">
        <v>175.2</v>
      </c>
      <c r="G343">
        <v>166.6</v>
      </c>
      <c r="H343">
        <v>195.8</v>
      </c>
      <c r="I343">
        <v>174.2</v>
      </c>
      <c r="J343">
        <v>182.1</v>
      </c>
      <c r="K343">
        <v>164.3</v>
      </c>
      <c r="L343">
        <v>120</v>
      </c>
      <c r="M343">
        <v>190</v>
      </c>
      <c r="N343">
        <v>168.4</v>
      </c>
      <c r="O343">
        <v>185.2</v>
      </c>
      <c r="P343">
        <v>175</v>
      </c>
      <c r="Q343">
        <v>194.6</v>
      </c>
      <c r="R343">
        <v>178.3</v>
      </c>
      <c r="S343">
        <v>171.3</v>
      </c>
      <c r="T343">
        <v>177.3</v>
      </c>
      <c r="U343">
        <v>167.8</v>
      </c>
      <c r="V343">
        <v>179.6</v>
      </c>
      <c r="W343">
        <v>167.4</v>
      </c>
      <c r="X343">
        <v>176.1</v>
      </c>
      <c r="Y343">
        <v>161.6</v>
      </c>
      <c r="Z343">
        <v>166.3</v>
      </c>
      <c r="AA343">
        <v>171.4</v>
      </c>
      <c r="AB343">
        <v>169.7</v>
      </c>
      <c r="AC343">
        <v>168.4</v>
      </c>
      <c r="AD343">
        <v>173.4</v>
      </c>
    </row>
    <row r="344" spans="1:30" x14ac:dyDescent="0.3">
      <c r="A344" t="s">
        <v>30</v>
      </c>
      <c r="B344">
        <v>2022</v>
      </c>
      <c r="C344" t="s">
        <v>41</v>
      </c>
      <c r="D344">
        <v>159.5</v>
      </c>
      <c r="E344">
        <v>204.1</v>
      </c>
      <c r="F344">
        <v>168.3</v>
      </c>
      <c r="G344">
        <v>167.9</v>
      </c>
      <c r="H344">
        <v>198.1</v>
      </c>
      <c r="I344">
        <v>169.2</v>
      </c>
      <c r="J344">
        <v>173.1</v>
      </c>
      <c r="K344">
        <v>167.1</v>
      </c>
      <c r="L344">
        <v>120.2</v>
      </c>
      <c r="M344">
        <v>195.6</v>
      </c>
      <c r="N344">
        <v>174.8</v>
      </c>
      <c r="O344">
        <v>184</v>
      </c>
      <c r="P344">
        <v>173.9</v>
      </c>
      <c r="Q344">
        <v>193.7</v>
      </c>
      <c r="R344">
        <v>183.2</v>
      </c>
      <c r="S344">
        <v>181.7</v>
      </c>
      <c r="T344">
        <v>183</v>
      </c>
      <c r="U344" t="s">
        <v>32</v>
      </c>
      <c r="V344">
        <v>179.1</v>
      </c>
      <c r="W344">
        <v>172.3</v>
      </c>
      <c r="X344">
        <v>179.4</v>
      </c>
      <c r="Y344">
        <v>166.6</v>
      </c>
      <c r="Z344">
        <v>169.3</v>
      </c>
      <c r="AA344">
        <v>175.7</v>
      </c>
      <c r="AB344">
        <v>171.1</v>
      </c>
      <c r="AC344">
        <v>172.6</v>
      </c>
      <c r="AD344">
        <v>175.3</v>
      </c>
    </row>
    <row r="345" spans="1:30" x14ac:dyDescent="0.3">
      <c r="A345" t="s">
        <v>33</v>
      </c>
      <c r="B345">
        <v>2022</v>
      </c>
      <c r="C345" t="s">
        <v>41</v>
      </c>
      <c r="D345">
        <v>162.1</v>
      </c>
      <c r="E345">
        <v>210.9</v>
      </c>
      <c r="F345">
        <v>170.6</v>
      </c>
      <c r="G345">
        <v>168.4</v>
      </c>
      <c r="H345">
        <v>182.5</v>
      </c>
      <c r="I345">
        <v>177.1</v>
      </c>
      <c r="J345">
        <v>213.1</v>
      </c>
      <c r="K345">
        <v>167.3</v>
      </c>
      <c r="L345">
        <v>122.2</v>
      </c>
      <c r="M345">
        <v>189.7</v>
      </c>
      <c r="N345">
        <v>160.5</v>
      </c>
      <c r="O345">
        <v>188.9</v>
      </c>
      <c r="P345">
        <v>180.4</v>
      </c>
      <c r="Q345">
        <v>198.7</v>
      </c>
      <c r="R345">
        <v>173.7</v>
      </c>
      <c r="S345">
        <v>160</v>
      </c>
      <c r="T345">
        <v>171.6</v>
      </c>
      <c r="U345">
        <v>169</v>
      </c>
      <c r="V345">
        <v>178.4</v>
      </c>
      <c r="W345">
        <v>164.2</v>
      </c>
      <c r="X345">
        <v>172.6</v>
      </c>
      <c r="Y345">
        <v>157.69999999999999</v>
      </c>
      <c r="Z345">
        <v>165.1</v>
      </c>
      <c r="AA345">
        <v>169.9</v>
      </c>
      <c r="AB345">
        <v>171.4</v>
      </c>
      <c r="AC345">
        <v>165.4</v>
      </c>
      <c r="AD345">
        <v>173.1</v>
      </c>
    </row>
    <row r="346" spans="1:30" x14ac:dyDescent="0.3">
      <c r="A346" t="s">
        <v>34</v>
      </c>
      <c r="B346">
        <v>2022</v>
      </c>
      <c r="C346" t="s">
        <v>41</v>
      </c>
      <c r="D346">
        <v>160.30000000000001</v>
      </c>
      <c r="E346">
        <v>206.5</v>
      </c>
      <c r="F346">
        <v>169.2</v>
      </c>
      <c r="G346">
        <v>168.1</v>
      </c>
      <c r="H346">
        <v>192.4</v>
      </c>
      <c r="I346">
        <v>172.9</v>
      </c>
      <c r="J346">
        <v>186.7</v>
      </c>
      <c r="K346">
        <v>167.2</v>
      </c>
      <c r="L346">
        <v>120.9</v>
      </c>
      <c r="M346">
        <v>193.6</v>
      </c>
      <c r="N346">
        <v>168.8</v>
      </c>
      <c r="O346">
        <v>186.3</v>
      </c>
      <c r="P346">
        <v>176.3</v>
      </c>
      <c r="Q346">
        <v>195</v>
      </c>
      <c r="R346">
        <v>179.5</v>
      </c>
      <c r="S346">
        <v>172.7</v>
      </c>
      <c r="T346">
        <v>178.5</v>
      </c>
      <c r="U346">
        <v>169</v>
      </c>
      <c r="V346">
        <v>178.8</v>
      </c>
      <c r="W346">
        <v>168.5</v>
      </c>
      <c r="X346">
        <v>176.8</v>
      </c>
      <c r="Y346">
        <v>161.9</v>
      </c>
      <c r="Z346">
        <v>166.9</v>
      </c>
      <c r="AA346">
        <v>172.3</v>
      </c>
      <c r="AB346">
        <v>171.2</v>
      </c>
      <c r="AC346">
        <v>169.1</v>
      </c>
      <c r="AD346">
        <v>174.3</v>
      </c>
    </row>
    <row r="347" spans="1:30" x14ac:dyDescent="0.3">
      <c r="A347" t="s">
        <v>30</v>
      </c>
      <c r="B347">
        <v>2022</v>
      </c>
      <c r="C347" t="s">
        <v>42</v>
      </c>
      <c r="D347">
        <v>162.9</v>
      </c>
      <c r="E347">
        <v>206.7</v>
      </c>
      <c r="F347">
        <v>169</v>
      </c>
      <c r="G347">
        <v>169.5</v>
      </c>
      <c r="H347">
        <v>194.1</v>
      </c>
      <c r="I347">
        <v>164.1</v>
      </c>
      <c r="J347">
        <v>176.9</v>
      </c>
      <c r="K347">
        <v>169</v>
      </c>
      <c r="L347">
        <v>120.8</v>
      </c>
      <c r="M347">
        <v>199.1</v>
      </c>
      <c r="N347">
        <v>175.4</v>
      </c>
      <c r="O347">
        <v>184.8</v>
      </c>
      <c r="P347">
        <v>175.5</v>
      </c>
      <c r="Q347">
        <v>194.5</v>
      </c>
      <c r="R347">
        <v>184.7</v>
      </c>
      <c r="S347">
        <v>183.3</v>
      </c>
      <c r="T347">
        <v>184.5</v>
      </c>
      <c r="U347" t="s">
        <v>32</v>
      </c>
      <c r="V347">
        <v>179.7</v>
      </c>
      <c r="W347">
        <v>173.6</v>
      </c>
      <c r="X347">
        <v>180.2</v>
      </c>
      <c r="Y347">
        <v>166.9</v>
      </c>
      <c r="Z347">
        <v>170</v>
      </c>
      <c r="AA347">
        <v>176.2</v>
      </c>
      <c r="AB347">
        <v>170.8</v>
      </c>
      <c r="AC347">
        <v>173.1</v>
      </c>
      <c r="AD347">
        <v>176.4</v>
      </c>
    </row>
    <row r="348" spans="1:30" x14ac:dyDescent="0.3">
      <c r="A348" t="s">
        <v>33</v>
      </c>
      <c r="B348">
        <v>2022</v>
      </c>
      <c r="C348" t="s">
        <v>42</v>
      </c>
      <c r="D348">
        <v>164.9</v>
      </c>
      <c r="E348">
        <v>213.7</v>
      </c>
      <c r="F348">
        <v>170.9</v>
      </c>
      <c r="G348">
        <v>170.1</v>
      </c>
      <c r="H348">
        <v>179.3</v>
      </c>
      <c r="I348">
        <v>167.5</v>
      </c>
      <c r="J348">
        <v>220.8</v>
      </c>
      <c r="K348">
        <v>169.2</v>
      </c>
      <c r="L348">
        <v>123.1</v>
      </c>
      <c r="M348">
        <v>193.6</v>
      </c>
      <c r="N348">
        <v>161.1</v>
      </c>
      <c r="O348">
        <v>190.4</v>
      </c>
      <c r="P348">
        <v>181.8</v>
      </c>
      <c r="Q348">
        <v>199.7</v>
      </c>
      <c r="R348">
        <v>175</v>
      </c>
      <c r="S348">
        <v>161.69999999999999</v>
      </c>
      <c r="T348">
        <v>173</v>
      </c>
      <c r="U348">
        <v>169.5</v>
      </c>
      <c r="V348">
        <v>179.2</v>
      </c>
      <c r="W348">
        <v>165</v>
      </c>
      <c r="X348">
        <v>173.8</v>
      </c>
      <c r="Y348">
        <v>158.19999999999999</v>
      </c>
      <c r="Z348">
        <v>165.8</v>
      </c>
      <c r="AA348">
        <v>170.9</v>
      </c>
      <c r="AB348">
        <v>171.1</v>
      </c>
      <c r="AC348">
        <v>166.1</v>
      </c>
      <c r="AD348">
        <v>174.1</v>
      </c>
    </row>
    <row r="349" spans="1:30" x14ac:dyDescent="0.3">
      <c r="A349" t="s">
        <v>34</v>
      </c>
      <c r="B349">
        <v>2022</v>
      </c>
      <c r="C349" t="s">
        <v>42</v>
      </c>
      <c r="D349">
        <v>163.5</v>
      </c>
      <c r="E349">
        <v>209.2</v>
      </c>
      <c r="F349">
        <v>169.7</v>
      </c>
      <c r="G349">
        <v>169.7</v>
      </c>
      <c r="H349">
        <v>188.7</v>
      </c>
      <c r="I349">
        <v>165.7</v>
      </c>
      <c r="J349">
        <v>191.8</v>
      </c>
      <c r="K349">
        <v>169.1</v>
      </c>
      <c r="L349">
        <v>121.6</v>
      </c>
      <c r="M349">
        <v>197.3</v>
      </c>
      <c r="N349">
        <v>169.4</v>
      </c>
      <c r="O349">
        <v>187.4</v>
      </c>
      <c r="P349">
        <v>177.8</v>
      </c>
      <c r="Q349">
        <v>195.9</v>
      </c>
      <c r="R349">
        <v>180.9</v>
      </c>
      <c r="S349">
        <v>174.3</v>
      </c>
      <c r="T349">
        <v>179.9</v>
      </c>
      <c r="U349">
        <v>169.5</v>
      </c>
      <c r="V349">
        <v>179.5</v>
      </c>
      <c r="W349">
        <v>169.5</v>
      </c>
      <c r="X349">
        <v>177.8</v>
      </c>
      <c r="Y349">
        <v>162.30000000000001</v>
      </c>
      <c r="Z349">
        <v>167.6</v>
      </c>
      <c r="AA349">
        <v>173.1</v>
      </c>
      <c r="AB349">
        <v>170.9</v>
      </c>
      <c r="AC349">
        <v>169.7</v>
      </c>
      <c r="AD349">
        <v>175.3</v>
      </c>
    </row>
    <row r="350" spans="1:30" x14ac:dyDescent="0.3">
      <c r="A350" t="s">
        <v>30</v>
      </c>
      <c r="B350">
        <v>2022</v>
      </c>
      <c r="C350" t="s">
        <v>43</v>
      </c>
      <c r="D350">
        <v>164.7</v>
      </c>
      <c r="E350">
        <v>208.8</v>
      </c>
      <c r="F350">
        <v>170.3</v>
      </c>
      <c r="G350">
        <v>170.9</v>
      </c>
      <c r="H350">
        <v>191.6</v>
      </c>
      <c r="I350">
        <v>162.19999999999999</v>
      </c>
      <c r="J350">
        <v>184.8</v>
      </c>
      <c r="K350">
        <v>169.7</v>
      </c>
      <c r="L350">
        <v>121.1</v>
      </c>
      <c r="M350">
        <v>201.6</v>
      </c>
      <c r="N350">
        <v>175.8</v>
      </c>
      <c r="O350">
        <v>185.6</v>
      </c>
      <c r="P350">
        <v>177.4</v>
      </c>
      <c r="Q350">
        <v>194.9</v>
      </c>
      <c r="R350">
        <v>186.1</v>
      </c>
      <c r="S350">
        <v>184.4</v>
      </c>
      <c r="T350">
        <v>185.9</v>
      </c>
      <c r="U350" t="s">
        <v>32</v>
      </c>
      <c r="V350">
        <v>180.8</v>
      </c>
      <c r="W350">
        <v>174.4</v>
      </c>
      <c r="X350">
        <v>181.2</v>
      </c>
      <c r="Y350">
        <v>167.4</v>
      </c>
      <c r="Z350">
        <v>170.6</v>
      </c>
      <c r="AA350">
        <v>176.5</v>
      </c>
      <c r="AB350">
        <v>172</v>
      </c>
      <c r="AC350">
        <v>173.9</v>
      </c>
      <c r="AD350">
        <v>177.9</v>
      </c>
    </row>
    <row r="351" spans="1:30" x14ac:dyDescent="0.3">
      <c r="A351" t="s">
        <v>33</v>
      </c>
      <c r="B351">
        <v>2022</v>
      </c>
      <c r="C351" t="s">
        <v>43</v>
      </c>
      <c r="D351">
        <v>166.4</v>
      </c>
      <c r="E351">
        <v>214.9</v>
      </c>
      <c r="F351">
        <v>171.9</v>
      </c>
      <c r="G351">
        <v>171</v>
      </c>
      <c r="H351">
        <v>177.7</v>
      </c>
      <c r="I351">
        <v>165.7</v>
      </c>
      <c r="J351">
        <v>228.6</v>
      </c>
      <c r="K351">
        <v>169.9</v>
      </c>
      <c r="L351">
        <v>123.4</v>
      </c>
      <c r="M351">
        <v>196.4</v>
      </c>
      <c r="N351">
        <v>161.6</v>
      </c>
      <c r="O351">
        <v>191.5</v>
      </c>
      <c r="P351">
        <v>183.3</v>
      </c>
      <c r="Q351">
        <v>200.1</v>
      </c>
      <c r="R351">
        <v>175.5</v>
      </c>
      <c r="S351">
        <v>162.6</v>
      </c>
      <c r="T351">
        <v>173.6</v>
      </c>
      <c r="U351">
        <v>171.2</v>
      </c>
      <c r="V351">
        <v>180</v>
      </c>
      <c r="W351">
        <v>166</v>
      </c>
      <c r="X351">
        <v>174.7</v>
      </c>
      <c r="Y351">
        <v>158.80000000000001</v>
      </c>
      <c r="Z351">
        <v>166.3</v>
      </c>
      <c r="AA351">
        <v>171.2</v>
      </c>
      <c r="AB351">
        <v>172.3</v>
      </c>
      <c r="AC351">
        <v>166.8</v>
      </c>
      <c r="AD351">
        <v>175.3</v>
      </c>
    </row>
    <row r="352" spans="1:30" x14ac:dyDescent="0.3">
      <c r="A352" t="s">
        <v>34</v>
      </c>
      <c r="B352">
        <v>2022</v>
      </c>
      <c r="C352" t="s">
        <v>43</v>
      </c>
      <c r="D352">
        <v>165.2</v>
      </c>
      <c r="E352">
        <v>210.9</v>
      </c>
      <c r="F352">
        <v>170.9</v>
      </c>
      <c r="G352">
        <v>170.9</v>
      </c>
      <c r="H352">
        <v>186.5</v>
      </c>
      <c r="I352">
        <v>163.80000000000001</v>
      </c>
      <c r="J352">
        <v>199.7</v>
      </c>
      <c r="K352">
        <v>169.8</v>
      </c>
      <c r="L352">
        <v>121.9</v>
      </c>
      <c r="M352">
        <v>199.9</v>
      </c>
      <c r="N352">
        <v>169.9</v>
      </c>
      <c r="O352">
        <v>188.3</v>
      </c>
      <c r="P352">
        <v>179.6</v>
      </c>
      <c r="Q352">
        <v>196.3</v>
      </c>
      <c r="R352">
        <v>181.9</v>
      </c>
      <c r="S352">
        <v>175.3</v>
      </c>
      <c r="T352">
        <v>181</v>
      </c>
      <c r="U352">
        <v>171.2</v>
      </c>
      <c r="V352">
        <v>180.5</v>
      </c>
      <c r="W352">
        <v>170.4</v>
      </c>
      <c r="X352">
        <v>178.7</v>
      </c>
      <c r="Y352">
        <v>162.9</v>
      </c>
      <c r="Z352">
        <v>168.2</v>
      </c>
      <c r="AA352">
        <v>173.4</v>
      </c>
      <c r="AB352">
        <v>172.1</v>
      </c>
      <c r="AC352">
        <v>170.5</v>
      </c>
      <c r="AD352">
        <v>176.7</v>
      </c>
    </row>
    <row r="353" spans="1:30" x14ac:dyDescent="0.3">
      <c r="A353" t="s">
        <v>30</v>
      </c>
      <c r="B353">
        <v>2022</v>
      </c>
      <c r="C353" t="s">
        <v>45</v>
      </c>
      <c r="D353">
        <v>166.9</v>
      </c>
      <c r="E353">
        <v>207.2</v>
      </c>
      <c r="F353">
        <v>180.2</v>
      </c>
      <c r="G353">
        <v>172.3</v>
      </c>
      <c r="H353">
        <v>194</v>
      </c>
      <c r="I353">
        <v>159.1</v>
      </c>
      <c r="J353">
        <v>171.6</v>
      </c>
      <c r="K353">
        <v>170.2</v>
      </c>
      <c r="L353">
        <v>121.5</v>
      </c>
      <c r="M353">
        <v>204.8</v>
      </c>
      <c r="N353">
        <v>176.4</v>
      </c>
      <c r="O353">
        <v>186.9</v>
      </c>
      <c r="P353">
        <v>176.6</v>
      </c>
      <c r="Q353">
        <v>195.5</v>
      </c>
      <c r="R353">
        <v>187.2</v>
      </c>
      <c r="S353">
        <v>185.2</v>
      </c>
      <c r="T353">
        <v>186.9</v>
      </c>
      <c r="U353" t="s">
        <v>32</v>
      </c>
      <c r="V353">
        <v>181.9</v>
      </c>
      <c r="W353">
        <v>175.5</v>
      </c>
      <c r="X353">
        <v>182.3</v>
      </c>
      <c r="Y353">
        <v>167.5</v>
      </c>
      <c r="Z353">
        <v>170.8</v>
      </c>
      <c r="AA353">
        <v>176.9</v>
      </c>
      <c r="AB353">
        <v>173.4</v>
      </c>
      <c r="AC353">
        <v>174.6</v>
      </c>
      <c r="AD353">
        <v>177.8</v>
      </c>
    </row>
    <row r="354" spans="1:30" x14ac:dyDescent="0.3">
      <c r="A354" t="s">
        <v>33</v>
      </c>
      <c r="B354">
        <v>2022</v>
      </c>
      <c r="C354" t="s">
        <v>45</v>
      </c>
      <c r="D354">
        <v>168.4</v>
      </c>
      <c r="E354">
        <v>213.4</v>
      </c>
      <c r="F354">
        <v>183.2</v>
      </c>
      <c r="G354">
        <v>172.3</v>
      </c>
      <c r="H354">
        <v>180</v>
      </c>
      <c r="I354">
        <v>162.6</v>
      </c>
      <c r="J354">
        <v>205.5</v>
      </c>
      <c r="K354">
        <v>171</v>
      </c>
      <c r="L354">
        <v>123.4</v>
      </c>
      <c r="M354">
        <v>198.8</v>
      </c>
      <c r="N354">
        <v>162.1</v>
      </c>
      <c r="O354">
        <v>192.4</v>
      </c>
      <c r="P354">
        <v>181.3</v>
      </c>
      <c r="Q354">
        <v>200.6</v>
      </c>
      <c r="R354">
        <v>176.7</v>
      </c>
      <c r="S354">
        <v>163.5</v>
      </c>
      <c r="T354">
        <v>174.7</v>
      </c>
      <c r="U354">
        <v>171.8</v>
      </c>
      <c r="V354">
        <v>180.3</v>
      </c>
      <c r="W354">
        <v>166.9</v>
      </c>
      <c r="X354">
        <v>175.8</v>
      </c>
      <c r="Y354">
        <v>158.9</v>
      </c>
      <c r="Z354">
        <v>166.7</v>
      </c>
      <c r="AA354">
        <v>171.5</v>
      </c>
      <c r="AB354">
        <v>173.8</v>
      </c>
      <c r="AC354">
        <v>167.4</v>
      </c>
      <c r="AD354">
        <v>174.1</v>
      </c>
    </row>
    <row r="355" spans="1:30" x14ac:dyDescent="0.3">
      <c r="A355" t="s">
        <v>34</v>
      </c>
      <c r="B355">
        <v>2022</v>
      </c>
      <c r="C355" t="s">
        <v>45</v>
      </c>
      <c r="D355">
        <v>167.4</v>
      </c>
      <c r="E355">
        <v>209.4</v>
      </c>
      <c r="F355">
        <v>181.4</v>
      </c>
      <c r="G355">
        <v>172.3</v>
      </c>
      <c r="H355">
        <v>188.9</v>
      </c>
      <c r="I355">
        <v>160.69999999999999</v>
      </c>
      <c r="J355">
        <v>183.1</v>
      </c>
      <c r="K355">
        <v>170.5</v>
      </c>
      <c r="L355">
        <v>122.1</v>
      </c>
      <c r="M355">
        <v>202.8</v>
      </c>
      <c r="N355">
        <v>170.4</v>
      </c>
      <c r="O355">
        <v>189.5</v>
      </c>
      <c r="P355">
        <v>178.3</v>
      </c>
      <c r="Q355">
        <v>196.9</v>
      </c>
      <c r="R355">
        <v>183.1</v>
      </c>
      <c r="S355">
        <v>176.2</v>
      </c>
      <c r="T355">
        <v>182.1</v>
      </c>
      <c r="U355">
        <v>171.8</v>
      </c>
      <c r="V355">
        <v>181.3</v>
      </c>
      <c r="W355">
        <v>171.4</v>
      </c>
      <c r="X355">
        <v>179.8</v>
      </c>
      <c r="Y355">
        <v>163</v>
      </c>
      <c r="Z355">
        <v>168.5</v>
      </c>
      <c r="AA355">
        <v>173.7</v>
      </c>
      <c r="AB355">
        <v>173.6</v>
      </c>
      <c r="AC355">
        <v>171.1</v>
      </c>
      <c r="AD355">
        <v>176.5</v>
      </c>
    </row>
    <row r="356" spans="1:30" x14ac:dyDescent="0.3">
      <c r="A356" t="s">
        <v>30</v>
      </c>
      <c r="B356">
        <v>2022</v>
      </c>
      <c r="C356" t="s">
        <v>46</v>
      </c>
      <c r="D356">
        <v>168.8</v>
      </c>
      <c r="E356">
        <v>206.9</v>
      </c>
      <c r="F356">
        <v>189.1</v>
      </c>
      <c r="G356">
        <v>173.4</v>
      </c>
      <c r="H356">
        <v>193.9</v>
      </c>
      <c r="I356">
        <v>156.69999999999999</v>
      </c>
      <c r="J356">
        <v>150.19999999999999</v>
      </c>
      <c r="K356">
        <v>170.5</v>
      </c>
      <c r="L356">
        <v>121.2</v>
      </c>
      <c r="M356">
        <v>207.5</v>
      </c>
      <c r="N356">
        <v>176.8</v>
      </c>
      <c r="O356">
        <v>187.7</v>
      </c>
      <c r="P356">
        <v>174.4</v>
      </c>
      <c r="Q356">
        <v>195.9</v>
      </c>
      <c r="R356">
        <v>188.1</v>
      </c>
      <c r="S356">
        <v>185.9</v>
      </c>
      <c r="T356">
        <v>187.8</v>
      </c>
      <c r="U356" t="s">
        <v>32</v>
      </c>
      <c r="V356">
        <v>182.8</v>
      </c>
      <c r="W356">
        <v>176.4</v>
      </c>
      <c r="X356">
        <v>183.5</v>
      </c>
      <c r="Y356">
        <v>167.8</v>
      </c>
      <c r="Z356">
        <v>171.2</v>
      </c>
      <c r="AA356">
        <v>177.3</v>
      </c>
      <c r="AB356">
        <v>175.7</v>
      </c>
      <c r="AC356">
        <v>175.5</v>
      </c>
      <c r="AD356">
        <v>177.1</v>
      </c>
    </row>
    <row r="357" spans="1:30" x14ac:dyDescent="0.3">
      <c r="A357" t="s">
        <v>33</v>
      </c>
      <c r="B357">
        <v>2022</v>
      </c>
      <c r="C357" t="s">
        <v>46</v>
      </c>
      <c r="D357">
        <v>170.2</v>
      </c>
      <c r="E357">
        <v>212.9</v>
      </c>
      <c r="F357">
        <v>191.9</v>
      </c>
      <c r="G357">
        <v>173.9</v>
      </c>
      <c r="H357">
        <v>179.1</v>
      </c>
      <c r="I357">
        <v>159.5</v>
      </c>
      <c r="J357">
        <v>178.7</v>
      </c>
      <c r="K357">
        <v>171.3</v>
      </c>
      <c r="L357">
        <v>123.1</v>
      </c>
      <c r="M357">
        <v>200.5</v>
      </c>
      <c r="N357">
        <v>162.80000000000001</v>
      </c>
      <c r="O357">
        <v>193.3</v>
      </c>
      <c r="P357">
        <v>178.6</v>
      </c>
      <c r="Q357">
        <v>201.1</v>
      </c>
      <c r="R357">
        <v>177.7</v>
      </c>
      <c r="S357">
        <v>164.5</v>
      </c>
      <c r="T357">
        <v>175.7</v>
      </c>
      <c r="U357">
        <v>170.7</v>
      </c>
      <c r="V357">
        <v>180.6</v>
      </c>
      <c r="W357">
        <v>167.3</v>
      </c>
      <c r="X357">
        <v>177.2</v>
      </c>
      <c r="Y357">
        <v>159.4</v>
      </c>
      <c r="Z357">
        <v>167.1</v>
      </c>
      <c r="AA357">
        <v>171.8</v>
      </c>
      <c r="AB357">
        <v>176</v>
      </c>
      <c r="AC357">
        <v>168.2</v>
      </c>
      <c r="AD357">
        <v>174.1</v>
      </c>
    </row>
    <row r="358" spans="1:30" x14ac:dyDescent="0.3">
      <c r="A358" t="s">
        <v>34</v>
      </c>
      <c r="B358">
        <v>2022</v>
      </c>
      <c r="C358" t="s">
        <v>46</v>
      </c>
      <c r="D358">
        <v>169.2</v>
      </c>
      <c r="E358">
        <v>209</v>
      </c>
      <c r="F358">
        <v>190.2</v>
      </c>
      <c r="G358">
        <v>173.6</v>
      </c>
      <c r="H358">
        <v>188.5</v>
      </c>
      <c r="I358">
        <v>158</v>
      </c>
      <c r="J358">
        <v>159.9</v>
      </c>
      <c r="K358">
        <v>170.8</v>
      </c>
      <c r="L358">
        <v>121.8</v>
      </c>
      <c r="M358">
        <v>205.2</v>
      </c>
      <c r="N358">
        <v>171</v>
      </c>
      <c r="O358">
        <v>190.3</v>
      </c>
      <c r="P358">
        <v>175.9</v>
      </c>
      <c r="Q358">
        <v>197.3</v>
      </c>
      <c r="R358">
        <v>184</v>
      </c>
      <c r="S358">
        <v>177</v>
      </c>
      <c r="T358">
        <v>183</v>
      </c>
      <c r="U358">
        <v>170.7</v>
      </c>
      <c r="V358">
        <v>182</v>
      </c>
      <c r="W358">
        <v>172.1</v>
      </c>
      <c r="X358">
        <v>181.1</v>
      </c>
      <c r="Y358">
        <v>163.4</v>
      </c>
      <c r="Z358">
        <v>168.9</v>
      </c>
      <c r="AA358">
        <v>174.1</v>
      </c>
      <c r="AB358">
        <v>175.8</v>
      </c>
      <c r="AC358">
        <v>172</v>
      </c>
      <c r="AD358">
        <v>175.7</v>
      </c>
    </row>
    <row r="359" spans="1:30" x14ac:dyDescent="0.3">
      <c r="A359" t="s">
        <v>30</v>
      </c>
      <c r="B359">
        <v>2023</v>
      </c>
      <c r="C359" t="s">
        <v>31</v>
      </c>
      <c r="D359">
        <v>174</v>
      </c>
      <c r="E359">
        <v>208.3</v>
      </c>
      <c r="F359">
        <v>192.9</v>
      </c>
      <c r="G359">
        <v>174.3</v>
      </c>
      <c r="H359">
        <v>192.6</v>
      </c>
      <c r="I359">
        <v>156.30000000000001</v>
      </c>
      <c r="J359">
        <v>142.9</v>
      </c>
      <c r="K359">
        <v>170.7</v>
      </c>
      <c r="L359">
        <v>120.3</v>
      </c>
      <c r="M359">
        <v>210.5</v>
      </c>
      <c r="N359">
        <v>176.9</v>
      </c>
      <c r="O359">
        <v>188.5</v>
      </c>
      <c r="P359">
        <v>175</v>
      </c>
      <c r="Q359">
        <v>196.9</v>
      </c>
      <c r="R359">
        <v>189</v>
      </c>
      <c r="S359">
        <v>186.3</v>
      </c>
      <c r="T359">
        <v>188.6</v>
      </c>
      <c r="U359" t="s">
        <v>32</v>
      </c>
      <c r="V359">
        <v>183.2</v>
      </c>
      <c r="W359">
        <v>177.2</v>
      </c>
      <c r="X359">
        <v>184.7</v>
      </c>
      <c r="Y359">
        <v>168.2</v>
      </c>
      <c r="Z359">
        <v>171.8</v>
      </c>
      <c r="AA359">
        <v>177.8</v>
      </c>
      <c r="AB359">
        <v>178.4</v>
      </c>
      <c r="AC359">
        <v>176.5</v>
      </c>
      <c r="AD359">
        <v>177.8</v>
      </c>
    </row>
    <row r="360" spans="1:30" x14ac:dyDescent="0.3">
      <c r="A360" t="s">
        <v>33</v>
      </c>
      <c r="B360">
        <v>2023</v>
      </c>
      <c r="C360" t="s">
        <v>31</v>
      </c>
      <c r="D360">
        <v>173.3</v>
      </c>
      <c r="E360">
        <v>215.2</v>
      </c>
      <c r="F360">
        <v>197</v>
      </c>
      <c r="G360">
        <v>175.2</v>
      </c>
      <c r="H360">
        <v>178</v>
      </c>
      <c r="I360">
        <v>160.5</v>
      </c>
      <c r="J360">
        <v>175.3</v>
      </c>
      <c r="K360">
        <v>171.2</v>
      </c>
      <c r="L360">
        <v>122.7</v>
      </c>
      <c r="M360">
        <v>204.3</v>
      </c>
      <c r="N360">
        <v>163.69999999999999</v>
      </c>
      <c r="O360">
        <v>194.3</v>
      </c>
      <c r="P360">
        <v>179.5</v>
      </c>
      <c r="Q360">
        <v>201.6</v>
      </c>
      <c r="R360">
        <v>178.7</v>
      </c>
      <c r="S360">
        <v>165.3</v>
      </c>
      <c r="T360">
        <v>176.6</v>
      </c>
      <c r="U360">
        <v>172.1</v>
      </c>
      <c r="V360">
        <v>180.1</v>
      </c>
      <c r="W360">
        <v>168</v>
      </c>
      <c r="X360">
        <v>178.5</v>
      </c>
      <c r="Y360">
        <v>159.5</v>
      </c>
      <c r="Z360">
        <v>167.8</v>
      </c>
      <c r="AA360">
        <v>171.8</v>
      </c>
      <c r="AB360">
        <v>178.8</v>
      </c>
      <c r="AC360">
        <v>168.9</v>
      </c>
      <c r="AD360">
        <v>174.9</v>
      </c>
    </row>
    <row r="361" spans="1:30" x14ac:dyDescent="0.3">
      <c r="A361" t="s">
        <v>34</v>
      </c>
      <c r="B361">
        <v>2023</v>
      </c>
      <c r="C361" t="s">
        <v>31</v>
      </c>
      <c r="D361">
        <v>173.8</v>
      </c>
      <c r="E361">
        <v>210.7</v>
      </c>
      <c r="F361">
        <v>194.5</v>
      </c>
      <c r="G361">
        <v>174.6</v>
      </c>
      <c r="H361">
        <v>187.2</v>
      </c>
      <c r="I361">
        <v>158.30000000000001</v>
      </c>
      <c r="J361">
        <v>153.9</v>
      </c>
      <c r="K361">
        <v>170.9</v>
      </c>
      <c r="L361">
        <v>121.1</v>
      </c>
      <c r="M361">
        <v>208.4</v>
      </c>
      <c r="N361">
        <v>171.4</v>
      </c>
      <c r="O361">
        <v>191.2</v>
      </c>
      <c r="P361">
        <v>176.7</v>
      </c>
      <c r="Q361">
        <v>198.2</v>
      </c>
      <c r="R361">
        <v>184.9</v>
      </c>
      <c r="S361">
        <v>177.6</v>
      </c>
      <c r="T361">
        <v>183.8</v>
      </c>
      <c r="U361">
        <v>172.1</v>
      </c>
      <c r="V361">
        <v>182</v>
      </c>
      <c r="W361">
        <v>172.9</v>
      </c>
      <c r="X361">
        <v>182.3</v>
      </c>
      <c r="Y361">
        <v>163.6</v>
      </c>
      <c r="Z361">
        <v>169.5</v>
      </c>
      <c r="AA361">
        <v>174.3</v>
      </c>
      <c r="AB361">
        <v>178.6</v>
      </c>
      <c r="AC361">
        <v>172.8</v>
      </c>
      <c r="AD361">
        <v>176.5</v>
      </c>
    </row>
    <row r="362" spans="1:30" x14ac:dyDescent="0.3">
      <c r="A362" t="s">
        <v>30</v>
      </c>
      <c r="B362">
        <v>2023</v>
      </c>
      <c r="C362" t="s">
        <v>35</v>
      </c>
      <c r="D362">
        <v>174.2</v>
      </c>
      <c r="E362">
        <v>205.2</v>
      </c>
      <c r="F362">
        <v>173.9</v>
      </c>
      <c r="G362">
        <v>177</v>
      </c>
      <c r="H362">
        <v>183.4</v>
      </c>
      <c r="I362">
        <v>167.2</v>
      </c>
      <c r="J362">
        <v>140.9</v>
      </c>
      <c r="K362">
        <v>170.4</v>
      </c>
      <c r="L362">
        <v>119.1</v>
      </c>
      <c r="M362">
        <v>212.1</v>
      </c>
      <c r="N362">
        <v>177.6</v>
      </c>
      <c r="O362">
        <v>189.9</v>
      </c>
      <c r="P362">
        <v>174.8</v>
      </c>
      <c r="Q362">
        <v>198.3</v>
      </c>
      <c r="R362">
        <v>190</v>
      </c>
      <c r="S362">
        <v>187</v>
      </c>
      <c r="T362">
        <v>189.6</v>
      </c>
      <c r="U362" t="s">
        <v>32</v>
      </c>
      <c r="V362">
        <v>181.6</v>
      </c>
      <c r="W362">
        <v>178.6</v>
      </c>
      <c r="X362">
        <v>186.6</v>
      </c>
      <c r="Y362">
        <v>169</v>
      </c>
      <c r="Z362">
        <v>172.8</v>
      </c>
      <c r="AA362">
        <v>178.5</v>
      </c>
      <c r="AB362">
        <v>180.7</v>
      </c>
      <c r="AC362">
        <v>177.9</v>
      </c>
      <c r="AD362">
        <v>178</v>
      </c>
    </row>
    <row r="363" spans="1:30" x14ac:dyDescent="0.3">
      <c r="A363" t="s">
        <v>33</v>
      </c>
      <c r="B363">
        <v>2023</v>
      </c>
      <c r="C363" t="s">
        <v>35</v>
      </c>
      <c r="D363">
        <v>174.7</v>
      </c>
      <c r="E363">
        <v>212.2</v>
      </c>
      <c r="F363">
        <v>177.2</v>
      </c>
      <c r="G363">
        <v>177.9</v>
      </c>
      <c r="H363">
        <v>172.2</v>
      </c>
      <c r="I363">
        <v>172.1</v>
      </c>
      <c r="J363">
        <v>175.8</v>
      </c>
      <c r="K363">
        <v>172.2</v>
      </c>
      <c r="L363">
        <v>121.9</v>
      </c>
      <c r="M363">
        <v>204.8</v>
      </c>
      <c r="N363">
        <v>164.9</v>
      </c>
      <c r="O363">
        <v>196.6</v>
      </c>
      <c r="P363">
        <v>180.7</v>
      </c>
      <c r="Q363">
        <v>202.7</v>
      </c>
      <c r="R363">
        <v>180.3</v>
      </c>
      <c r="S363">
        <v>167</v>
      </c>
      <c r="T363">
        <v>178.2</v>
      </c>
      <c r="U363">
        <v>173.5</v>
      </c>
      <c r="V363">
        <v>182.8</v>
      </c>
      <c r="W363">
        <v>169.2</v>
      </c>
      <c r="X363">
        <v>180.8</v>
      </c>
      <c r="Y363">
        <v>159.80000000000001</v>
      </c>
      <c r="Z363">
        <v>168.4</v>
      </c>
      <c r="AA363">
        <v>172.5</v>
      </c>
      <c r="AB363">
        <v>181.4</v>
      </c>
      <c r="AC363">
        <v>170</v>
      </c>
      <c r="AD363">
        <v>176.3</v>
      </c>
    </row>
    <row r="364" spans="1:30" x14ac:dyDescent="0.3">
      <c r="A364" t="s">
        <v>34</v>
      </c>
      <c r="B364">
        <v>2023</v>
      </c>
      <c r="C364" t="s">
        <v>35</v>
      </c>
      <c r="D364">
        <v>174.4</v>
      </c>
      <c r="E364">
        <v>207.7</v>
      </c>
      <c r="F364">
        <v>175.2</v>
      </c>
      <c r="G364">
        <v>177.3</v>
      </c>
      <c r="H364">
        <v>179.3</v>
      </c>
      <c r="I364">
        <v>169.5</v>
      </c>
      <c r="J364">
        <v>152.69999999999999</v>
      </c>
      <c r="K364">
        <v>171</v>
      </c>
      <c r="L364">
        <v>120</v>
      </c>
      <c r="M364">
        <v>209.7</v>
      </c>
      <c r="N364">
        <v>172.3</v>
      </c>
      <c r="O364">
        <v>193</v>
      </c>
      <c r="P364">
        <v>177</v>
      </c>
      <c r="Q364">
        <v>199.5</v>
      </c>
      <c r="R364">
        <v>186.2</v>
      </c>
      <c r="S364">
        <v>178.7</v>
      </c>
      <c r="T364">
        <v>185.1</v>
      </c>
      <c r="U364">
        <v>173.5</v>
      </c>
      <c r="V364">
        <v>182.1</v>
      </c>
      <c r="W364">
        <v>174.2</v>
      </c>
      <c r="X364">
        <v>184.4</v>
      </c>
      <c r="Y364">
        <v>164.2</v>
      </c>
      <c r="Z364">
        <v>170.3</v>
      </c>
      <c r="AA364">
        <v>175</v>
      </c>
      <c r="AB364">
        <v>181</v>
      </c>
      <c r="AC364">
        <v>174.1</v>
      </c>
      <c r="AD364">
        <v>177.2</v>
      </c>
    </row>
    <row r="365" spans="1:30" x14ac:dyDescent="0.3">
      <c r="A365" t="s">
        <v>30</v>
      </c>
      <c r="B365">
        <v>2023</v>
      </c>
      <c r="C365" t="s">
        <v>36</v>
      </c>
      <c r="D365">
        <v>174.3</v>
      </c>
      <c r="E365">
        <v>205.2</v>
      </c>
      <c r="F365">
        <v>173.9</v>
      </c>
      <c r="G365">
        <v>177</v>
      </c>
      <c r="H365">
        <v>183.3</v>
      </c>
      <c r="I365">
        <v>167.2</v>
      </c>
      <c r="J365">
        <v>140.9</v>
      </c>
      <c r="K365">
        <v>170.5</v>
      </c>
      <c r="L365">
        <v>119.1</v>
      </c>
      <c r="M365">
        <v>212.1</v>
      </c>
      <c r="N365">
        <v>177.6</v>
      </c>
      <c r="O365">
        <v>189.9</v>
      </c>
      <c r="P365">
        <v>174.8</v>
      </c>
      <c r="Q365">
        <v>198.4</v>
      </c>
      <c r="R365">
        <v>190</v>
      </c>
      <c r="S365">
        <v>187</v>
      </c>
      <c r="T365">
        <v>189.6</v>
      </c>
      <c r="U365" t="s">
        <v>32</v>
      </c>
      <c r="V365">
        <v>181.4</v>
      </c>
      <c r="W365">
        <v>178.6</v>
      </c>
      <c r="X365">
        <v>186.6</v>
      </c>
      <c r="Y365">
        <v>169</v>
      </c>
      <c r="Z365">
        <v>172.8</v>
      </c>
      <c r="AA365">
        <v>178.5</v>
      </c>
      <c r="AB365">
        <v>180.7</v>
      </c>
      <c r="AC365">
        <v>177.9</v>
      </c>
      <c r="AD365">
        <v>178</v>
      </c>
    </row>
    <row r="366" spans="1:30" x14ac:dyDescent="0.3">
      <c r="A366" t="s">
        <v>33</v>
      </c>
      <c r="B366">
        <v>2023</v>
      </c>
      <c r="C366" t="s">
        <v>36</v>
      </c>
      <c r="D366">
        <v>174.7</v>
      </c>
      <c r="E366">
        <v>212.2</v>
      </c>
      <c r="F366">
        <v>177.2</v>
      </c>
      <c r="G366">
        <v>177.9</v>
      </c>
      <c r="H366">
        <v>172.2</v>
      </c>
      <c r="I366">
        <v>172.1</v>
      </c>
      <c r="J366">
        <v>175.9</v>
      </c>
      <c r="K366">
        <v>172.2</v>
      </c>
      <c r="L366">
        <v>121.9</v>
      </c>
      <c r="M366">
        <v>204.8</v>
      </c>
      <c r="N366">
        <v>164.9</v>
      </c>
      <c r="O366">
        <v>196.6</v>
      </c>
      <c r="P366">
        <v>180.8</v>
      </c>
      <c r="Q366">
        <v>202.7</v>
      </c>
      <c r="R366">
        <v>180.2</v>
      </c>
      <c r="S366">
        <v>167</v>
      </c>
      <c r="T366">
        <v>178.2</v>
      </c>
      <c r="U366">
        <v>173.5</v>
      </c>
      <c r="V366">
        <v>182.6</v>
      </c>
      <c r="W366">
        <v>169.2</v>
      </c>
      <c r="X366">
        <v>180.8</v>
      </c>
      <c r="Y366">
        <v>159.80000000000001</v>
      </c>
      <c r="Z366">
        <v>168.4</v>
      </c>
      <c r="AA366">
        <v>172.5</v>
      </c>
      <c r="AB366">
        <v>181.5</v>
      </c>
      <c r="AC366">
        <v>170</v>
      </c>
      <c r="AD366">
        <v>176.3</v>
      </c>
    </row>
    <row r="367" spans="1:30" x14ac:dyDescent="0.3">
      <c r="A367" t="s">
        <v>34</v>
      </c>
      <c r="B367">
        <v>2023</v>
      </c>
      <c r="C367" t="s">
        <v>36</v>
      </c>
      <c r="D367">
        <v>174.4</v>
      </c>
      <c r="E367">
        <v>207.7</v>
      </c>
      <c r="F367">
        <v>175.2</v>
      </c>
      <c r="G367">
        <v>177.3</v>
      </c>
      <c r="H367">
        <v>179.2</v>
      </c>
      <c r="I367">
        <v>169.5</v>
      </c>
      <c r="J367">
        <v>152.80000000000001</v>
      </c>
      <c r="K367">
        <v>171.1</v>
      </c>
      <c r="L367">
        <v>120</v>
      </c>
      <c r="M367">
        <v>209.7</v>
      </c>
      <c r="N367">
        <v>172.3</v>
      </c>
      <c r="O367">
        <v>193</v>
      </c>
      <c r="P367">
        <v>177</v>
      </c>
      <c r="Q367">
        <v>199.5</v>
      </c>
      <c r="R367">
        <v>186.1</v>
      </c>
      <c r="S367">
        <v>178.7</v>
      </c>
      <c r="T367">
        <v>185.1</v>
      </c>
      <c r="U367">
        <v>173.5</v>
      </c>
      <c r="V367">
        <v>181.9</v>
      </c>
      <c r="W367">
        <v>174.2</v>
      </c>
      <c r="X367">
        <v>184.4</v>
      </c>
      <c r="Y367">
        <v>164.2</v>
      </c>
      <c r="Z367">
        <v>170.3</v>
      </c>
      <c r="AA367">
        <v>175</v>
      </c>
      <c r="AB367">
        <v>181</v>
      </c>
      <c r="AC367">
        <v>174.1</v>
      </c>
      <c r="AD367">
        <v>177.2</v>
      </c>
    </row>
    <row r="368" spans="1:30" x14ac:dyDescent="0.3">
      <c r="A368" t="s">
        <v>30</v>
      </c>
      <c r="B368">
        <v>2023</v>
      </c>
      <c r="C368" t="s">
        <v>37</v>
      </c>
      <c r="D368">
        <v>173.3</v>
      </c>
      <c r="E368">
        <v>206.9</v>
      </c>
      <c r="F368">
        <v>167.9</v>
      </c>
      <c r="G368">
        <v>178.2</v>
      </c>
      <c r="H368">
        <v>178.5</v>
      </c>
      <c r="I368">
        <v>173.7</v>
      </c>
      <c r="J368">
        <v>142.80000000000001</v>
      </c>
      <c r="K368">
        <v>172.8</v>
      </c>
      <c r="L368">
        <v>120.4</v>
      </c>
      <c r="M368">
        <v>215.5</v>
      </c>
      <c r="N368">
        <v>178.2</v>
      </c>
      <c r="O368">
        <v>190.5</v>
      </c>
      <c r="P368">
        <v>175.5</v>
      </c>
      <c r="Q368">
        <v>199.5</v>
      </c>
      <c r="R368">
        <v>190.7</v>
      </c>
      <c r="S368">
        <v>187.3</v>
      </c>
      <c r="T368">
        <v>190.2</v>
      </c>
      <c r="U368" t="s">
        <v>48</v>
      </c>
      <c r="V368">
        <v>181.5</v>
      </c>
      <c r="W368">
        <v>179.1</v>
      </c>
      <c r="X368">
        <v>187.2</v>
      </c>
      <c r="Y368">
        <v>169.4</v>
      </c>
      <c r="Z368">
        <v>173.2</v>
      </c>
      <c r="AA368">
        <v>179.4</v>
      </c>
      <c r="AB368">
        <v>183.8</v>
      </c>
      <c r="AC368">
        <v>178.9</v>
      </c>
      <c r="AD368">
        <v>178.8</v>
      </c>
    </row>
    <row r="369" spans="1:30" x14ac:dyDescent="0.3">
      <c r="A369" t="s">
        <v>33</v>
      </c>
      <c r="B369">
        <v>2023</v>
      </c>
      <c r="C369" t="s">
        <v>37</v>
      </c>
      <c r="D369">
        <v>174.8</v>
      </c>
      <c r="E369">
        <v>213.7</v>
      </c>
      <c r="F369">
        <v>172.4</v>
      </c>
      <c r="G369">
        <v>178.8</v>
      </c>
      <c r="H369">
        <v>168.7</v>
      </c>
      <c r="I369">
        <v>179.2</v>
      </c>
      <c r="J369">
        <v>179.9</v>
      </c>
      <c r="K369">
        <v>174.7</v>
      </c>
      <c r="L369">
        <v>123.1</v>
      </c>
      <c r="M369">
        <v>207.8</v>
      </c>
      <c r="N369">
        <v>165.5</v>
      </c>
      <c r="O369">
        <v>197</v>
      </c>
      <c r="P369">
        <v>182.1</v>
      </c>
      <c r="Q369">
        <v>203.5</v>
      </c>
      <c r="R369">
        <v>181</v>
      </c>
      <c r="S369">
        <v>167.7</v>
      </c>
      <c r="T369">
        <v>178.9</v>
      </c>
      <c r="U369">
        <v>175.2</v>
      </c>
      <c r="V369">
        <v>182.1</v>
      </c>
      <c r="W369">
        <v>169.6</v>
      </c>
      <c r="X369">
        <v>181.5</v>
      </c>
      <c r="Y369">
        <v>160.1</v>
      </c>
      <c r="Z369">
        <v>168.8</v>
      </c>
      <c r="AA369">
        <v>174.2</v>
      </c>
      <c r="AB369">
        <v>184.4</v>
      </c>
      <c r="AC369">
        <v>170.9</v>
      </c>
      <c r="AD369">
        <v>177.4</v>
      </c>
    </row>
    <row r="370" spans="1:30" x14ac:dyDescent="0.3">
      <c r="A370" t="s">
        <v>34</v>
      </c>
      <c r="B370">
        <v>2023</v>
      </c>
      <c r="C370" t="s">
        <v>37</v>
      </c>
      <c r="D370">
        <v>173.8</v>
      </c>
      <c r="E370">
        <v>209.3</v>
      </c>
      <c r="F370">
        <v>169.6</v>
      </c>
      <c r="G370">
        <v>178.4</v>
      </c>
      <c r="H370">
        <v>174.9</v>
      </c>
      <c r="I370">
        <v>176.3</v>
      </c>
      <c r="J370">
        <v>155.4</v>
      </c>
      <c r="K370">
        <v>173.4</v>
      </c>
      <c r="L370">
        <v>121.3</v>
      </c>
      <c r="M370">
        <v>212.9</v>
      </c>
      <c r="N370">
        <v>172.9</v>
      </c>
      <c r="O370">
        <v>193.5</v>
      </c>
      <c r="P370">
        <v>177.9</v>
      </c>
      <c r="Q370">
        <v>200.6</v>
      </c>
      <c r="R370">
        <v>186.9</v>
      </c>
      <c r="S370">
        <v>179.2</v>
      </c>
      <c r="T370">
        <v>185.7</v>
      </c>
      <c r="U370">
        <v>175.2</v>
      </c>
      <c r="V370">
        <v>181.7</v>
      </c>
      <c r="W370">
        <v>174.6</v>
      </c>
      <c r="X370">
        <v>185</v>
      </c>
      <c r="Y370">
        <v>164.5</v>
      </c>
      <c r="Z370">
        <v>170.7</v>
      </c>
      <c r="AA370">
        <v>176.4</v>
      </c>
      <c r="AB370">
        <v>184</v>
      </c>
      <c r="AC370">
        <v>175</v>
      </c>
      <c r="AD370">
        <v>178.1</v>
      </c>
    </row>
    <row r="371" spans="1:30" x14ac:dyDescent="0.3">
      <c r="A371" t="s">
        <v>30</v>
      </c>
      <c r="B371">
        <v>2023</v>
      </c>
      <c r="C371" t="s">
        <v>38</v>
      </c>
      <c r="D371">
        <v>173.2</v>
      </c>
      <c r="E371">
        <v>211.5</v>
      </c>
      <c r="F371">
        <v>171</v>
      </c>
      <c r="G371">
        <v>179.6</v>
      </c>
      <c r="H371">
        <v>173.3</v>
      </c>
      <c r="I371">
        <v>169</v>
      </c>
      <c r="J371">
        <v>148.69999999999999</v>
      </c>
      <c r="K371">
        <v>174.9</v>
      </c>
      <c r="L371">
        <v>121.9</v>
      </c>
      <c r="M371">
        <v>221</v>
      </c>
      <c r="N371">
        <v>178.7</v>
      </c>
      <c r="O371">
        <v>191.1</v>
      </c>
      <c r="P371">
        <v>176.8</v>
      </c>
      <c r="Q371">
        <v>199.9</v>
      </c>
      <c r="R371">
        <v>191.2</v>
      </c>
      <c r="S371">
        <v>187.9</v>
      </c>
      <c r="T371">
        <v>190.8</v>
      </c>
      <c r="U371" t="s">
        <v>48</v>
      </c>
      <c r="V371">
        <v>182.5</v>
      </c>
      <c r="W371">
        <v>179.8</v>
      </c>
      <c r="X371">
        <v>187.8</v>
      </c>
      <c r="Y371">
        <v>169.7</v>
      </c>
      <c r="Z371">
        <v>173.8</v>
      </c>
      <c r="AA371">
        <v>180.3</v>
      </c>
      <c r="AB371">
        <v>184.9</v>
      </c>
      <c r="AC371">
        <v>179.5</v>
      </c>
      <c r="AD371">
        <v>179.8</v>
      </c>
    </row>
    <row r="372" spans="1:30" x14ac:dyDescent="0.3">
      <c r="A372" t="s">
        <v>33</v>
      </c>
      <c r="B372">
        <v>2023</v>
      </c>
      <c r="C372" t="s">
        <v>38</v>
      </c>
      <c r="D372">
        <v>174.7</v>
      </c>
      <c r="E372">
        <v>219.4</v>
      </c>
      <c r="F372">
        <v>176.7</v>
      </c>
      <c r="G372">
        <v>179.4</v>
      </c>
      <c r="H372">
        <v>164.4</v>
      </c>
      <c r="I372">
        <v>175.8</v>
      </c>
      <c r="J372">
        <v>185</v>
      </c>
      <c r="K372">
        <v>176.9</v>
      </c>
      <c r="L372">
        <v>124.2</v>
      </c>
      <c r="M372">
        <v>211.9</v>
      </c>
      <c r="N372">
        <v>165.9</v>
      </c>
      <c r="O372">
        <v>197.7</v>
      </c>
      <c r="P372">
        <v>183.1</v>
      </c>
      <c r="Q372">
        <v>204.2</v>
      </c>
      <c r="R372">
        <v>181.3</v>
      </c>
      <c r="S372">
        <v>168.1</v>
      </c>
      <c r="T372">
        <v>179.3</v>
      </c>
      <c r="U372">
        <v>175.6</v>
      </c>
      <c r="V372">
        <v>183.4</v>
      </c>
      <c r="W372">
        <v>170.1</v>
      </c>
      <c r="X372">
        <v>182.2</v>
      </c>
      <c r="Y372">
        <v>160.4</v>
      </c>
      <c r="Z372">
        <v>169.2</v>
      </c>
      <c r="AA372">
        <v>174.8</v>
      </c>
      <c r="AB372">
        <v>185.6</v>
      </c>
      <c r="AC372">
        <v>171.6</v>
      </c>
      <c r="AD372">
        <v>178.2</v>
      </c>
    </row>
    <row r="373" spans="1:30" x14ac:dyDescent="0.3">
      <c r="A373" t="s">
        <v>34</v>
      </c>
      <c r="B373">
        <v>2023</v>
      </c>
      <c r="C373" t="s">
        <v>38</v>
      </c>
      <c r="D373">
        <v>173.7</v>
      </c>
      <c r="E373">
        <v>214.3</v>
      </c>
      <c r="F373">
        <v>173.2</v>
      </c>
      <c r="G373">
        <v>179.5</v>
      </c>
      <c r="H373">
        <v>170</v>
      </c>
      <c r="I373">
        <v>172.2</v>
      </c>
      <c r="J373">
        <v>161</v>
      </c>
      <c r="K373">
        <v>175.6</v>
      </c>
      <c r="L373">
        <v>122.7</v>
      </c>
      <c r="M373">
        <v>218</v>
      </c>
      <c r="N373">
        <v>173.4</v>
      </c>
      <c r="O373">
        <v>194.2</v>
      </c>
      <c r="P373">
        <v>179.1</v>
      </c>
      <c r="Q373">
        <v>201</v>
      </c>
      <c r="R373">
        <v>187.3</v>
      </c>
      <c r="S373">
        <v>179.7</v>
      </c>
      <c r="T373">
        <v>186.2</v>
      </c>
      <c r="U373">
        <v>175.6</v>
      </c>
      <c r="V373">
        <v>182.8</v>
      </c>
      <c r="W373">
        <v>175.2</v>
      </c>
      <c r="X373">
        <v>185.7</v>
      </c>
      <c r="Y373">
        <v>164.8</v>
      </c>
      <c r="Z373">
        <v>171.2</v>
      </c>
      <c r="AA373">
        <v>177.1</v>
      </c>
      <c r="AB373">
        <v>185.2</v>
      </c>
      <c r="AC373">
        <v>175.7</v>
      </c>
      <c r="AD373">
        <v>179.1</v>
      </c>
    </row>
  </sheetData>
  <sheetProtection algorithmName="SHA-512" hashValue="k5+hpSt+q4NU2GWMRn3s617GGxzKxSTg5Fg7cO6ZTwOaYeDIXye2ZexKm2oV5xBkCis0YAQMiDkDSbcbtuaW9g==" saltValue="XdvWuo3u/PJ5Mg1J96ttbQ==" spinCount="100000" sheet="1" objects="1" scenarios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E51B6C9-0AA6-4D00-BC83-42423DAB8C8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Readme</vt:lpstr>
      <vt:lpstr>Dashboard</vt:lpstr>
      <vt:lpstr>Q1 - CPI Contribution</vt:lpstr>
      <vt:lpstr>Q2 - YoY Inflation</vt:lpstr>
      <vt:lpstr>Q3 - Food Inflation</vt:lpstr>
      <vt:lpstr>Q4 - COVID Impact</vt:lpstr>
      <vt:lpstr>Q5 - Oil Impact</vt:lpstr>
      <vt:lpstr>Data_Dictionary</vt:lpstr>
      <vt:lpstr>Cleaned_Data</vt:lpstr>
      <vt:lpstr>Dashboard_Calculations</vt:lpstr>
      <vt:lpstr>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Vishwakarma</dc:creator>
  <cp:lastModifiedBy>Shivam Vishwakarma</cp:lastModifiedBy>
  <dcterms:created xsi:type="dcterms:W3CDTF">2026-08-03T16:29:13Z</dcterms:created>
  <dcterms:modified xsi:type="dcterms:W3CDTF">2026-09-07T19:08:48Z</dcterms:modified>
</cp:coreProperties>
</file>